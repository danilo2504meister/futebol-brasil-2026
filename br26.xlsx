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INV" sheetId="5" state="visible" r:id="rId7"/>
  </sheets>
  <definedNames>
    <definedName function="false" hidden="true" localSheetId="1" name="_xlnm._FilterDatabase" vbProcedure="false">ART!$B$1:$J$2645</definedName>
    <definedName function="false" hidden="true" localSheetId="2" name="_xlnm._FilterDatabase" vbProcedure="false">CLA!$B$1:$U$342</definedName>
    <definedName function="false" hidden="true" localSheetId="3" name="_xlnm._FilterDatabase" vbProcedure="false">EST!$A$1:$B$23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<sst xmlns="http://schemas.openxmlformats.org/spreadsheetml/2006/main" count="18919" uniqueCount="6081">
  <si>
    <t xml:space="preserve">Data</t>
  </si>
  <si>
    <t xml:space="preserve">Mandante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</si>
  <si>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</si>
  <si>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</si>
  <si>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</si>
  <si>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</si>
  <si>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</si>
  <si>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</si>
  <si>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</si>
  <si>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Visitante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</si>
  <si>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</si>
  <si>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</si>
  <si>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</si>
  <si>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</si>
  <si>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</si>
  <si>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</si>
  <si>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</si>
  <si>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</si>
  <si>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</si>
  <si>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</si>
  <si>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</si>
  <si>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</si>
  <si>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</si>
  <si>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</si>
  <si>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</si>
  <si>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</si>
  <si>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</si>
  <si>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</si>
  <si>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</si>
  <si>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</si>
  <si>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</si>
  <si>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</si>
  <si>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</si>
  <si>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</si>
  <si>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</si>
  <si>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</si>
  <si>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</si>
  <si>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</si>
  <si>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</si>
  <si>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</si>
  <si>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</si>
  <si>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</si>
  <si>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</si>
  <si>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</si>
  <si>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</si>
  <si>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</si>
  <si>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</si>
  <si>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</si>
  <si>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</si>
  <si>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</si>
  <si>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</si>
  <si>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</si>
  <si>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</si>
  <si>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</si>
  <si>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</si>
  <si>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</si>
  <si>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</si>
  <si>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</si>
  <si>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</si>
  <si>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</si>
  <si>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</si>
  <si>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</si>
  <si>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</si>
  <si>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</si>
  <si>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</si>
  <si>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</si>
  <si>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</si>
  <si>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</si>
  <si>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</si>
  <si>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</si>
  <si>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</si>
  <si>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</si>
  <si>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</si>
  <si>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</si>
  <si>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</si>
  <si>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</si>
  <si>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</si>
  <si>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</si>
  <si>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</si>
  <si>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</si>
  <si>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</si>
  <si>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</si>
  <si>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</si>
  <si>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</si>
  <si>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</si>
  <si>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</si>
  <si>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</si>
  <si>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</si>
  <si>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</si>
  <si>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</si>
  <si>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</si>
  <si>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</si>
  <si>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</si>
  <si>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</si>
  <si>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</si>
  <si>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</si>
  <si>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</si>
  <si>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</si>
  <si>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</si>
  <si>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</si>
  <si>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</si>
  <si>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</si>
  <si>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</si>
  <si>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</si>
  <si>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</si>
  <si>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</si>
  <si>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</si>
  <si>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</si>
  <si>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</si>
  <si>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</si>
  <si>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</si>
  <si>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</si>
  <si>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</si>
  <si>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</si>
  <si>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</si>
  <si>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</si>
  <si>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</si>
  <si>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</si>
  <si>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</si>
  <si>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</si>
  <si>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</si>
  <si>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</si>
  <si>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</si>
  <si>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</si>
  <si>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</si>
  <si>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</si>
  <si>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</si>
  <si>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</si>
  <si>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</si>
  <si>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</si>
  <si>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</si>
  <si>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</si>
  <si>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</si>
  <si>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</si>
  <si>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</si>
  <si>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</si>
  <si>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</si>
  <si>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</si>
  <si>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</si>
  <si>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</si>
  <si>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</si>
  <si>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</si>
  <si>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</si>
  <si>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</si>
  <si>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</si>
  <si>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</si>
  <si>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</si>
  <si>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</si>
  <si>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</si>
  <si>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</si>
  <si>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</si>
  <si>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</si>
  <si>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</si>
  <si>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</si>
  <si>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</si>
  <si>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</si>
  <si>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</si>
  <si>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</si>
  <si>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</si>
  <si>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</si>
  <si>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</si>
  <si>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</si>
  <si>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</si>
  <si>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</si>
  <si>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</si>
  <si>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</si>
  <si>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</si>
  <si>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</si>
  <si>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</si>
  <si>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</si>
  <si>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</si>
  <si>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</si>
  <si>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</si>
  <si>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</si>
  <si>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</si>
  <si>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</si>
  <si>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</si>
  <si>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</si>
  <si>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</si>
  <si>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</si>
  <si>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</si>
  <si>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</si>
  <si>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</si>
  <si>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</si>
  <si>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</si>
  <si>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</si>
  <si>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</si>
  <si>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</si>
  <si>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</si>
  <si>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</si>
  <si>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</si>
  <si>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</si>
  <si>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</si>
  <si>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</si>
  <si>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</si>
  <si>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</si>
  <si>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</si>
  <si>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</si>
  <si>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</si>
  <si>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</si>
  <si>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</si>
  <si>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</si>
  <si>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</si>
  <si>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</si>
  <si>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</si>
  <si>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</si>
  <si>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</si>
  <si>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</si>
  <si>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</si>
  <si>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</si>
  <si>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</si>
  <si>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</si>
  <si>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</si>
  <si>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</si>
  <si>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</si>
  <si>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</si>
  <si>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</si>
  <si>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</si>
  <si>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</si>
  <si>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</si>
  <si>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</si>
  <si>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</si>
  <si>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</si>
  <si>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</si>
  <si>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</si>
  <si>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</si>
  <si>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</si>
  <si>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</si>
  <si>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</si>
  <si>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</si>
  <si>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</si>
  <si>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</si>
  <si>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</si>
  <si>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</si>
  <si>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</si>
  <si>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</si>
  <si>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</si>
  <si>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</si>
  <si>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</si>
  <si>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</si>
  <si>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</si>
  <si>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</si>
  <si>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</si>
  <si>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</si>
  <si>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</si>
  <si>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</si>
  <si>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</si>
  <si>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</si>
  <si>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</si>
  <si>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</si>
  <si>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</si>
  <si>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</si>
  <si>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</si>
  <si>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</si>
  <si>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</si>
  <si>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</si>
  <si>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</si>
  <si>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</si>
  <si>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</si>
  <si>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</si>
  <si>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</si>
  <si>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</si>
  <si>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</si>
  <si>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</si>
  <si>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</si>
  <si>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</si>
  <si>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</si>
  <si>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</si>
  <si>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</si>
  <si>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</si>
  <si>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</si>
  <si>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</si>
  <si>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</si>
  <si>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</si>
  <si>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</si>
  <si>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</si>
  <si>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</si>
  <si>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</si>
  <si>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</si>
  <si>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</si>
  <si>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</si>
  <si>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</si>
  <si>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</si>
  <si>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</si>
  <si>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</si>
  <si>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</si>
  <si>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</si>
  <si>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</si>
  <si>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</si>
  <si>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</si>
  <si>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</si>
  <si>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</si>
  <si>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</si>
  <si>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</si>
  <si>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</si>
  <si>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</si>
  <si>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</si>
  <si>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</si>
  <si>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</si>
  <si>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</si>
  <si>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</si>
  <si>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</si>
  <si>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</si>
  <si>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</si>
  <si>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</si>
  <si>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</si>
  <si>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</si>
  <si>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</si>
  <si>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</si>
  <si>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</si>
  <si>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</si>
  <si>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</si>
  <si>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</si>
  <si>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</si>
  <si>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</si>
  <si>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</si>
  <si>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</si>
  <si>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</si>
  <si>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</si>
  <si>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</si>
  <si>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</si>
  <si>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</si>
  <si>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</si>
  <si>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</si>
  <si>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</si>
  <si>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</si>
  <si>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</si>
  <si>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</si>
  <si>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</si>
  <si>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</si>
  <si>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</si>
  <si>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</si>
  <si>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</si>
  <si>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</si>
  <si>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</si>
  <si>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</si>
  <si>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</si>
  <si>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</si>
  <si>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</si>
  <si>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</si>
  <si>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</si>
  <si>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</si>
  <si>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</si>
  <si>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</si>
  <si>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</si>
  <si>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</si>
  <si>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</si>
  <si>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</si>
  <si>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</si>
  <si>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</si>
  <si>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</si>
  <si>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</si>
  <si>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</si>
  <si>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</si>
  <si>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</si>
  <si>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</si>
  <si>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</si>
  <si>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</si>
  <si>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</si>
  <si>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</si>
  <si>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</si>
  <si>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</si>
  <si>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</si>
  <si>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</si>
  <si>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</si>
  <si>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</si>
  <si>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</si>
  <si>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</si>
  <si>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</si>
  <si>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</si>
  <si>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</si>
  <si>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</si>
  <si>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</si>
  <si>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</si>
  <si>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</si>
  <si>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</si>
  <si>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</si>
  <si>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</si>
  <si>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</si>
  <si>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</si>
  <si>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</si>
  <si>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</si>
  <si>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</si>
  <si>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</si>
  <si>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</si>
  <si>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</si>
  <si>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</si>
  <si>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</si>
  <si>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</si>
  <si>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</si>
  <si>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</si>
  <si>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</si>
  <si>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</si>
  <si>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</si>
  <si>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</si>
  <si>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</si>
  <si>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</si>
  <si>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</si>
  <si>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</si>
  <si>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</si>
  <si>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</si>
  <si>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</si>
  <si>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</si>
  <si>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</si>
  <si>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</si>
  <si>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</si>
  <si>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</si>
  <si>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</si>
  <si>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</si>
  <si>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</si>
  <si>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</si>
  <si>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</si>
  <si>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</si>
  <si>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</si>
  <si>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</si>
  <si>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</si>
  <si>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</si>
  <si>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</si>
  <si>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</si>
  <si>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</si>
  <si>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</si>
  <si>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</si>
  <si>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</si>
  <si>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</si>
  <si>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</si>
  <si>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</si>
  <si>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</si>
  <si>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</si>
  <si>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</si>
  <si>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</si>
  <si>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</si>
  <si>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</si>
  <si>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</si>
  <si>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</si>
  <si>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</si>
  <si>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</si>
  <si>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</si>
  <si>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</si>
  <si>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</si>
  <si>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</si>
  <si>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</si>
  <si>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</si>
  <si>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</si>
  <si>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</si>
  <si>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</si>
  <si>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</si>
  <si>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</si>
  <si>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</si>
  <si>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</si>
  <si>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</si>
  <si>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</si>
  <si>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</si>
  <si>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</si>
  <si>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</si>
  <si>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</si>
  <si>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</si>
  <si>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</si>
  <si>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</si>
  <si>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</si>
  <si>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</si>
  <si>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</si>
  <si>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</si>
  <si>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</si>
  <si>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</si>
  <si>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</si>
  <si>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NACIONALIDADE</t>
  </si>
  <si>
    <t xml:space="preserve">GOLS</t>
  </si>
  <si>
    <t xml:space="preserve">JOGOS</t>
  </si>
  <si>
    <t xml:space="preserve">OBSERVAÇÕES</t>
  </si>
  <si>
    <t xml:space="preserve">Alex Choco</t>
  </si>
  <si>
    <t xml:space="preserve">Alex Honorio Junior</t>
  </si>
  <si>
    <t xml:space="preserve">brasil</t>
  </si>
  <si>
    <t xml:space="preserve">15 bataguassums</t>
  </si>
  <si>
    <t xml:space="preserve">Alex Bruno</t>
  </si>
  <si>
    <t xml:space="preserve">Alex Bruno da Costa Lima</t>
  </si>
  <si>
    <t xml:space="preserve">Vanilson</t>
  </si>
  <si>
    <t xml:space="preserve">Vanilson de Lima Silva</t>
  </si>
  <si>
    <t xml:space="preserve">Carlos Vinicius</t>
  </si>
  <si>
    <t xml:space="preserve">Carlos Vinicius Alves Morais</t>
  </si>
  <si>
    <t xml:space="preserve">Calleri</t>
  </si>
  <si>
    <t xml:space="preserve">Jonathan Calleri</t>
  </si>
  <si>
    <t xml:space="preserve">argentina</t>
  </si>
  <si>
    <t xml:space="preserve">Anselmo Ramon</t>
  </si>
  <si>
    <t xml:space="preserve">Anselmo Ramon Alves Herculano</t>
  </si>
  <si>
    <t xml:space="preserve">Felipe Clemente</t>
  </si>
  <si>
    <t xml:space="preserve">Luiz Felipe Clemente de Almeida</t>
  </si>
  <si>
    <t xml:space="preserve">Mikael</t>
  </si>
  <si>
    <t xml:space="preserve">Mikael Filipe Viana de Sousa</t>
  </si>
  <si>
    <t xml:space="preserve">Mano</t>
  </si>
  <si>
    <t xml:space="preserve">Antonio Luis dos Santos</t>
  </si>
  <si>
    <t xml:space="preserve">Ronaldo Tavares</t>
  </si>
  <si>
    <t xml:space="preserve">Ronaldo Rodrigues Tavares</t>
  </si>
  <si>
    <t xml:space="preserve">portugal</t>
  </si>
  <si>
    <t xml:space="preserve">Kaio Jorge</t>
  </si>
  <si>
    <t xml:space="preserve">Kaio Jorge Pinto Ramos</t>
  </si>
  <si>
    <t xml:space="preserve">Lucas Lima</t>
  </si>
  <si>
    <t xml:space="preserve">Lucas de Lima Maximo</t>
  </si>
  <si>
    <t xml:space="preserve">Gabriel Taliari</t>
  </si>
  <si>
    <t xml:space="preserve">Gabriel Pereira Taliari</t>
  </si>
  <si>
    <t xml:space="preserve">6 juventuders</t>
  </si>
  <si>
    <t xml:space="preserve">Dellatorre</t>
  </si>
  <si>
    <t xml:space="preserve">Guilherme Augusto Alves Dellatorre</t>
  </si>
  <si>
    <t xml:space="preserve">Juan Palacios</t>
  </si>
  <si>
    <t xml:space="preserve">Juan Diego Palacios Ricardo</t>
  </si>
  <si>
    <t xml:space="preserve">colombia</t>
  </si>
  <si>
    <t xml:space="preserve">8 jiparanaro</t>
  </si>
  <si>
    <t xml:space="preserve">Bruno Santos</t>
  </si>
  <si>
    <t xml:space="preserve">Bruno Santos de Oliveira</t>
  </si>
  <si>
    <t xml:space="preserve">Luketa</t>
  </si>
  <si>
    <t xml:space="preserve">Lucas Henrique Luciano</t>
  </si>
  <si>
    <t xml:space="preserve">Pedro</t>
  </si>
  <si>
    <t xml:space="preserve">Pedro Guilherme Abreu dos Santos</t>
  </si>
  <si>
    <t xml:space="preserve">Flaco Lopez</t>
  </si>
  <si>
    <t xml:space="preserve">Jose Manuel Alberto Lopez</t>
  </si>
  <si>
    <t xml:space="preserve">Paulo Sérgio</t>
  </si>
  <si>
    <t xml:space="preserve">Paulo Sergio Luiz de Souza</t>
  </si>
  <si>
    <t xml:space="preserve">Italo</t>
  </si>
  <si>
    <t xml:space="preserve">Italo de Carvalho Rocha Lima</t>
  </si>
  <si>
    <t xml:space="preserve">Rene</t>
  </si>
  <si>
    <t xml:space="preserve">Carlos Rene de Sousa Ferreira</t>
  </si>
  <si>
    <t xml:space="preserve">7 portuguesasp</t>
  </si>
  <si>
    <t xml:space="preserve">Macario</t>
  </si>
  <si>
    <t xml:space="preserve">Matheus Moraes Macario de Souza</t>
  </si>
  <si>
    <t xml:space="preserve">8 taubatesp</t>
  </si>
  <si>
    <t xml:space="preserve">Gustavo Tonoli</t>
  </si>
  <si>
    <t xml:space="preserve">Gustavo Rodrigues Tonoli</t>
  </si>
  <si>
    <t xml:space="preserve">Juninho</t>
  </si>
  <si>
    <t xml:space="preserve">José Romualdo Pedro Junior</t>
  </si>
  <si>
    <t xml:space="preserve">7 osascosp</t>
  </si>
  <si>
    <t xml:space="preserve">Robson</t>
  </si>
  <si>
    <t xml:space="preserve">Robson dos Santos Fernandes</t>
  </si>
  <si>
    <t xml:space="preserve">Rafael Carioca</t>
  </si>
  <si>
    <t xml:space="preserve">Rafael William Ribeiro Mendonça</t>
  </si>
  <si>
    <t xml:space="preserve">Tiago Recife</t>
  </si>
  <si>
    <t xml:space="preserve">Tiago Souza de Lima</t>
  </si>
  <si>
    <t xml:space="preserve">Lucas Alves</t>
  </si>
  <si>
    <t xml:space="preserve">5 fozdoiguacupr</t>
  </si>
  <si>
    <t xml:space="preserve">Vitor Xavier</t>
  </si>
  <si>
    <t xml:space="preserve">Vitor Xavier de Campos Humeni</t>
  </si>
  <si>
    <t xml:space="preserve">Edison Negueba</t>
  </si>
  <si>
    <t xml:space="preserve">Edson Gustódio dos Santos</t>
  </si>
  <si>
    <t xml:space="preserve">Everton Heleno</t>
  </si>
  <si>
    <t xml:space="preserve">Everton Heleno dos Santos</t>
  </si>
  <si>
    <t xml:space="preserve">5 campinensepb</t>
  </si>
  <si>
    <t xml:space="preserve">Gabriel Barbosa</t>
  </si>
  <si>
    <t xml:space="preserve">Gabriel Barbosa Almeida</t>
  </si>
  <si>
    <t xml:space="preserve">Kaua Giancler</t>
  </si>
  <si>
    <t xml:space="preserve">Kaua Giancler Machado da Silva</t>
  </si>
  <si>
    <t xml:space="preserve">Paulinho</t>
  </si>
  <si>
    <t xml:space="preserve">Paulo Cesar de Oliveira</t>
  </si>
  <si>
    <t xml:space="preserve">7 qfcrn</t>
  </si>
  <si>
    <t xml:space="preserve">Carlão</t>
  </si>
  <si>
    <t xml:space="preserve">Carlos Henrique de Moura Brito</t>
  </si>
  <si>
    <t xml:space="preserve">4 noroestesp</t>
  </si>
  <si>
    <t xml:space="preserve">Daniel Cruz</t>
  </si>
  <si>
    <t xml:space="preserve">Daniel Paulo da Cruz</t>
  </si>
  <si>
    <t xml:space="preserve">Matheus Lagoa</t>
  </si>
  <si>
    <t xml:space="preserve">Matheus Vinicius da Silva</t>
  </si>
  <si>
    <t xml:space="preserve">Patrick</t>
  </si>
  <si>
    <t xml:space="preserve">Patrick Leonardo Carneiro da Silva</t>
  </si>
  <si>
    <t xml:space="preserve">Paulo Marcelo</t>
  </si>
  <si>
    <t xml:space="preserve">Paulo Marcelo Souza Alves</t>
  </si>
  <si>
    <t xml:space="preserve">Everton Kanela</t>
  </si>
  <si>
    <t xml:space="preserve">Everton Silva Amaro</t>
  </si>
  <si>
    <t xml:space="preserve">7 gremioprudentesp</t>
  </si>
  <si>
    <t xml:space="preserve">Rian Santana</t>
  </si>
  <si>
    <t xml:space="preserve">Rian Bonfim de Santana</t>
  </si>
  <si>
    <t xml:space="preserve">Yohan Marcellus</t>
  </si>
  <si>
    <t xml:space="preserve">Yohan Marcellus Nogueira Miranda</t>
  </si>
  <si>
    <t xml:space="preserve">Marcos Papa</t>
  </si>
  <si>
    <t xml:space="preserve">Marcos Henrique da Silva Santos</t>
  </si>
  <si>
    <t xml:space="preserve">John Kennedy</t>
  </si>
  <si>
    <t xml:space="preserve">John Kennedy Batista de Souza</t>
  </si>
  <si>
    <t xml:space="preserve">Eric Santos</t>
  </si>
  <si>
    <t xml:space="preserve">Eric Santos do Rosario</t>
  </si>
  <si>
    <t xml:space="preserve">Gabriel Poveda</t>
  </si>
  <si>
    <t xml:space="preserve">Gabriel Buscariol Poveda</t>
  </si>
  <si>
    <t xml:space="preserve">5 primaverasp</t>
  </si>
  <si>
    <t xml:space="preserve">Leozinho</t>
  </si>
  <si>
    <t xml:space="preserve">Leonardo Santos Bezerra da Silva</t>
  </si>
  <si>
    <t xml:space="preserve">Iury Castilho</t>
  </si>
  <si>
    <t xml:space="preserve">Iury Lirio Freitas de Castilho</t>
  </si>
  <si>
    <t xml:space="preserve">Manoel</t>
  </si>
  <si>
    <t xml:space="preserve">Manoel Cristiano Ribeiro Lemes</t>
  </si>
  <si>
    <t xml:space="preserve">Romarinho</t>
  </si>
  <si>
    <t xml:space="preserve">Francisco Romario da Silva Lima</t>
  </si>
  <si>
    <t xml:space="preserve">Vitor Ramos</t>
  </si>
  <si>
    <t xml:space="preserve">Alex Gonçalves</t>
  </si>
  <si>
    <t xml:space="preserve">Alex Gonçalves dos Santos</t>
  </si>
  <si>
    <t xml:space="preserve">Jonathan Chula</t>
  </si>
  <si>
    <t xml:space="preserve">Jonathan Maciel dos Anjjos</t>
  </si>
  <si>
    <t xml:space="preserve">Lohan</t>
  </si>
  <si>
    <t xml:space="preserve">Lohan dos Santos Freire</t>
  </si>
  <si>
    <t xml:space="preserve">Patryck Ferreira</t>
  </si>
  <si>
    <t xml:space="preserve">Patryck Magalhaes Ferreira</t>
  </si>
  <si>
    <t xml:space="preserve">6 bangurj</t>
  </si>
  <si>
    <t xml:space="preserve">Viveros</t>
  </si>
  <si>
    <t xml:space="preserve">Kevin Stiven Viveros Rodallega</t>
  </si>
  <si>
    <t xml:space="preserve">Luizinho</t>
  </si>
  <si>
    <t xml:space="preserve">Luis Fernando Santos Silva</t>
  </si>
  <si>
    <t xml:space="preserve">Michael Paulista</t>
  </si>
  <si>
    <t xml:space="preserve">Michael da Silva Alves</t>
  </si>
  <si>
    <t xml:space="preserve">Nicolas</t>
  </si>
  <si>
    <t xml:space="preserve">Nicolas Godinho Johann</t>
  </si>
  <si>
    <t xml:space="preserve">Victhor Pará</t>
  </si>
  <si>
    <t xml:space="preserve">Victhor Gabriel Alves Barros</t>
  </si>
  <si>
    <t xml:space="preserve">Vina</t>
  </si>
  <si>
    <t xml:space="preserve">Vinicius Goes Barbosa de Souza</t>
  </si>
  <si>
    <t xml:space="preserve">Clessione</t>
  </si>
  <si>
    <t xml:space="preserve">Clessione Santos Silva</t>
  </si>
  <si>
    <t xml:space="preserve">Di Maria</t>
  </si>
  <si>
    <t xml:space="preserve">Jeferson Carvalho da Silva</t>
  </si>
  <si>
    <t xml:space="preserve">Fabinho</t>
  </si>
  <si>
    <t xml:space="preserve">Fabio Henrique Silva de Souza</t>
  </si>
  <si>
    <t xml:space="preserve">Gabriel Rosseto</t>
  </si>
  <si>
    <t xml:space="preserve">Gabriel Barcelos Rossetto</t>
  </si>
  <si>
    <t xml:space="preserve">5 northmg</t>
  </si>
  <si>
    <t xml:space="preserve">JP Bardales</t>
  </si>
  <si>
    <t xml:space="preserve">João Pedro Bardales da Silva</t>
  </si>
  <si>
    <t xml:space="preserve">1 primaveramt / 4 santacruzac</t>
  </si>
  <si>
    <t xml:space="preserve">Magno</t>
  </si>
  <si>
    <t xml:space="preserve">Magno dos Santos Ribeiro</t>
  </si>
  <si>
    <t xml:space="preserve">Prado</t>
  </si>
  <si>
    <t xml:space="preserve">Matheus Vinicius do Prado</t>
  </si>
  <si>
    <t xml:space="preserve">Tiago Moura</t>
  </si>
  <si>
    <t xml:space="preserve">Tiago Cardoso Moura</t>
  </si>
  <si>
    <t xml:space="preserve">Wellisson</t>
  </si>
  <si>
    <t xml:space="preserve">Welisson Almeida Nunes</t>
  </si>
  <si>
    <t xml:space="preserve">6 avenidars</t>
  </si>
  <si>
    <t xml:space="preserve">Danilo</t>
  </si>
  <si>
    <t xml:space="preserve">Danilo dos Santos de Oliveira</t>
  </si>
  <si>
    <t xml:space="preserve">Emerson</t>
  </si>
  <si>
    <t xml:space="preserve">Emerson Eduardo dos Santos Machado</t>
  </si>
  <si>
    <t xml:space="preserve">Emerson Carioca</t>
  </si>
  <si>
    <t xml:space="preserve">Emerson Oliveira de Almeida</t>
  </si>
  <si>
    <t xml:space="preserve">Renato Kayser</t>
  </si>
  <si>
    <t xml:space="preserve">Renato Kayzer de Souza</t>
  </si>
  <si>
    <t xml:space="preserve">Romario</t>
  </si>
  <si>
    <t xml:space="preserve">Romario Simoes de Oliveira Santos</t>
  </si>
  <si>
    <t xml:space="preserve">4 itabiritomg</t>
  </si>
  <si>
    <t xml:space="preserve">Caiuby</t>
  </si>
  <si>
    <t xml:space="preserve">Caiuby Francisco da Silva</t>
  </si>
  <si>
    <t xml:space="preserve">Leo Rafael</t>
  </si>
  <si>
    <t xml:space="preserve">Leonardo Rafael dos Santos</t>
  </si>
  <si>
    <t xml:space="preserve">Willian Jose</t>
  </si>
  <si>
    <t xml:space="preserve">Willian Jose da Silva</t>
  </si>
  <si>
    <t xml:space="preserve">Borre</t>
  </si>
  <si>
    <t xml:space="preserve">Rafael Santos Borre Amaury</t>
  </si>
  <si>
    <t xml:space="preserve">David Ribeiro</t>
  </si>
  <si>
    <t xml:space="preserve">David Ribeiro Pereira</t>
  </si>
  <si>
    <t xml:space="preserve">Everaldo</t>
  </si>
  <si>
    <t xml:space="preserve">Everaldo Stum</t>
  </si>
  <si>
    <t xml:space="preserve">2 fluminenserj</t>
  </si>
  <si>
    <t xml:space="preserve">Kaua Maranhao</t>
  </si>
  <si>
    <t xml:space="preserve">Kauan Almeida da Costa</t>
  </si>
  <si>
    <t xml:space="preserve">Romulo</t>
  </si>
  <si>
    <t xml:space="preserve">Romulo Azevedo Simao</t>
  </si>
  <si>
    <t xml:space="preserve">Breno Melo</t>
  </si>
  <si>
    <t xml:space="preserve">Breno Ruan Melo Almeida</t>
  </si>
  <si>
    <t xml:space="preserve">Elkin Munoz</t>
  </si>
  <si>
    <t xml:space="preserve">Elkin Israel Munoz Calderon</t>
  </si>
  <si>
    <t xml:space="preserve">equador</t>
  </si>
  <si>
    <t xml:space="preserve">Hernane Brocador</t>
  </si>
  <si>
    <t xml:space="preserve">Hernane Vidas de Souza</t>
  </si>
  <si>
    <t xml:space="preserve">Luan Viana</t>
  </si>
  <si>
    <t xml:space="preserve">Luan Viana Patrocinio</t>
  </si>
  <si>
    <t xml:space="preserve">2 cracgo</t>
  </si>
  <si>
    <t xml:space="preserve">João Pedro Rodrigues da Silva Pereira</t>
  </si>
  <si>
    <t xml:space="preserve">5 taubatesp</t>
  </si>
  <si>
    <t xml:space="preserve">Vitor Roque</t>
  </si>
  <si>
    <t xml:space="preserve">Vitor Hugo Roque Ferreira</t>
  </si>
  <si>
    <t xml:space="preserve">Wanderson Gotinha</t>
  </si>
  <si>
    <t xml:space="preserve">Wanderson Pinheiro Diniz</t>
  </si>
  <si>
    <t xml:space="preserve">2 motoclubma</t>
  </si>
  <si>
    <t xml:space="preserve">Rafa Marcos</t>
  </si>
  <si>
    <t xml:space="preserve">Rafael Silva Marcos</t>
  </si>
  <si>
    <t xml:space="preserve">Douglas Baggio</t>
  </si>
  <si>
    <t xml:space="preserve">Douglas Baggio de Oliveira Costa</t>
  </si>
  <si>
    <t xml:space="preserve">Leo Bahia</t>
  </si>
  <si>
    <t xml:space="preserve">Francisco Eliomar Rodrigues</t>
  </si>
  <si>
    <t xml:space="preserve">Lucas Santos</t>
  </si>
  <si>
    <t xml:space="preserve">Lucas dos Santos Lima</t>
  </si>
  <si>
    <t xml:space="preserve">Gabriel Moyses</t>
  </si>
  <si>
    <t xml:space="preserve">Gabriel da Silva Moyses</t>
  </si>
  <si>
    <t xml:space="preserve">5 urtmg</t>
  </si>
  <si>
    <t xml:space="preserve">Thauan França</t>
  </si>
  <si>
    <t xml:space="preserve">Thauan Facundini França</t>
  </si>
  <si>
    <t xml:space="preserve">Adriel</t>
  </si>
  <si>
    <t xml:space="preserve">Adriel Henrique Sousa Bastos</t>
  </si>
  <si>
    <t xml:space="preserve">Igor Bahia</t>
  </si>
  <si>
    <t xml:space="preserve">Igor Ruan Sousa dos Santos</t>
  </si>
  <si>
    <t xml:space="preserve">Lucas Paqueta</t>
  </si>
  <si>
    <t xml:space="preserve">Lucas Tolentino Coelho de Lima</t>
  </si>
  <si>
    <t xml:space="preserve">Luiz Henrique</t>
  </si>
  <si>
    <t xml:space="preserve">Luis Henrique Silva de Oliveira</t>
  </si>
  <si>
    <t xml:space="preserve">Picadinho</t>
  </si>
  <si>
    <t xml:space="preserve">Luiz Fernando dos Santos Oliveira Junior</t>
  </si>
  <si>
    <t xml:space="preserve">Felipe Hulk</t>
  </si>
  <si>
    <t xml:space="preserve">Felipe Gustavo Pinheiro Pereira</t>
  </si>
  <si>
    <t xml:space="preserve">5 maranguapece</t>
  </si>
  <si>
    <t xml:space="preserve">Leandro Sampaio</t>
  </si>
  <si>
    <t xml:space="preserve">Leonardo da Silva Teixeira</t>
  </si>
  <si>
    <t xml:space="preserve">Caio Vidal</t>
  </si>
  <si>
    <t xml:space="preserve">Caio Oliveira Vidal</t>
  </si>
  <si>
    <t xml:space="preserve">Kadu Barone</t>
  </si>
  <si>
    <t xml:space="preserve">Carlos Eduardo Baroni Barboza</t>
  </si>
  <si>
    <t xml:space="preserve">Luam Parede</t>
  </si>
  <si>
    <t xml:space="preserve">Luam Henrique Pimentel Quintas</t>
  </si>
  <si>
    <t xml:space="preserve">Pingo</t>
  </si>
  <si>
    <t xml:space="preserve">Tarcisio Lopes da Silva</t>
  </si>
  <si>
    <t xml:space="preserve">Silvano</t>
  </si>
  <si>
    <t xml:space="preserve">Silvano Silveira Irigaray de Miranda</t>
  </si>
  <si>
    <t xml:space="preserve">5 trezepb</t>
  </si>
  <si>
    <t xml:space="preserve">Andrey</t>
  </si>
  <si>
    <t xml:space="preserve">Andrey Carlos da Silva de Oliveira</t>
  </si>
  <si>
    <t xml:space="preserve">Arthur</t>
  </si>
  <si>
    <t xml:space="preserve">Arthur da Silva Martins</t>
  </si>
  <si>
    <t xml:space="preserve">Betinho</t>
  </si>
  <si>
    <t xml:space="preserve">Carlos Alberto Santos da Silva</t>
  </si>
  <si>
    <t xml:space="preserve">Caique Calito</t>
  </si>
  <si>
    <t xml:space="preserve">Caique Calito Fernandes Costa</t>
  </si>
  <si>
    <t xml:space="preserve">Fabio Junior</t>
  </si>
  <si>
    <t xml:space="preserve">Fabio Junior Moura Guimaraes</t>
  </si>
  <si>
    <t xml:space="preserve">Jailson</t>
  </si>
  <si>
    <t xml:space="preserve">Edjailson Nascimento da Silva</t>
  </si>
  <si>
    <t xml:space="preserve">Jean</t>
  </si>
  <si>
    <t xml:space="preserve">Jean Italo Gomes Lima</t>
  </si>
  <si>
    <t xml:space="preserve">5 motoclubma</t>
  </si>
  <si>
    <t xml:space="preserve">Patrikao</t>
  </si>
  <si>
    <t xml:space="preserve">Patrick Correia Sales</t>
  </si>
  <si>
    <t xml:space="preserve">Pedro Rocha</t>
  </si>
  <si>
    <t xml:space="preserve">Pedro Rocha Neves</t>
  </si>
  <si>
    <t xml:space="preserve">Vinicius Peixoto</t>
  </si>
  <si>
    <t xml:space="preserve">Vinicius Peixoto Trindade da Silva</t>
  </si>
  <si>
    <t xml:space="preserve">4 fozdoiguacupr</t>
  </si>
  <si>
    <t xml:space="preserve">Wandson</t>
  </si>
  <si>
    <t xml:space="preserve">Francisco Wandson Braga de Araujo</t>
  </si>
  <si>
    <t xml:space="preserve">Yuri Alberto</t>
  </si>
  <si>
    <t xml:space="preserve">Yuri Alberto Monteiro da Silva</t>
  </si>
  <si>
    <t xml:space="preserve">Alisson Farias</t>
  </si>
  <si>
    <t xml:space="preserve">Jose Alisson Silva de Farias</t>
  </si>
  <si>
    <t xml:space="preserve">Vinicius</t>
  </si>
  <si>
    <t xml:space="preserve">Vinicius Santos Silva</t>
  </si>
  <si>
    <t xml:space="preserve">Assis</t>
  </si>
  <si>
    <t xml:space="preserve">Redney Emanuel de Jesus Assis</t>
  </si>
  <si>
    <t xml:space="preserve">Iury Tanque</t>
  </si>
  <si>
    <t xml:space="preserve">Erickson Iury de Oliveira Lima</t>
  </si>
  <si>
    <t xml:space="preserve">4 anapolinago</t>
  </si>
  <si>
    <t xml:space="preserve">Kayke</t>
  </si>
  <si>
    <t xml:space="preserve">Kayke Moreno de Andrade Rodrigues</t>
  </si>
  <si>
    <t xml:space="preserve">Octavio</t>
  </si>
  <si>
    <t xml:space="preserve">Octavio Cruz Manhaes</t>
  </si>
  <si>
    <t xml:space="preserve">Paulo Rangel</t>
  </si>
  <si>
    <t xml:space="preserve">Paulo Rangel do Nascimento Gomes</t>
  </si>
  <si>
    <t xml:space="preserve">Luan</t>
  </si>
  <si>
    <t xml:space="preserve">Luan Rodrigues Azambuja</t>
  </si>
  <si>
    <t xml:space="preserve">Matheusinho</t>
  </si>
  <si>
    <t xml:space="preserve">Matheus Cotulio Bossa</t>
  </si>
  <si>
    <t xml:space="preserve">Aleilson</t>
  </si>
  <si>
    <t xml:space="preserve">Aleilson de Souza Rabelo</t>
  </si>
  <si>
    <t xml:space="preserve">5 independenteap</t>
  </si>
  <si>
    <t xml:space="preserve">Arua</t>
  </si>
  <si>
    <t xml:space="preserve">Alexandre Tubias Pontes</t>
  </si>
  <si>
    <t xml:space="preserve">Bismarck</t>
  </si>
  <si>
    <t xml:space="preserve">Bismarck Vinicius Freire do Nascimento</t>
  </si>
  <si>
    <t xml:space="preserve">2 luminensema / 1 parnahybapi</t>
  </si>
  <si>
    <t xml:space="preserve">Chiqueti</t>
  </si>
  <si>
    <t xml:space="preserve">Felipe Chiqueti Bandeira</t>
  </si>
  <si>
    <t xml:space="preserve">Ibrahim</t>
  </si>
  <si>
    <t xml:space="preserve">Ahmed Adekunle Ibrahim</t>
  </si>
  <si>
    <t xml:space="preserve">nigeria</t>
  </si>
  <si>
    <t xml:space="preserve">Jhonata Robert</t>
  </si>
  <si>
    <t xml:space="preserve">Jhonata Robert Alves da Silva</t>
  </si>
  <si>
    <t xml:space="preserve">Leo Carvalho</t>
  </si>
  <si>
    <t xml:space="preserve">Leonardo de Carvalho Sousa</t>
  </si>
  <si>
    <t xml:space="preserve">Vagner Love</t>
  </si>
  <si>
    <t xml:space="preserve">Vagner Silva de Souza</t>
  </si>
  <si>
    <t xml:space="preserve">Ygor Catatau</t>
  </si>
  <si>
    <t xml:space="preserve">Ygor de Oliveira Ferreira</t>
  </si>
  <si>
    <t xml:space="preserve">Edenilson</t>
  </si>
  <si>
    <t xml:space="preserve">Edenilson Andrade dos Santos</t>
  </si>
  <si>
    <t xml:space="preserve">3 gremiors</t>
  </si>
  <si>
    <t xml:space="preserve">Gabriel</t>
  </si>
  <si>
    <t xml:space="preserve">Gabriel Henrique Dias Ferreira </t>
  </si>
  <si>
    <t xml:space="preserve">Iago Teles</t>
  </si>
  <si>
    <t xml:space="preserve">Iago Teles da Silva</t>
  </si>
  <si>
    <t xml:space="preserve">Robinho</t>
  </si>
  <si>
    <t xml:space="preserve">Vitor do Carmo Soares Pereira</t>
  </si>
  <si>
    <t xml:space="preserve">Ruan Costa</t>
  </si>
  <si>
    <t xml:space="preserve">Ruan Costa de Freitas</t>
  </si>
  <si>
    <t xml:space="preserve">Cassiano</t>
  </si>
  <si>
    <t xml:space="preserve">Cassiano Bouzon Jesus</t>
  </si>
  <si>
    <t xml:space="preserve">Guilherme Marques</t>
  </si>
  <si>
    <t xml:space="preserve">Guilherme Costa Marques</t>
  </si>
  <si>
    <t xml:space="preserve">Hulk</t>
  </si>
  <si>
    <t xml:space="preserve">Givanildo Vieira de Souza</t>
  </si>
  <si>
    <t xml:space="preserve">João Vieira</t>
  </si>
  <si>
    <t xml:space="preserve">João Pedro Vieira</t>
  </si>
  <si>
    <t xml:space="preserve">Paulo Cesar Fonseca Brandao</t>
  </si>
  <si>
    <t xml:space="preserve">PH</t>
  </si>
  <si>
    <t xml:space="preserve">Paulo Henrique dos Santos</t>
  </si>
  <si>
    <t xml:space="preserve">Serna</t>
  </si>
  <si>
    <t xml:space="preserve">Kevin Steven Serna Jaramillo</t>
  </si>
  <si>
    <t xml:space="preserve">Wermeson</t>
  </si>
  <si>
    <t xml:space="preserve">Wermeson do Carmo Silva</t>
  </si>
  <si>
    <t xml:space="preserve">4 camboriusc</t>
  </si>
  <si>
    <t xml:space="preserve">Gustavo</t>
  </si>
  <si>
    <t xml:space="preserve">Gustavo Alexandre Barbosa do Nascimento</t>
  </si>
  <si>
    <t xml:space="preserve">Neto Berola</t>
  </si>
  <si>
    <t xml:space="preserve">Sosthenes José Santos Sallos</t>
  </si>
  <si>
    <t xml:space="preserve">Bruno Nunes</t>
  </si>
  <si>
    <t xml:space="preserve">Bruno Fernandes Nunes</t>
  </si>
  <si>
    <t xml:space="preserve">2 catanduvasp</t>
  </si>
  <si>
    <t xml:space="preserve">Christian</t>
  </si>
  <si>
    <t xml:space="preserve">Christian Roberto Alves Cardoso</t>
  </si>
  <si>
    <t xml:space="preserve">Thiago Montelo</t>
  </si>
  <si>
    <t xml:space="preserve">Thiago Montelo Pereira</t>
  </si>
  <si>
    <t xml:space="preserve">Erick</t>
  </si>
  <si>
    <t xml:space="preserve">Erick Luis Conrado Carvalho</t>
  </si>
  <si>
    <t xml:space="preserve">Luiz Thiago</t>
  </si>
  <si>
    <t xml:space="preserve">Luiz Thiago Martins da Silva</t>
  </si>
  <si>
    <t xml:space="preserve">Rafael Carvalheira</t>
  </si>
  <si>
    <t xml:space="preserve">Rafael dos Santos Carvalheira </t>
  </si>
  <si>
    <t xml:space="preserve">Leo Jaco</t>
  </si>
  <si>
    <t xml:space="preserve">Leonardo Gomes da Silva Jaco</t>
  </si>
  <si>
    <t xml:space="preserve">Alan Patrick</t>
  </si>
  <si>
    <t xml:space="preserve">Alan Patrick Lourenço</t>
  </si>
  <si>
    <t xml:space="preserve">Christopher</t>
  </si>
  <si>
    <t xml:space="preserve">Christopher Henrique Ozana</t>
  </si>
  <si>
    <t xml:space="preserve">Julio Cesar</t>
  </si>
  <si>
    <t xml:space="preserve">Julio Cesar Bezerra da Silva</t>
  </si>
  <si>
    <t xml:space="preserve">Vinicius Macedo Joaninha</t>
  </si>
  <si>
    <t xml:space="preserve">Vinicius dos Reis Macedo</t>
  </si>
  <si>
    <t xml:space="preserve">Gullyt Capixaba</t>
  </si>
  <si>
    <t xml:space="preserve">Gullyt da Silva dos Santos</t>
  </si>
  <si>
    <t xml:space="preserve">João Leonardo</t>
  </si>
  <si>
    <t xml:space="preserve">João Leonardo Risuenho do Rosário</t>
  </si>
  <si>
    <t xml:space="preserve">Pedro Dias</t>
  </si>
  <si>
    <t xml:space="preserve">Pedro Henrique Souza dias</t>
  </si>
  <si>
    <t xml:space="preserve">Thaciano</t>
  </si>
  <si>
    <t xml:space="preserve">Thaciano Mickael da Silva</t>
  </si>
  <si>
    <t xml:space="preserve">Willian Fazendinha</t>
  </si>
  <si>
    <t xml:space="preserve">Willian Vasconcelos Fernandes</t>
  </si>
  <si>
    <t xml:space="preserve">Bambam</t>
  </si>
  <si>
    <t xml:space="preserve">Claudivan dos Santos Bezerra</t>
  </si>
  <si>
    <t xml:space="preserve">Matheus Nego</t>
  </si>
  <si>
    <t xml:space="preserve">Matheus Morais Pereira</t>
  </si>
  <si>
    <t xml:space="preserve">Aldair</t>
  </si>
  <si>
    <t xml:space="preserve">Aldair da Silva Alves</t>
  </si>
  <si>
    <t xml:space="preserve">Camilo</t>
  </si>
  <si>
    <t xml:space="preserve">Fernando Camilo Farias</t>
  </si>
  <si>
    <t xml:space="preserve">Elias</t>
  </si>
  <si>
    <t xml:space="preserve">Elias Constantino Pereira Filho</t>
  </si>
  <si>
    <t xml:space="preserve">Felipe Augusto</t>
  </si>
  <si>
    <t xml:space="preserve">Felipe Augusto da Silva de Souza</t>
  </si>
  <si>
    <t xml:space="preserve">Leandro</t>
  </si>
  <si>
    <t xml:space="preserve">Leandro Alves da Silva Filho</t>
  </si>
  <si>
    <t xml:space="preserve">Marquinho</t>
  </si>
  <si>
    <t xml:space="preserve">Marcos Antonio da Silva Roque</t>
  </si>
  <si>
    <t xml:space="preserve">Tiko</t>
  </si>
  <si>
    <t xml:space="preserve">Flavio Sued Dias Soares</t>
  </si>
  <si>
    <t xml:space="preserve">Wallyson</t>
  </si>
  <si>
    <t xml:space="preserve">Wallyson Ricardo Maciel Monteiro</t>
  </si>
  <si>
    <t xml:space="preserve">David Luis</t>
  </si>
  <si>
    <t xml:space="preserve">David Luis Pereira da Silva</t>
  </si>
  <si>
    <t xml:space="preserve">Pablo Pardal</t>
  </si>
  <si>
    <t xml:space="preserve">Pablo Silva de Lara</t>
  </si>
  <si>
    <t xml:space="preserve">Pastor</t>
  </si>
  <si>
    <t xml:space="preserve">Lucas Costa Ribeiro</t>
  </si>
  <si>
    <t xml:space="preserve">Rene Silva</t>
  </si>
  <si>
    <t xml:space="preserve">Rene da Silva</t>
  </si>
  <si>
    <t xml:space="preserve">Rodolfo</t>
  </si>
  <si>
    <t xml:space="preserve">Rodolfo Jose da Silva Bardella</t>
  </si>
  <si>
    <t xml:space="preserve">2 capivarianosp</t>
  </si>
  <si>
    <t xml:space="preserve">Samuel Lino</t>
  </si>
  <si>
    <t xml:space="preserve">Samuel Dias Lino</t>
  </si>
  <si>
    <t xml:space="preserve">Thalyson Coimbra</t>
  </si>
  <si>
    <t xml:space="preserve">Thalyson do Nascimento Coimbra</t>
  </si>
  <si>
    <t xml:space="preserve">Theo Lanza</t>
  </si>
  <si>
    <t xml:space="preserve">Theo Henrique Lanza Francisco</t>
  </si>
  <si>
    <t xml:space="preserve">Thiaguinho</t>
  </si>
  <si>
    <t xml:space="preserve">Thiago de Oliveira</t>
  </si>
  <si>
    <t xml:space="preserve">Bareiro</t>
  </si>
  <si>
    <t xml:space="preserve">Adam Fernando Bareiro Gamarra</t>
  </si>
  <si>
    <t xml:space="preserve">paraguai</t>
  </si>
  <si>
    <t xml:space="preserve">Dudu Nardini</t>
  </si>
  <si>
    <t xml:space="preserve">Eduardo Nardini</t>
  </si>
  <si>
    <t xml:space="preserve">Felipe Rangel</t>
  </si>
  <si>
    <t xml:space="preserve">Felipe Rangel dos Santos</t>
  </si>
  <si>
    <t xml:space="preserve">Fernandinho</t>
  </si>
  <si>
    <t xml:space="preserve">Fernando Brito Carvalho</t>
  </si>
  <si>
    <t xml:space="preserve">Gabriel Guimaraes</t>
  </si>
  <si>
    <t xml:space="preserve">Gabriel Guimaraes dos Santos</t>
  </si>
  <si>
    <t xml:space="preserve">João Carlos</t>
  </si>
  <si>
    <t xml:space="preserve">João Carlos Ferreira Fontoura</t>
  </si>
  <si>
    <t xml:space="preserve">João Guilherme</t>
  </si>
  <si>
    <t xml:space="preserve">João Guilherme Barcelos Neto</t>
  </si>
  <si>
    <t xml:space="preserve">Leo Itaperuna</t>
  </si>
  <si>
    <t xml:space="preserve">Leonardo de Oliveira Clemente</t>
  </si>
  <si>
    <t xml:space="preserve">Rodriguinho</t>
  </si>
  <si>
    <t xml:space="preserve">Rodrigo Araujo da Silva Filho</t>
  </si>
  <si>
    <t xml:space="preserve">Roniel</t>
  </si>
  <si>
    <t xml:space="preserve">Roniel da Silva Costa</t>
  </si>
  <si>
    <t xml:space="preserve">Welder</t>
  </si>
  <si>
    <t xml:space="preserve">Welder de Jesus Costa</t>
  </si>
  <si>
    <t xml:space="preserve">Aldair Soares dos Santos</t>
  </si>
  <si>
    <t xml:space="preserve">Diego Lanzarini</t>
  </si>
  <si>
    <t xml:space="preserve">Diego Lanzarini de Souza</t>
  </si>
  <si>
    <t xml:space="preserve">Eliel</t>
  </si>
  <si>
    <t xml:space="preserve">Eliel Chrystian Pereira Silva</t>
  </si>
  <si>
    <t xml:space="preserve">Erverson</t>
  </si>
  <si>
    <t xml:space="preserve">Erveson Luis dos Santos Alves</t>
  </si>
  <si>
    <t xml:space="preserve">3 carlosrenauxsc</t>
  </si>
  <si>
    <t xml:space="preserve">Ewerthon Braga</t>
  </si>
  <si>
    <t xml:space="preserve">Ewerthon Rodrigo Braga Soares</t>
  </si>
  <si>
    <t xml:space="preserve">Isaias</t>
  </si>
  <si>
    <t xml:space="preserve">Isaias Moreno da Silva</t>
  </si>
  <si>
    <t xml:space="preserve">Marcão</t>
  </si>
  <si>
    <t xml:space="preserve">Marcos Assis de Santana</t>
  </si>
  <si>
    <t xml:space="preserve">Marcelinho Junior</t>
  </si>
  <si>
    <t xml:space="preserve">Marcelo de Souza Santos</t>
  </si>
  <si>
    <t xml:space="preserve">Marcelo</t>
  </si>
  <si>
    <t xml:space="preserve">Marcelo de Souza dos Santos Junior</t>
  </si>
  <si>
    <t xml:space="preserve">Michel Douglas</t>
  </si>
  <si>
    <t xml:space="preserve">Michel Douglas Guedes</t>
  </si>
  <si>
    <t xml:space="preserve">Pedrinho</t>
  </si>
  <si>
    <t xml:space="preserve">Pedro Henrique da Silva Sousa</t>
  </si>
  <si>
    <t xml:space="preserve">Rhaillam</t>
  </si>
  <si>
    <t xml:space="preserve">Rhaillam Sousa Araujo</t>
  </si>
  <si>
    <t xml:space="preserve">Rincon</t>
  </si>
  <si>
    <t xml:space="preserve">Rincon Teixeira da Rocha</t>
  </si>
  <si>
    <t xml:space="preserve">Tarta</t>
  </si>
  <si>
    <t xml:space="preserve">Wallace Souza Ferreira</t>
  </si>
  <si>
    <t xml:space="preserve">Alex Silva</t>
  </si>
  <si>
    <t xml:space="preserve">Alexsandro Silva Viana</t>
  </si>
  <si>
    <t xml:space="preserve">Bryam</t>
  </si>
  <si>
    <t xml:space="preserve">Bryam Gomes da Silva Nascimento</t>
  </si>
  <si>
    <t xml:space="preserve">Carlos Alberto</t>
  </si>
  <si>
    <t xml:space="preserve">Carlos Alberto da Silva de Maria</t>
  </si>
  <si>
    <t xml:space="preserve">David</t>
  </si>
  <si>
    <t xml:space="preserve">David Wellington Souza</t>
  </si>
  <si>
    <t xml:space="preserve">David Lima</t>
  </si>
  <si>
    <t xml:space="preserve">David Barros Lima</t>
  </si>
  <si>
    <t xml:space="preserve">Felipe Jacare</t>
  </si>
  <si>
    <t xml:space="preserve">Felipe Santana Santos Conceição</t>
  </si>
  <si>
    <t xml:space="preserve">Gabriel Cassimiro</t>
  </si>
  <si>
    <t xml:space="preserve">Gabriel de Paula Cassimiro</t>
  </si>
  <si>
    <t xml:space="preserve">1 araguainato</t>
  </si>
  <si>
    <t xml:space="preserve">Henan</t>
  </si>
  <si>
    <t xml:space="preserve">Henan Faria da Silveira</t>
  </si>
  <si>
    <t xml:space="preserve">João Guilherme Alves Nunes</t>
  </si>
  <si>
    <t xml:space="preserve">João Paulo</t>
  </si>
  <si>
    <t xml:space="preserve">João Paulo Souza da Silva</t>
  </si>
  <si>
    <t xml:space="preserve">Lucas Guedes</t>
  </si>
  <si>
    <t xml:space="preserve">Lucas Pinheiro Guedes</t>
  </si>
  <si>
    <t xml:space="preserve">Marcos Calazans</t>
  </si>
  <si>
    <t xml:space="preserve">Marcos Vinicius Silva Rocha Calazans</t>
  </si>
  <si>
    <t xml:space="preserve">Matheus Melo</t>
  </si>
  <si>
    <t xml:space="preserve">Matheus Augusto de Melo</t>
  </si>
  <si>
    <t xml:space="preserve">Raphael Luz</t>
  </si>
  <si>
    <t xml:space="preserve">Raphael Luz Pessoa</t>
  </si>
  <si>
    <t xml:space="preserve">3 aparecidensego</t>
  </si>
  <si>
    <t xml:space="preserve">Raylson</t>
  </si>
  <si>
    <t xml:space="preserve">Raylson do Socorro Damasceno da Silva</t>
  </si>
  <si>
    <t xml:space="preserve">Rene Alves dos Santos</t>
  </si>
  <si>
    <t xml:space="preserve">3 nacionalpb</t>
  </si>
  <si>
    <t xml:space="preserve">Ronald Camarão</t>
  </si>
  <si>
    <t xml:space="preserve">Ronald dos Santos dos Reis</t>
  </si>
  <si>
    <t xml:space="preserve">Vinicius Kanu</t>
  </si>
  <si>
    <t xml:space="preserve">Vinicius Mendonça Santa Rosa</t>
  </si>
  <si>
    <t xml:space="preserve">Yago Pikachu</t>
  </si>
  <si>
    <t xml:space="preserve">Glaybson Yago Souza Lisboa</t>
  </si>
  <si>
    <t xml:space="preserve">Antonio Carlos</t>
  </si>
  <si>
    <t xml:space="preserve">Antonio carlos de Oliveira Pereira</t>
  </si>
  <si>
    <t xml:space="preserve">Ardley</t>
  </si>
  <si>
    <t xml:space="preserve">Ardley Oliveira Santos</t>
  </si>
  <si>
    <t xml:space="preserve">Carlos Vitor</t>
  </si>
  <si>
    <t xml:space="preserve">Carlos Vitor Silva Alvarenga</t>
  </si>
  <si>
    <t xml:space="preserve">Cleiton</t>
  </si>
  <si>
    <t xml:space="preserve">Cleiton Savedra Garcia</t>
  </si>
  <si>
    <t xml:space="preserve">Dudu</t>
  </si>
  <si>
    <t xml:space="preserve">Eduardo Pereira Rodrigues</t>
  </si>
  <si>
    <t xml:space="preserve">Eduardo Ribeiro</t>
  </si>
  <si>
    <t xml:space="preserve">Eduardo de Sousa Ribeiro</t>
  </si>
  <si>
    <t xml:space="preserve">Firmino</t>
  </si>
  <si>
    <t xml:space="preserve">Alexandro Soares Firmino</t>
  </si>
  <si>
    <t xml:space="preserve">3 pantanalms</t>
  </si>
  <si>
    <t xml:space="preserve">Johnatan Cardoso</t>
  </si>
  <si>
    <t xml:space="preserve">Jhonatan Cardoso Dias</t>
  </si>
  <si>
    <t xml:space="preserve">Juliano Fabro</t>
  </si>
  <si>
    <t xml:space="preserve">Juliano Clasen Fabro</t>
  </si>
  <si>
    <t xml:space="preserve">Julimar</t>
  </si>
  <si>
    <t xml:space="preserve">Julimar Silva Oliveira Junior</t>
  </si>
  <si>
    <t xml:space="preserve">Lopeu</t>
  </si>
  <si>
    <t xml:space="preserve">Lucas Santos Mendes</t>
  </si>
  <si>
    <t xml:space="preserve">3 paranoadf</t>
  </si>
  <si>
    <t xml:space="preserve">Lucas Rodrigues</t>
  </si>
  <si>
    <t xml:space="preserve">Lucas Rodrigues Moreira Costa</t>
  </si>
  <si>
    <t xml:space="preserve">Nelson Reina</t>
  </si>
  <si>
    <t xml:space="preserve">Nelson Oneal Reina Cequea</t>
  </si>
  <si>
    <t xml:space="preserve">venezuela</t>
  </si>
  <si>
    <t xml:space="preserve">3 corisabbapi</t>
  </si>
  <si>
    <t xml:space="preserve">Perema</t>
  </si>
  <si>
    <t xml:space="preserve">Auricelio Vinhote Soares dos Santos</t>
  </si>
  <si>
    <t xml:space="preserve">2 amazoniapa</t>
  </si>
  <si>
    <t xml:space="preserve">Quirino</t>
  </si>
  <si>
    <t xml:space="preserve">Diego de Souza Quirino</t>
  </si>
  <si>
    <t xml:space="preserve">Ramon</t>
  </si>
  <si>
    <t xml:space="preserve">Ramon de Araujo Silva Moutinho</t>
  </si>
  <si>
    <t xml:space="preserve">Robertinho</t>
  </si>
  <si>
    <t xml:space="preserve">Roberto Alves Siqueira Filho</t>
  </si>
  <si>
    <t xml:space="preserve">Victor Hugo</t>
  </si>
  <si>
    <t xml:space="preserve">Victor Hugo Gomes Silva</t>
  </si>
  <si>
    <t xml:space="preserve">Wallace Obina</t>
  </si>
  <si>
    <t xml:space="preserve">Wallace Menezes dos Santos</t>
  </si>
  <si>
    <t xml:space="preserve">Arrascaeta</t>
  </si>
  <si>
    <t xml:space="preserve">Giorgian Daniel de Arrascaeta</t>
  </si>
  <si>
    <t xml:space="preserve">uruguai</t>
  </si>
  <si>
    <t xml:space="preserve">Bruno Henrique</t>
  </si>
  <si>
    <t xml:space="preserve">Bruno Henrique de Sousa</t>
  </si>
  <si>
    <t xml:space="preserve">Deysinho</t>
  </si>
  <si>
    <t xml:space="preserve">Andrey Soares Almeida</t>
  </si>
  <si>
    <t xml:space="preserve">Kleiton Pego</t>
  </si>
  <si>
    <t xml:space="preserve">Kleiton Pego Duarte</t>
  </si>
  <si>
    <t xml:space="preserve">Maceio</t>
  </si>
  <si>
    <t xml:space="preserve">Everton Leandro de Oliveira Santos</t>
  </si>
  <si>
    <t xml:space="preserve">Marcelo Toscano</t>
  </si>
  <si>
    <t xml:space="preserve">Marcelo Aparecido Toscano</t>
  </si>
  <si>
    <t xml:space="preserve">Marcinho</t>
  </si>
  <si>
    <t xml:space="preserve">Marcio Barbosa Vieira Junior</t>
  </si>
  <si>
    <t xml:space="preserve">Pedro Igor</t>
  </si>
  <si>
    <t xml:space="preserve">Pedro Igor Martins da Silva</t>
  </si>
  <si>
    <t xml:space="preserve">2 trezepb</t>
  </si>
  <si>
    <t xml:space="preserve">Rafael Costa</t>
  </si>
  <si>
    <t xml:space="preserve">Rafael Eduardo Costa</t>
  </si>
  <si>
    <t xml:space="preserve">Vini Charopem</t>
  </si>
  <si>
    <t xml:space="preserve">Vinicius Moreira Chaporem</t>
  </si>
  <si>
    <t xml:space="preserve">Bruninho</t>
  </si>
  <si>
    <t xml:space="preserve">Bruno Braga Ramos</t>
  </si>
  <si>
    <t xml:space="preserve">Carlos Maranhão</t>
  </si>
  <si>
    <t xml:space="preserve">Carlos André dos Santos Assunção</t>
  </si>
  <si>
    <t xml:space="preserve">Dandan</t>
  </si>
  <si>
    <t xml:space="preserve">Daniel Lopes de Andrade</t>
  </si>
  <si>
    <t xml:space="preserve">Felipe Codo</t>
  </si>
  <si>
    <t xml:space="preserve">Felipe Codognatto Correa</t>
  </si>
  <si>
    <t xml:space="preserve">Igor Formiga</t>
  </si>
  <si>
    <t xml:space="preserve">Igor Marques Paciencia Cardoso</t>
  </si>
  <si>
    <t xml:space="preserve">Joao Pedro</t>
  </si>
  <si>
    <t xml:space="preserve">João Pedro de Jesus de Oliveira</t>
  </si>
  <si>
    <t xml:space="preserve">Lucas Bueno</t>
  </si>
  <si>
    <t xml:space="preserve">Lucas Bueno Kosinski</t>
  </si>
  <si>
    <t xml:space="preserve">3 andrauspr</t>
  </si>
  <si>
    <t xml:space="preserve">Matheus Araujo</t>
  </si>
  <si>
    <t xml:space="preserve">Matheus de Araujo Andrade</t>
  </si>
  <si>
    <t xml:space="preserve">MV</t>
  </si>
  <si>
    <t xml:space="preserve">Marcos Vinicius Silvestre Gaspar</t>
  </si>
  <si>
    <t xml:space="preserve">Pedro Oliveira</t>
  </si>
  <si>
    <t xml:space="preserve">Pedro Henrique de Oliveira</t>
  </si>
  <si>
    <t xml:space="preserve">4 tombensemg</t>
  </si>
  <si>
    <t xml:space="preserve">Reinier</t>
  </si>
  <si>
    <t xml:space="preserve">Reinier Jesus Carvalho</t>
  </si>
  <si>
    <t xml:space="preserve">Thiago Dias da Silva Martins</t>
  </si>
  <si>
    <t xml:space="preserve">Willian Anicete</t>
  </si>
  <si>
    <t xml:space="preserve">Willian da Silva Anicete</t>
  </si>
  <si>
    <t xml:space="preserve">1 horizontece</t>
  </si>
  <si>
    <t xml:space="preserve">Dell</t>
  </si>
  <si>
    <t xml:space="preserve">Wenderson Wandeerley Santos</t>
  </si>
  <si>
    <t xml:space="preserve">Gabriel Cipriano</t>
  </si>
  <si>
    <t xml:space="preserve">Gabriel Frederico Cipriano</t>
  </si>
  <si>
    <t xml:space="preserve">2 anapolisgo</t>
  </si>
  <si>
    <t xml:space="preserve">Jean Lucas</t>
  </si>
  <si>
    <t xml:space="preserve">Jean Lucas de Souza Oliveira</t>
  </si>
  <si>
    <t xml:space="preserve">Lucas Marques</t>
  </si>
  <si>
    <t xml:space="preserve">Lucas Marques de Oliveira</t>
  </si>
  <si>
    <t xml:space="preserve">Luciano Juba</t>
  </si>
  <si>
    <t xml:space="preserve">Luciano Batista da Silva Junior</t>
  </si>
  <si>
    <t xml:space="preserve">Rogerio</t>
  </si>
  <si>
    <t xml:space="preserve">José Rogério de Oliveira Melo</t>
  </si>
  <si>
    <t xml:space="preserve">1 nacionalpb</t>
  </si>
  <si>
    <t xml:space="preserve">Thayllon</t>
  </si>
  <si>
    <t xml:space="preserve">Thayllon Roberth dos Santos Rebelo</t>
  </si>
  <si>
    <t xml:space="preserve">Wallace Moraes</t>
  </si>
  <si>
    <t xml:space="preserve">Milton Wallace Moraes Pompeu</t>
  </si>
  <si>
    <t xml:space="preserve">Canobbio</t>
  </si>
  <si>
    <t xml:space="preserve">Agustin Canobbio Graviz</t>
  </si>
  <si>
    <t xml:space="preserve">Rafael Oller</t>
  </si>
  <si>
    <t xml:space="preserve">Rafael Oller Pereira</t>
  </si>
  <si>
    <t xml:space="preserve">Vagalume</t>
  </si>
  <si>
    <t xml:space="preserve">Emerson Freitas dos Anjos</t>
  </si>
  <si>
    <t xml:space="preserve">Vinicius Valerio</t>
  </si>
  <si>
    <t xml:space="preserve">Vinicius de Oliveira Valerio</t>
  </si>
  <si>
    <t xml:space="preserve">Vitinho</t>
  </si>
  <si>
    <t xml:space="preserve">Marcos Vitor Sá Fonseca</t>
  </si>
  <si>
    <t xml:space="preserve">Alex Telles</t>
  </si>
  <si>
    <t xml:space="preserve">Alex Nicolao Telles</t>
  </si>
  <si>
    <t xml:space="preserve">Amuzu</t>
  </si>
  <si>
    <t xml:space="preserve">Francis Apelete Amuzu</t>
  </si>
  <si>
    <t xml:space="preserve">gana</t>
  </si>
  <si>
    <t xml:space="preserve">Baralhas</t>
  </si>
  <si>
    <t xml:space="preserve">Gabriel Baralhas dos Santos</t>
  </si>
  <si>
    <t xml:space="preserve">Biel Fonseca</t>
  </si>
  <si>
    <t xml:space="preserve">Luiz Gabriel de Oliveira Fonseca</t>
  </si>
  <si>
    <t xml:space="preserve">2 brusquesc</t>
  </si>
  <si>
    <t xml:space="preserve">Boschilia</t>
  </si>
  <si>
    <t xml:space="preserve">Gabriel Boschilia</t>
  </si>
  <si>
    <t xml:space="preserve">Felipe Pará</t>
  </si>
  <si>
    <t xml:space="preserve">Felipe de Andrade Sousa</t>
  </si>
  <si>
    <t xml:space="preserve">Otavio</t>
  </si>
  <si>
    <t xml:space="preserve">Otavio Santos Salvador</t>
  </si>
  <si>
    <t xml:space="preserve">Alison</t>
  </si>
  <si>
    <t xml:space="preserve">José Alisson dos Santos</t>
  </si>
  <si>
    <t xml:space="preserve">Erick de Arruda Serafim</t>
  </si>
  <si>
    <t xml:space="preserve">Matheus Pereira</t>
  </si>
  <si>
    <t xml:space="preserve">Matheus Fellipe Costa Pereira</t>
  </si>
  <si>
    <t xml:space="preserve">Matheus Martins Fogaça dos Santos</t>
  </si>
  <si>
    <t xml:space="preserve">Tcharlles</t>
  </si>
  <si>
    <t xml:space="preserve">Tharlles Batista Bispo</t>
  </si>
  <si>
    <t xml:space="preserve">Vitor Barreto</t>
  </si>
  <si>
    <t xml:space="preserve">Vitor Prado Barreto</t>
  </si>
  <si>
    <t xml:space="preserve">Wendel</t>
  </si>
  <si>
    <t xml:space="preserve">Wendel Rosas Nogueira Junior</t>
  </si>
  <si>
    <t xml:space="preserve">Renanzinho</t>
  </si>
  <si>
    <t xml:space="preserve">Renan Pereira Muniz Oliveira</t>
  </si>
  <si>
    <t xml:space="preserve">Luciano</t>
  </si>
  <si>
    <t xml:space="preserve">Luciano da Rocha Neves</t>
  </si>
  <si>
    <t xml:space="preserve">Allan</t>
  </si>
  <si>
    <t xml:space="preserve">Allan Andrade Elias</t>
  </si>
  <si>
    <t xml:space="preserve">Marcio Antonio de Sousa Junior</t>
  </si>
  <si>
    <t xml:space="preserve">Clar</t>
  </si>
  <si>
    <t xml:space="preserve">Walter David Clar Fritz</t>
  </si>
  <si>
    <t xml:space="preserve">Jean Carlos</t>
  </si>
  <si>
    <t xml:space="preserve">Jean Carlos Vicente</t>
  </si>
  <si>
    <t xml:space="preserve">Gian</t>
  </si>
  <si>
    <t xml:space="preserve">Gianlucas Marques Santos</t>
  </si>
  <si>
    <t xml:space="preserve">Jhon Jhon</t>
  </si>
  <si>
    <t xml:space="preserve">Jhonatan dos Santos Rosa</t>
  </si>
  <si>
    <t xml:space="preserve">David Kaua</t>
  </si>
  <si>
    <t xml:space="preserve">David Kaua Ramos</t>
  </si>
  <si>
    <t xml:space="preserve">Diogo</t>
  </si>
  <si>
    <t xml:space="preserve">Diogo da Silva Candido</t>
  </si>
  <si>
    <t xml:space="preserve">Junior Mandacaru</t>
  </si>
  <si>
    <t xml:space="preserve">Manoel Duarte de Souza Junior</t>
  </si>
  <si>
    <t xml:space="preserve">Leo</t>
  </si>
  <si>
    <t xml:space="preserve">Leonardo Silva de Almeida</t>
  </si>
  <si>
    <t xml:space="preserve">Neymar</t>
  </si>
  <si>
    <t xml:space="preserve">Neymar da Silva Santos Junior</t>
  </si>
  <si>
    <t xml:space="preserve">Tony Love</t>
  </si>
  <si>
    <t xml:space="preserve">Toniel Correia Dias</t>
  </si>
  <si>
    <t xml:space="preserve">Vanderlan</t>
  </si>
  <si>
    <t xml:space="preserve">Vanderlan Araujo Pereira</t>
  </si>
  <si>
    <t xml:space="preserve">Adriel Lucas Lima e Silva</t>
  </si>
  <si>
    <t xml:space="preserve">Gabriel Vitor</t>
  </si>
  <si>
    <t xml:space="preserve">Gustavo Barbosa Santos</t>
  </si>
  <si>
    <t xml:space="preserve">Jean Bala</t>
  </si>
  <si>
    <t xml:space="preserve">Jean Pereira dos Santos</t>
  </si>
  <si>
    <t xml:space="preserve">Jonatas</t>
  </si>
  <si>
    <t xml:space="preserve">Jonatas Santos Souza</t>
  </si>
  <si>
    <t xml:space="preserve">Leandro Pires</t>
  </si>
  <si>
    <t xml:space="preserve">Leandro Pires da Silva</t>
  </si>
  <si>
    <t xml:space="preserve">Leo Fenga</t>
  </si>
  <si>
    <t xml:space="preserve">Leonardo Berteli Fenga</t>
  </si>
  <si>
    <t xml:space="preserve">Leonardo Tiba</t>
  </si>
  <si>
    <t xml:space="preserve">Leonardo Tiba Gomes dos Santos</t>
  </si>
  <si>
    <t xml:space="preserve">Mosquera</t>
  </si>
  <si>
    <t xml:space="preserve">Juan David Sanchez Moquera</t>
  </si>
  <si>
    <t xml:space="preserve">Nael</t>
  </si>
  <si>
    <t xml:space="preserve">Natanael de Oliveira Lima</t>
  </si>
  <si>
    <t xml:space="preserve">Pablo</t>
  </si>
  <si>
    <t xml:space="preserve">Pablo Felipe Teixeira</t>
  </si>
  <si>
    <t xml:space="preserve">Santiago</t>
  </si>
  <si>
    <t xml:space="preserve">Gustavo Santiano Balbino</t>
  </si>
  <si>
    <t xml:space="preserve">2 nacionalsp</t>
  </si>
  <si>
    <t xml:space="preserve">Tony</t>
  </si>
  <si>
    <t xml:space="preserve">Antonio Rosa Ribeiro</t>
  </si>
  <si>
    <t xml:space="preserve">Eriky</t>
  </si>
  <si>
    <t xml:space="preserve">Eriky Flavio Nascimento Vieira</t>
  </si>
  <si>
    <t xml:space="preserve">Felipe Geydson</t>
  </si>
  <si>
    <t xml:space="preserve">Felipe Geydson Alves dos Santos</t>
  </si>
  <si>
    <t xml:space="preserve">Fernando Viana</t>
  </si>
  <si>
    <t xml:space="preserve">Fernando Viana Jardim Silva</t>
  </si>
  <si>
    <t xml:space="preserve">Gustavo Ermel</t>
  </si>
  <si>
    <t xml:space="preserve">3 northmg</t>
  </si>
  <si>
    <t xml:space="preserve">Hygor</t>
  </si>
  <si>
    <t xml:space="preserve">Hygor Cleber Garcia Silva</t>
  </si>
  <si>
    <t xml:space="preserve">Keliton</t>
  </si>
  <si>
    <t xml:space="preserve">Keliton da Conceição</t>
  </si>
  <si>
    <t xml:space="preserve">Marcos Gabriel</t>
  </si>
  <si>
    <t xml:space="preserve">Marcos Gabriel Anaisce da Costa</t>
  </si>
  <si>
    <t xml:space="preserve">Barrozo</t>
  </si>
  <si>
    <t xml:space="preserve">Guilherme Rodrigues Barrozo</t>
  </si>
  <si>
    <t xml:space="preserve">Bruno Duarte Nicomedes</t>
  </si>
  <si>
    <t xml:space="preserve">Caua</t>
  </si>
  <si>
    <t xml:space="preserve">Caua Cristian dos Santos e Santos</t>
  </si>
  <si>
    <t xml:space="preserve">Danilo Lorinho</t>
  </si>
  <si>
    <t xml:space="preserve">Danilo Oliveira Nascimento</t>
  </si>
  <si>
    <t xml:space="preserve">Edson</t>
  </si>
  <si>
    <t xml:space="preserve">Edson Felipe da Cruz</t>
  </si>
  <si>
    <t xml:space="preserve">Edson Carlos da Silva</t>
  </si>
  <si>
    <t xml:space="preserve">Marcelo Cirino</t>
  </si>
  <si>
    <t xml:space="preserve">Marcelo Cirino da Silva</t>
  </si>
  <si>
    <t xml:space="preserve">Matheus Arcanjo</t>
  </si>
  <si>
    <t xml:space="preserve">Matheus Arcanjo Barreto</t>
  </si>
  <si>
    <t xml:space="preserve">Mauricio</t>
  </si>
  <si>
    <t xml:space="preserve">Mauricio Silva dos Santos</t>
  </si>
  <si>
    <t xml:space="preserve">Murilo</t>
  </si>
  <si>
    <t xml:space="preserve">Murilo dos Santos Pereira</t>
  </si>
  <si>
    <t xml:space="preserve">Nata</t>
  </si>
  <si>
    <t xml:space="preserve">Nata de Sousa Costa</t>
  </si>
  <si>
    <t xml:space="preserve">Patrick Cruz</t>
  </si>
  <si>
    <t xml:space="preserve">Patrick Cruz de Moura Daniel</t>
  </si>
  <si>
    <t xml:space="preserve">Paulo Meneses</t>
  </si>
  <si>
    <t xml:space="preserve">Paulo Roberto Raison de Meneses</t>
  </si>
  <si>
    <t xml:space="preserve">Santarem</t>
  </si>
  <si>
    <t xml:space="preserve">Carlos Vitor da Silva Nascimento</t>
  </si>
  <si>
    <t xml:space="preserve">Andre Lima</t>
  </si>
  <si>
    <t xml:space="preserve">Andre da Silva Lima</t>
  </si>
  <si>
    <t xml:space="preserve">Biel</t>
  </si>
  <si>
    <t xml:space="preserve">Gabriel Martins Severino Moreira Mares</t>
  </si>
  <si>
    <t xml:space="preserve">Bruno Martins</t>
  </si>
  <si>
    <t xml:space="preserve">Bryan Borges</t>
  </si>
  <si>
    <t xml:space="preserve">Bryan Borges Mascarenhas</t>
  </si>
  <si>
    <t xml:space="preserve">David Braw</t>
  </si>
  <si>
    <t xml:space="preserve">David Medeiros dos Santos</t>
  </si>
  <si>
    <t xml:space="preserve">Eduardo Melo</t>
  </si>
  <si>
    <t xml:space="preserve">Eduardo de Queiroz Melo</t>
  </si>
  <si>
    <t xml:space="preserve">Enzo</t>
  </si>
  <si>
    <t xml:space="preserve">Enzo Bizzotto Costa</t>
  </si>
  <si>
    <t xml:space="preserve">frança</t>
  </si>
  <si>
    <t xml:space="preserve">Esquerdinha</t>
  </si>
  <si>
    <t xml:space="preserve">Joao Vittor Lima da Silva</t>
  </si>
  <si>
    <t xml:space="preserve">Fabio da Silva Santos</t>
  </si>
  <si>
    <t xml:space="preserve">Hercules</t>
  </si>
  <si>
    <t xml:space="preserve">Hercules Pereira do Nascimento</t>
  </si>
  <si>
    <t xml:space="preserve">Lucas Cassiano</t>
  </si>
  <si>
    <t xml:space="preserve">Lucas Cassiano de Almeida</t>
  </si>
  <si>
    <t xml:space="preserve">Marcelinho</t>
  </si>
  <si>
    <t xml:space="preserve">Marcelo Sales Barreto da Silva</t>
  </si>
  <si>
    <t xml:space="preserve">Matheus Cadorini</t>
  </si>
  <si>
    <t xml:space="preserve">Matheus Alfredo Cadorini da Silva</t>
  </si>
  <si>
    <t xml:space="preserve">Matheus Sacramento</t>
  </si>
  <si>
    <t xml:space="preserve">Matheus Silva Sacramento</t>
  </si>
  <si>
    <t xml:space="preserve">Messias</t>
  </si>
  <si>
    <t xml:space="preserve">Gabriel Messias Marinho do Rosário</t>
  </si>
  <si>
    <t xml:space="preserve">Paulo Joylson Amorim Costa</t>
  </si>
  <si>
    <t xml:space="preserve">Pedro Henrique Santos de Oliveira</t>
  </si>
  <si>
    <t xml:space="preserve">Philippe Coutinho</t>
  </si>
  <si>
    <t xml:space="preserve">Philippe Coutinho Correia</t>
  </si>
  <si>
    <t xml:space="preserve">Vinicius Henrique</t>
  </si>
  <si>
    <t xml:space="preserve">Vinicius Henrique da Costa Almeida</t>
  </si>
  <si>
    <t xml:space="preserve">3 bragantinopa</t>
  </si>
  <si>
    <t xml:space="preserve">Adriano Babi</t>
  </si>
  <si>
    <t xml:space="preserve">Carlos Adriano Santos do Carmo</t>
  </si>
  <si>
    <t xml:space="preserve">Beto</t>
  </si>
  <si>
    <t xml:space="preserve">Roberto Carlos Santos de Oliveira</t>
  </si>
  <si>
    <t xml:space="preserve">Breno Lopes</t>
  </si>
  <si>
    <t xml:space="preserve">Breno Henrique Vasconcelos Lopes</t>
  </si>
  <si>
    <t xml:space="preserve">Bruno Henrique Pinto</t>
  </si>
  <si>
    <t xml:space="preserve">Carlinhos</t>
  </si>
  <si>
    <t xml:space="preserve">Carlos Roberto da Silva Lopes</t>
  </si>
  <si>
    <t xml:space="preserve">Daniel GTA</t>
  </si>
  <si>
    <t xml:space="preserve">Daniel Henrique Machado Santos</t>
  </si>
  <si>
    <t xml:space="preserve">Davi Araujo</t>
  </si>
  <si>
    <t xml:space="preserve">Davi Machado dos Santos Araujo</t>
  </si>
  <si>
    <t xml:space="preserve">Erik Robert</t>
  </si>
  <si>
    <t xml:space="preserve">Erik Robert Santos Oliveira</t>
  </si>
  <si>
    <t xml:space="preserve">Erivelton</t>
  </si>
  <si>
    <t xml:space="preserve">Marcos Erivelton Araujo de Farias</t>
  </si>
  <si>
    <t xml:space="preserve">Everton Cebolinha</t>
  </si>
  <si>
    <t xml:space="preserve">Everton Sousa Soares</t>
  </si>
  <si>
    <t xml:space="preserve">Genesis</t>
  </si>
  <si>
    <t xml:space="preserve">Genesis Fernandes de Andrade</t>
  </si>
  <si>
    <t xml:space="preserve">Guilherme Pires</t>
  </si>
  <si>
    <t xml:space="preserve">Guilherme Pires Carvalho</t>
  </si>
  <si>
    <t xml:space="preserve">Gustavo Coutinho</t>
  </si>
  <si>
    <t xml:space="preserve">Gustavo Coutinho Silva Lopes</t>
  </si>
  <si>
    <t xml:space="preserve">3 sportpe</t>
  </si>
  <si>
    <t xml:space="preserve">Higor Leite</t>
  </si>
  <si>
    <t xml:space="preserve">Higor Rodrigues Barbosa Leite</t>
  </si>
  <si>
    <t xml:space="preserve">Ian</t>
  </si>
  <si>
    <t xml:space="preserve">Ian Carlos Monteiro da Silva</t>
  </si>
  <si>
    <t xml:space="preserve">Igor Torres</t>
  </si>
  <si>
    <t xml:space="preserve">Igor Torres da Silva</t>
  </si>
  <si>
    <t xml:space="preserve">Inacio</t>
  </si>
  <si>
    <t xml:space="preserve">Inacio Fernandes Dias Seixas</t>
  </si>
  <si>
    <t xml:space="preserve">José Castilho martins Neto</t>
  </si>
  <si>
    <t xml:space="preserve">Lucas Reis</t>
  </si>
  <si>
    <t xml:space="preserve">Lucas dos Santos Reis</t>
  </si>
  <si>
    <t xml:space="preserve">Luciano Taboca</t>
  </si>
  <si>
    <t xml:space="preserve">Luciano Souza Santos</t>
  </si>
  <si>
    <t xml:space="preserve">Marquinhos</t>
  </si>
  <si>
    <t xml:space="preserve">Marcos Paulo da Silva Júnior</t>
  </si>
  <si>
    <t xml:space="preserve">Mastriani</t>
  </si>
  <si>
    <t xml:space="preserve">Gonzalo Mathias Mastriani</t>
  </si>
  <si>
    <t xml:space="preserve">Maycon Douglas</t>
  </si>
  <si>
    <t xml:space="preserve">Maycon Douglas Oliveira Silva</t>
  </si>
  <si>
    <t xml:space="preserve">Morelli</t>
  </si>
  <si>
    <t xml:space="preserve">Everton Morelli Casimiro</t>
  </si>
  <si>
    <t xml:space="preserve">Murilo Xavier</t>
  </si>
  <si>
    <t xml:space="preserve">Murilo Sausen Xavier</t>
  </si>
  <si>
    <t xml:space="preserve">Rhuan Silveira</t>
  </si>
  <si>
    <t xml:space="preserve">Rhuan da Silveira Castro</t>
  </si>
  <si>
    <t xml:space="preserve">Talisson Caua</t>
  </si>
  <si>
    <t xml:space="preserve">Tallison caua Matias da Silva</t>
  </si>
  <si>
    <t xml:space="preserve">Tiarinha</t>
  </si>
  <si>
    <t xml:space="preserve">Cleberson da Silva Toriani</t>
  </si>
  <si>
    <t xml:space="preserve">Vini Ribeiro</t>
  </si>
  <si>
    <t xml:space="preserve">Vinicius dos Santos Ribeiro</t>
  </si>
  <si>
    <t xml:space="preserve">Adriano Pardal</t>
  </si>
  <si>
    <t xml:space="preserve">Antonio Adriano Antunes de Paula</t>
  </si>
  <si>
    <t xml:space="preserve">Alvaro</t>
  </si>
  <si>
    <t xml:space="preserve">Alvaro Vieira de Oliveira</t>
  </si>
  <si>
    <t xml:space="preserve">Ciel</t>
  </si>
  <si>
    <t xml:space="preserve">Jociel Ferreira da Silva</t>
  </si>
  <si>
    <t xml:space="preserve">Darlisson</t>
  </si>
  <si>
    <t xml:space="preserve">Darlisson Mateus Neto dos Santos</t>
  </si>
  <si>
    <t xml:space="preserve">Dodo</t>
  </si>
  <si>
    <t xml:space="preserve">Vinicius Rodrigues Adelino dos Santos</t>
  </si>
  <si>
    <t xml:space="preserve">Dudu Figueiredo</t>
  </si>
  <si>
    <t xml:space="preserve">Luiz Eduardo Figueiredo</t>
  </si>
  <si>
    <t xml:space="preserve">Giovanni</t>
  </si>
  <si>
    <t xml:space="preserve">Giovanni Candido Izidorio Reis</t>
  </si>
  <si>
    <t xml:space="preserve">Guilherme Augusto</t>
  </si>
  <si>
    <t xml:space="preserve">Guilherme Augusto Rodrigues Junior</t>
  </si>
  <si>
    <t xml:space="preserve">Guilherme Teixeira</t>
  </si>
  <si>
    <t xml:space="preserve">Guilherme Teixeira Santos</t>
  </si>
  <si>
    <t xml:space="preserve">Gutemberg</t>
  </si>
  <si>
    <t xml:space="preserve">Antonio Gutemberg Martins de Souza</t>
  </si>
  <si>
    <t xml:space="preserve">Hugo Cordeiro</t>
  </si>
  <si>
    <t xml:space="preserve">Hugo Santos Cordeiro</t>
  </si>
  <si>
    <t xml:space="preserve">Isael</t>
  </si>
  <si>
    <t xml:space="preserve">Isael da Silva Barbosa</t>
  </si>
  <si>
    <t xml:space="preserve">Jussimar</t>
  </si>
  <si>
    <t xml:space="preserve">Jussimar Lima</t>
  </si>
  <si>
    <t xml:space="preserve">Luan Carioca</t>
  </si>
  <si>
    <t xml:space="preserve">Luan Carlos Oliveira Camilo</t>
  </si>
  <si>
    <t xml:space="preserve">Manoel Reis</t>
  </si>
  <si>
    <t xml:space="preserve">Manoel Sousa Reis Neto</t>
  </si>
  <si>
    <t xml:space="preserve">Miguel Bianconi</t>
  </si>
  <si>
    <t xml:space="preserve">Miguel Antonio Bianconi Kohl</t>
  </si>
  <si>
    <t xml:space="preserve">Nilson Gustavo</t>
  </si>
  <si>
    <t xml:space="preserve">Nilson Gustavo Oliveira Mendes</t>
  </si>
  <si>
    <t xml:space="preserve">Pecel</t>
  </si>
  <si>
    <t xml:space="preserve">Pecel Oliveira de Souza</t>
  </si>
  <si>
    <t xml:space="preserve">Rafael Mineiro</t>
  </si>
  <si>
    <t xml:space="preserve">Rafael Henrique Costa Maciel</t>
  </si>
  <si>
    <t xml:space="preserve">Rikelmi</t>
  </si>
  <si>
    <t xml:space="preserve">Rikelmi Valentim dos Santos</t>
  </si>
  <si>
    <t xml:space="preserve">Ronald Barcellos</t>
  </si>
  <si>
    <t xml:space="preserve">Ronald Barcellos Arantes</t>
  </si>
  <si>
    <t xml:space="preserve">3 saojosers</t>
  </si>
  <si>
    <t xml:space="preserve">Tulio</t>
  </si>
  <si>
    <t xml:space="preserve">Tulio Eduardo Silva de Oliveira</t>
  </si>
  <si>
    <t xml:space="preserve">Wendel Alex dos Santos</t>
  </si>
  <si>
    <t xml:space="preserve">Wendel Moreira da Silva</t>
  </si>
  <si>
    <t xml:space="preserve">Wesley Pacheco</t>
  </si>
  <si>
    <t xml:space="preserve">Wesley Pacheco Gomes</t>
  </si>
  <si>
    <t xml:space="preserve">Willian Goiano</t>
  </si>
  <si>
    <t xml:space="preserve">Willian Filemon Alves da Silva filho</t>
  </si>
  <si>
    <t xml:space="preserve">1 inhumasgo</t>
  </si>
  <si>
    <t xml:space="preserve">Alisson Mira</t>
  </si>
  <si>
    <t xml:space="preserve">Alison Henrique Mira</t>
  </si>
  <si>
    <t xml:space="preserve">Anderson Brito</t>
  </si>
  <si>
    <t xml:space="preserve">Anderson de Brito</t>
  </si>
  <si>
    <t xml:space="preserve">Arias</t>
  </si>
  <si>
    <t xml:space="preserve">Jhon Adolfo Arias Andrade</t>
  </si>
  <si>
    <t xml:space="preserve">Arthur Manoel</t>
  </si>
  <si>
    <t xml:space="preserve">Arthur Manoel Silva Souza</t>
  </si>
  <si>
    <t xml:space="preserve">Bahia</t>
  </si>
  <si>
    <t xml:space="preserve">Luan Miguel Aguiar Santos</t>
  </si>
  <si>
    <t xml:space="preserve">Bruno Vieira Marques Pereira do Valle</t>
  </si>
  <si>
    <t xml:space="preserve">Cauan Barros</t>
  </si>
  <si>
    <t xml:space="preserve">Cauan Lucas Barros da Luz</t>
  </si>
  <si>
    <t xml:space="preserve">Denilson</t>
  </si>
  <si>
    <t xml:space="preserve">Valdenilson da Paz Araujo</t>
  </si>
  <si>
    <t xml:space="preserve">Fabio Fau</t>
  </si>
  <si>
    <t xml:space="preserve">Fabio Soares dos Santos</t>
  </si>
  <si>
    <t xml:space="preserve">Felipe</t>
  </si>
  <si>
    <t xml:space="preserve">Felipe Vasconcelos Ribeiro</t>
  </si>
  <si>
    <t xml:space="preserve">2 parintinsam</t>
  </si>
  <si>
    <t xml:space="preserve">Gabriel Tota</t>
  </si>
  <si>
    <t xml:space="preserve">Gabriel Ferreira Neris</t>
  </si>
  <si>
    <t xml:space="preserve">2 botafogopb</t>
  </si>
  <si>
    <t xml:space="preserve">Gleryston</t>
  </si>
  <si>
    <t xml:space="preserve">Gleryston Bezerra da Costa</t>
  </si>
  <si>
    <t xml:space="preserve">Gustavo Nescau</t>
  </si>
  <si>
    <t xml:space="preserve">Gustavo Henrique Alves Silva</t>
  </si>
  <si>
    <t xml:space="preserve">1 caxiasrs</t>
  </si>
  <si>
    <t xml:space="preserve">Jhonny</t>
  </si>
  <si>
    <t xml:space="preserve">João Luz da Silva Neto</t>
  </si>
  <si>
    <t xml:space="preserve">João Pedro</t>
  </si>
  <si>
    <t xml:space="preserve">João Pedro Sousa Silva</t>
  </si>
  <si>
    <t xml:space="preserve">Julio Cesar de Souza Ssilva</t>
  </si>
  <si>
    <t xml:space="preserve">Kauan Cristian K9</t>
  </si>
  <si>
    <t xml:space="preserve">Kauan Cristian do Espirito Santo Silva Cunha</t>
  </si>
  <si>
    <t xml:space="preserve">Kiuan</t>
  </si>
  <si>
    <t xml:space="preserve">Kiuan Gabriel de Castro</t>
  </si>
  <si>
    <t xml:space="preserve">Lelo</t>
  </si>
  <si>
    <t xml:space="preserve">Wesley Antonio Silva Barbosa de Lira</t>
  </si>
  <si>
    <t xml:space="preserve">Luan de Figueiredo Gular Gama</t>
  </si>
  <si>
    <t xml:space="preserve">Lucas</t>
  </si>
  <si>
    <t xml:space="preserve">Lucas Henrique da Silva Honorio</t>
  </si>
  <si>
    <t xml:space="preserve">Lucas Ronier</t>
  </si>
  <si>
    <t xml:space="preserve">Lucas Ronier Vieira Pires</t>
  </si>
  <si>
    <t xml:space="preserve">Lucas Souza</t>
  </si>
  <si>
    <t xml:space="preserve">Lucas de Souza Santos</t>
  </si>
  <si>
    <t xml:space="preserve">Luisinho</t>
  </si>
  <si>
    <t xml:space="preserve">Luis Gustavo Melere da Silva</t>
  </si>
  <si>
    <t xml:space="preserve">Marcelo Caua</t>
  </si>
  <si>
    <t xml:space="preserve">Marcelo Caua de Aguiar Alves</t>
  </si>
  <si>
    <t xml:space="preserve">Marcos Nunes</t>
  </si>
  <si>
    <t xml:space="preserve">Marcos Paulo Nunes Barros</t>
  </si>
  <si>
    <t xml:space="preserve">Nene Bonilha</t>
  </si>
  <si>
    <t xml:space="preserve">Luis Otavio Bonilha de Oliveira</t>
  </si>
  <si>
    <t xml:space="preserve">Patrick Gama</t>
  </si>
  <si>
    <t xml:space="preserve">Patrick Gama Thomaz</t>
  </si>
  <si>
    <t xml:space="preserve">Rafinha</t>
  </si>
  <si>
    <t xml:space="preserve">Rafael Victor Silva Santos</t>
  </si>
  <si>
    <t xml:space="preserve">Renan Gorne</t>
  </si>
  <si>
    <t xml:space="preserve">Renan Gorne Silva</t>
  </si>
  <si>
    <t xml:space="preserve">Romulo Cabral Pereira</t>
  </si>
  <si>
    <t xml:space="preserve">Ronaldo</t>
  </si>
  <si>
    <t xml:space="preserve">Ronaldo Henrique Silva</t>
  </si>
  <si>
    <t xml:space="preserve">Vitor Hugo Naum dos Santos</t>
  </si>
  <si>
    <t xml:space="preserve">Alyson Motta</t>
  </si>
  <si>
    <t xml:space="preserve">Alyson Jose da Motta</t>
  </si>
  <si>
    <t xml:space="preserve">Bernabei</t>
  </si>
  <si>
    <t xml:space="preserve">Alexandro Ezequiel Bernabei</t>
  </si>
  <si>
    <t xml:space="preserve">Cadu</t>
  </si>
  <si>
    <t xml:space="preserve">Carlos Eduardo Amaral Pereira</t>
  </si>
  <si>
    <t xml:space="preserve">Cristiano</t>
  </si>
  <si>
    <t xml:space="preserve">Cristiano Pereira de Oliveira</t>
  </si>
  <si>
    <t xml:space="preserve">Daniel Bahia</t>
  </si>
  <si>
    <t xml:space="preserve">Daniel de Jesus Silva</t>
  </si>
  <si>
    <t xml:space="preserve">Danielzinho</t>
  </si>
  <si>
    <t xml:space="preserve">Daniel Oliveira da Silva</t>
  </si>
  <si>
    <t xml:space="preserve">David Lucas</t>
  </si>
  <si>
    <t xml:space="preserve">David Lucas Coelho Ferreira</t>
  </si>
  <si>
    <t xml:space="preserve">Diego Costa</t>
  </si>
  <si>
    <t xml:space="preserve">Diego Pinheiro Costa</t>
  </si>
  <si>
    <t xml:space="preserve">Federico</t>
  </si>
  <si>
    <t xml:space="preserve">Federico Andrade Noble</t>
  </si>
  <si>
    <t xml:space="preserve">Felipe Azevedo</t>
  </si>
  <si>
    <t xml:space="preserve">Felipe Azevedo dos Santos</t>
  </si>
  <si>
    <t xml:space="preserve">1 capivarianosp</t>
  </si>
  <si>
    <t xml:space="preserve">Guilherme</t>
  </si>
  <si>
    <t xml:space="preserve">Guilherme dos Santos Souza</t>
  </si>
  <si>
    <t xml:space="preserve">Jeovan</t>
  </si>
  <si>
    <t xml:space="preserve">Jeovan Sousa Botelho</t>
  </si>
  <si>
    <t xml:space="preserve">Joao Araujo</t>
  </si>
  <si>
    <t xml:space="preserve">João Vitor Araujo Soares</t>
  </si>
  <si>
    <t xml:space="preserve">Kevin Malthus</t>
  </si>
  <si>
    <t xml:space="preserve">Kevin Malthus de Sousa Ribeiro</t>
  </si>
  <si>
    <t xml:space="preserve">Lucas Sibito</t>
  </si>
  <si>
    <t xml:space="preserve">Lucas Amorim da Silva</t>
  </si>
  <si>
    <t xml:space="preserve">2 maricarj</t>
  </si>
  <si>
    <t xml:space="preserve">Mendoza</t>
  </si>
  <si>
    <t xml:space="preserve">John Steven Mendoza Valencia</t>
  </si>
  <si>
    <t xml:space="preserve">Negueba</t>
  </si>
  <si>
    <t xml:space="preserve">Luiz Henrique Soares Firmino</t>
  </si>
  <si>
    <t xml:space="preserve">Pedro Henrique</t>
  </si>
  <si>
    <t xml:space="preserve">Pedro Henrique dos Santos</t>
  </si>
  <si>
    <t xml:space="preserve">Perotti</t>
  </si>
  <si>
    <t xml:space="preserve">Pedro Henrique Perotti</t>
  </si>
  <si>
    <t xml:space="preserve">1 chapecoensepe</t>
  </si>
  <si>
    <t xml:space="preserve">Piaui</t>
  </si>
  <si>
    <t xml:space="preserve">Manoel Nonato da Mata Rodrigues</t>
  </si>
  <si>
    <t xml:space="preserve">3 iguatuce</t>
  </si>
  <si>
    <t xml:space="preserve">Pitta</t>
  </si>
  <si>
    <t xml:space="preserve">Isidro Miguel Pitta Saldivar</t>
  </si>
  <si>
    <t xml:space="preserve">Rafael Vaz</t>
  </si>
  <si>
    <t xml:space="preserve">Rafael Vaz dos Santos</t>
  </si>
  <si>
    <t xml:space="preserve">2 cseal</t>
  </si>
  <si>
    <t xml:space="preserve">Renan </t>
  </si>
  <si>
    <t xml:space="preserve">Renan Vieira da Silva</t>
  </si>
  <si>
    <t xml:space="preserve">3 tuntumma</t>
  </si>
  <si>
    <t xml:space="preserve">Thiago Mendes</t>
  </si>
  <si>
    <t xml:space="preserve">Thiago Henrique Mendes Ribeiro</t>
  </si>
  <si>
    <t xml:space="preserve">Bustamante</t>
  </si>
  <si>
    <t xml:space="preserve">Hector Ariel Bustamante Lopez</t>
  </si>
  <si>
    <t xml:space="preserve">3 cseal</t>
  </si>
  <si>
    <t xml:space="preserve">Cesinha</t>
  </si>
  <si>
    <t xml:space="preserve">Cesar Coelho Campos Junior</t>
  </si>
  <si>
    <t xml:space="preserve">Daniel Penha</t>
  </si>
  <si>
    <t xml:space="preserve">Daniel dos Santos Penha</t>
  </si>
  <si>
    <t xml:space="preserve">Fernando Paiva Correa</t>
  </si>
  <si>
    <t xml:space="preserve">Gui Mendes</t>
  </si>
  <si>
    <t xml:space="preserve">Guilherme Mendes Ribeiro</t>
  </si>
  <si>
    <t xml:space="preserve">Lucas Mineiro</t>
  </si>
  <si>
    <t xml:space="preserve">Lucas Soares Santos</t>
  </si>
  <si>
    <t xml:space="preserve">Marllon</t>
  </si>
  <si>
    <t xml:space="preserve">Marllon dos Santos Pereira</t>
  </si>
  <si>
    <t xml:space="preserve">Mateus Santana</t>
  </si>
  <si>
    <t xml:space="preserve">Mateus Festa Santana</t>
  </si>
  <si>
    <t xml:space="preserve">2 intersmrs</t>
  </si>
  <si>
    <t xml:space="preserve">Matheus Campos</t>
  </si>
  <si>
    <t xml:space="preserve">Matheus Campos Cardoso</t>
  </si>
  <si>
    <t xml:space="preserve">Nene</t>
  </si>
  <si>
    <t xml:space="preserve">Anderson Luiz de Carvalho</t>
  </si>
  <si>
    <t xml:space="preserve">Ray</t>
  </si>
  <si>
    <t xml:space="preserve">Ray Cardoso Gomes</t>
  </si>
  <si>
    <t xml:space="preserve">Rian Felipe</t>
  </si>
  <si>
    <t xml:space="preserve">Rian Felipe de Oliveira Vanzetta</t>
  </si>
  <si>
    <t xml:space="preserve">Tomas Bastos</t>
  </si>
  <si>
    <t xml:space="preserve">Tomas Almino Bastos Silva</t>
  </si>
  <si>
    <t xml:space="preserve">2 caxiasrs</t>
  </si>
  <si>
    <t xml:space="preserve">Vini</t>
  </si>
  <si>
    <t xml:space="preserve">Vinicius Faria dos Santos</t>
  </si>
  <si>
    <t xml:space="preserve">2 cianortepr</t>
  </si>
  <si>
    <t xml:space="preserve">Vinicius Carvalho Vieira</t>
  </si>
  <si>
    <t xml:space="preserve">Waguininho</t>
  </si>
  <si>
    <t xml:space="preserve">Wagner da Silva Souza</t>
  </si>
  <si>
    <t xml:space="preserve">Wendel Silva</t>
  </si>
  <si>
    <t xml:space="preserve">Wendel da Silva Costa</t>
  </si>
  <si>
    <t xml:space="preserve">Wesley Santos</t>
  </si>
  <si>
    <t xml:space="preserve">Wesley Pinheiro Santos</t>
  </si>
  <si>
    <t xml:space="preserve">Zé Carlos</t>
  </si>
  <si>
    <t xml:space="preserve">José Carlos Junior Ramos Fernandes</t>
  </si>
  <si>
    <t xml:space="preserve">Alex Oliveira</t>
  </si>
  <si>
    <t xml:space="preserve">Alex Victor Souza de Oliveira</t>
  </si>
  <si>
    <t xml:space="preserve">Chrystian Barletta</t>
  </si>
  <si>
    <t xml:space="preserve">Chrystian Amaral Barletta de Almeida</t>
  </si>
  <si>
    <t xml:space="preserve">Cristopher</t>
  </si>
  <si>
    <t xml:space="preserve">Cristopher Tadeu Pereira</t>
  </si>
  <si>
    <t xml:space="preserve">Diego Gonçalves</t>
  </si>
  <si>
    <t xml:space="preserve">Diego Viana</t>
  </si>
  <si>
    <t xml:space="preserve">Diego Viana da Silva</t>
  </si>
  <si>
    <t xml:space="preserve">Emerson Urso</t>
  </si>
  <si>
    <t xml:space="preserve">Emerson Lima Freitas</t>
  </si>
  <si>
    <t xml:space="preserve">Erick Varao</t>
  </si>
  <si>
    <t xml:space="preserve">Erick de Souza Miranda</t>
  </si>
  <si>
    <t xml:space="preserve">Geovany Soares</t>
  </si>
  <si>
    <t xml:space="preserve">Geovany dos Santos Soares</t>
  </si>
  <si>
    <t xml:space="preserve">João Felipe</t>
  </si>
  <si>
    <t xml:space="preserve">João Felipe Proscinski Giaccomoni</t>
  </si>
  <si>
    <t xml:space="preserve">Joelson</t>
  </si>
  <si>
    <t xml:space="preserve">Francisco Joelson Ferreira</t>
  </si>
  <si>
    <t xml:space="preserve">Kevin Ramirez</t>
  </si>
  <si>
    <t xml:space="preserve">Kevin Federik Ramirez Dutra</t>
  </si>
  <si>
    <t xml:space="preserve">3 atleticogo</t>
  </si>
  <si>
    <t xml:space="preserve">Marcelo Ajul</t>
  </si>
  <si>
    <t xml:space="preserve">Marcelo Alixandre Ajul</t>
  </si>
  <si>
    <t xml:space="preserve">Mateusinho</t>
  </si>
  <si>
    <t xml:space="preserve">Mateus Henrique Freira da Silva</t>
  </si>
  <si>
    <t xml:space="preserve">Matheus Bambu</t>
  </si>
  <si>
    <t xml:space="preserve">Matheus Ferreira de Sousa</t>
  </si>
  <si>
    <t xml:space="preserve">Nenem</t>
  </si>
  <si>
    <t xml:space="preserve">Sandoval vicente da Silva Filho</t>
  </si>
  <si>
    <t xml:space="preserve">Renan Bernabe</t>
  </si>
  <si>
    <t xml:space="preserve">Renan Novoa Bernabe</t>
  </si>
  <si>
    <t xml:space="preserve">Romisson</t>
  </si>
  <si>
    <t xml:space="preserve">Romisson Lino dos Santos</t>
  </si>
  <si>
    <t xml:space="preserve">Rubens</t>
  </si>
  <si>
    <t xml:space="preserve">Rubens Tadeu Hartmann Ricoldi</t>
  </si>
  <si>
    <t xml:space="preserve">Welliton</t>
  </si>
  <si>
    <t xml:space="preserve">Welliton Silva de Azevedo Matheus</t>
  </si>
  <si>
    <t xml:space="preserve">2 primaverasp</t>
  </si>
  <si>
    <t xml:space="preserve">Xandinho</t>
  </si>
  <si>
    <t xml:space="preserve">Alexandre Junio Santos da Silva</t>
  </si>
  <si>
    <t xml:space="preserve">Arthur Cabral</t>
  </si>
  <si>
    <t xml:space="preserve">Arthur Mendonça Cabral</t>
  </si>
  <si>
    <t xml:space="preserve">Cassio</t>
  </si>
  <si>
    <t xml:space="preserve">Cassio de Amorim de Deus</t>
  </si>
  <si>
    <t xml:space="preserve">2 carlosrenauxsc</t>
  </si>
  <si>
    <t xml:space="preserve">Cuello</t>
  </si>
  <si>
    <t xml:space="preserve">Tomas Esteban Cuello</t>
  </si>
  <si>
    <t xml:space="preserve">Diogo Carlos</t>
  </si>
  <si>
    <t xml:space="preserve">Diogo Carlos Santos</t>
  </si>
  <si>
    <t xml:space="preserve">Douglas Skilo</t>
  </si>
  <si>
    <t xml:space="preserve">Douglas Pires da Rosa</t>
  </si>
  <si>
    <t xml:space="preserve">Eduardo Tanque</t>
  </si>
  <si>
    <t xml:space="preserve">José Eduardo Bitencourt da Silva</t>
  </si>
  <si>
    <t xml:space="preserve">Ferreira</t>
  </si>
  <si>
    <t xml:space="preserve">Aldemir dos Santos Ferreira</t>
  </si>
  <si>
    <t xml:space="preserve">Gustavo Vintecinco</t>
  </si>
  <si>
    <t xml:space="preserve">Juan Alano</t>
  </si>
  <si>
    <t xml:space="preserve">Juan Matheus Alano Nascimento</t>
  </si>
  <si>
    <t xml:space="preserve">Lucho Acosta</t>
  </si>
  <si>
    <t xml:space="preserve">Luciano Federico Acosta</t>
  </si>
  <si>
    <t xml:space="preserve">Luquinhas</t>
  </si>
  <si>
    <t xml:space="preserve">Lucas da Silva Bezerra</t>
  </si>
  <si>
    <t xml:space="preserve">Neto</t>
  </si>
  <si>
    <t xml:space="preserve">Fernando Antonio Evangelista da Silva Neto</t>
  </si>
  <si>
    <t xml:space="preserve">Puma Rodriguez</t>
  </si>
  <si>
    <t xml:space="preserve">Jose Luis Rodriguez Bebanz</t>
  </si>
  <si>
    <t xml:space="preserve">Rikelmi Emanuel Leandro dos Santos</t>
  </si>
  <si>
    <t xml:space="preserve">Salatiel</t>
  </si>
  <si>
    <t xml:space="preserve">Salatiel Oliveira Gabriel Junior</t>
  </si>
  <si>
    <t xml:space="preserve">3 americarn</t>
  </si>
  <si>
    <t xml:space="preserve">Serginho</t>
  </si>
  <si>
    <t xml:space="preserve">Sergio Henrique Favarin</t>
  </si>
  <si>
    <t xml:space="preserve">Vinicius Sousa</t>
  </si>
  <si>
    <t xml:space="preserve">Vinicius Felicio de Sousa</t>
  </si>
  <si>
    <t xml:space="preserve">Wander</t>
  </si>
  <si>
    <t xml:space="preserve">Marcos Wanderley Ferreira da Silva</t>
  </si>
  <si>
    <t xml:space="preserve">2 bragantinopa</t>
  </si>
  <si>
    <t xml:space="preserve">Mário César Belli</t>
  </si>
  <si>
    <t xml:space="preserve">Fernando Nathan Padilha de Arruda</t>
  </si>
  <si>
    <t xml:space="preserve">Jean Lucas Figueiredo</t>
  </si>
  <si>
    <t xml:space="preserve">João Borim</t>
  </si>
  <si>
    <t xml:space="preserve">João Vitor Borim</t>
  </si>
  <si>
    <t xml:space="preserve">Lucca</t>
  </si>
  <si>
    <t xml:space="preserve">Lucca Holanda Sampaio Tavares</t>
  </si>
  <si>
    <t xml:space="preserve">Marcudinho</t>
  </si>
  <si>
    <t xml:space="preserve">Marcus Vinicius de Moraes</t>
  </si>
  <si>
    <t xml:space="preserve">Marquinhos Acreano</t>
  </si>
  <si>
    <t xml:space="preserve">Marcos Willard Rodrigues de Albuquerque</t>
  </si>
  <si>
    <t xml:space="preserve">Pochettino</t>
  </si>
  <si>
    <t xml:space="preserve">Tomas Pochettino</t>
  </si>
  <si>
    <t xml:space="preserve">Quintero</t>
  </si>
  <si>
    <t xml:space="preserve">Jorge Alexi Quintero Redin</t>
  </si>
  <si>
    <t xml:space="preserve">Val Soares</t>
  </si>
  <si>
    <t xml:space="preserve">Valdemir de Oliveira Soares</t>
  </si>
  <si>
    <t xml:space="preserve">Victor Rangel</t>
  </si>
  <si>
    <t xml:space="preserve">Victor Neves Rangel</t>
  </si>
  <si>
    <t xml:space="preserve">Vinicius Zanocelo</t>
  </si>
  <si>
    <t xml:space="preserve">Vinicius Nelson de Souza Zanocelo</t>
  </si>
  <si>
    <t xml:space="preserve">Vitao</t>
  </si>
  <si>
    <t xml:space="preserve">Vitor Alberto Alves Ribeiro</t>
  </si>
  <si>
    <t xml:space="preserve">Watthimen</t>
  </si>
  <si>
    <t xml:space="preserve">Watthimen Ranney Lucio Patrocinio</t>
  </si>
  <si>
    <t xml:space="preserve">Edinho</t>
  </si>
  <si>
    <t xml:space="preserve">Eder Maciel Lopes</t>
  </si>
  <si>
    <t xml:space="preserve">Felipe Albuquerque</t>
  </si>
  <si>
    <t xml:space="preserve">Felipe Albuquerque Felippi</t>
  </si>
  <si>
    <t xml:space="preserve">2 gremioprudentesp</t>
  </si>
  <si>
    <t xml:space="preserve">Hugo</t>
  </si>
  <si>
    <t xml:space="preserve">Hugo Costa Saramella de Oliveira</t>
  </si>
  <si>
    <t xml:space="preserve">Leo Gaucho</t>
  </si>
  <si>
    <t xml:space="preserve">Leonardo Andriel dos Santos</t>
  </si>
  <si>
    <t xml:space="preserve">Lucas Moura</t>
  </si>
  <si>
    <t xml:space="preserve">Lucas Rodrigues Moura da Silva</t>
  </si>
  <si>
    <t xml:space="preserve">Netinho</t>
  </si>
  <si>
    <t xml:space="preserve">Jose Domingos de Moraes Neto</t>
  </si>
  <si>
    <t xml:space="preserve">Vinicius Diniz</t>
  </si>
  <si>
    <t xml:space="preserve">Viniicius Diniz Dall Antonia</t>
  </si>
  <si>
    <t xml:space="preserve">Albano</t>
  </si>
  <si>
    <t xml:space="preserve">Albano Sehn Neto</t>
  </si>
  <si>
    <t xml:space="preserve">Lucas Xavier</t>
  </si>
  <si>
    <t xml:space="preserve">Lucas da Silva Xavier</t>
  </si>
  <si>
    <t xml:space="preserve">2 centrooestego</t>
  </si>
  <si>
    <t xml:space="preserve">Matheus Mancini</t>
  </si>
  <si>
    <t xml:space="preserve">Mauricio Magalhaes Prado</t>
  </si>
  <si>
    <t xml:space="preserve">Andre</t>
  </si>
  <si>
    <t xml:space="preserve">Andre Luiz Santos Dias</t>
  </si>
  <si>
    <t xml:space="preserve">Jean Carlos Alves Ferreira</t>
  </si>
  <si>
    <t xml:space="preserve">Jeferson</t>
  </si>
  <si>
    <t xml:space="preserve">Jefereson Borges Carvalho</t>
  </si>
  <si>
    <t xml:space="preserve">Alexandre de Almeida Silva</t>
  </si>
  <si>
    <t xml:space="preserve">Mathues Martins</t>
  </si>
  <si>
    <t xml:space="preserve">Matheus Martins Silva dos Santos</t>
  </si>
  <si>
    <t xml:space="preserve">Vinicius Spaniol</t>
  </si>
  <si>
    <t xml:space="preserve">1 anapolisgo</t>
  </si>
  <si>
    <t xml:space="preserve">Ramon Sosa</t>
  </si>
  <si>
    <t xml:space="preserve">Ramon Sosa Acosta</t>
  </si>
  <si>
    <t xml:space="preserve">Damian Bobadilla</t>
  </si>
  <si>
    <t xml:space="preserve">Damian Josue Bobadilla Benitez</t>
  </si>
  <si>
    <t xml:space="preserve">Chaparral</t>
  </si>
  <si>
    <t xml:space="preserve">Gildevan Morais</t>
  </si>
  <si>
    <t xml:space="preserve">Dentinho</t>
  </si>
  <si>
    <t xml:space="preserve">Diego Felipe Nascimento</t>
  </si>
  <si>
    <t xml:space="preserve">Sanaido Pereira da Silva</t>
  </si>
  <si>
    <t xml:space="preserve">Gonzalo</t>
  </si>
  <si>
    <t xml:space="preserve">Gonzalo Gaston Rodriguez</t>
  </si>
  <si>
    <t xml:space="preserve">Mario Cesar</t>
  </si>
  <si>
    <t xml:space="preserve">Mario Cesar Leite</t>
  </si>
  <si>
    <t xml:space="preserve">Niltinho</t>
  </si>
  <si>
    <t xml:space="preserve">Nilton Soares Rodrigues</t>
  </si>
  <si>
    <t xml:space="preserve">Rayan</t>
  </si>
  <si>
    <t xml:space="preserve">Rayan Vitor Simplicio Rocha</t>
  </si>
  <si>
    <t xml:space="preserve">Davi Ceara</t>
  </si>
  <si>
    <t xml:space="preserve">Davi Alexandre Fabricio</t>
  </si>
  <si>
    <t xml:space="preserve">Luiz Fernando Pereira</t>
  </si>
  <si>
    <t xml:space="preserve">Gabriel Venancio</t>
  </si>
  <si>
    <t xml:space="preserve">Gabriel Venancio de Almeida</t>
  </si>
  <si>
    <t xml:space="preserve">Manoel dos Santos França</t>
  </si>
  <si>
    <t xml:space="preserve">2 anapolinago</t>
  </si>
  <si>
    <t xml:space="preserve">Victor Eduardo Rocha da Silva</t>
  </si>
  <si>
    <t xml:space="preserve">Arisson</t>
  </si>
  <si>
    <t xml:space="preserve">Arisson Willian Pereira de Farias</t>
  </si>
  <si>
    <t xml:space="preserve">Diego</t>
  </si>
  <si>
    <t xml:space="preserve">Diego Pereira Alberto</t>
  </si>
  <si>
    <t xml:space="preserve">Iarley</t>
  </si>
  <si>
    <t xml:space="preserve">Iarley Sebastiao da Silva Veras</t>
  </si>
  <si>
    <t xml:space="preserve">Jorginho</t>
  </si>
  <si>
    <t xml:space="preserve">Jorge Luiz Frello Filho</t>
  </si>
  <si>
    <t xml:space="preserve">Pedro Henrique Cassimiro Castro</t>
  </si>
  <si>
    <t xml:space="preserve">Rian</t>
  </si>
  <si>
    <t xml:space="preserve">Rian Ferreira Almeida</t>
  </si>
  <si>
    <t xml:space="preserve">Rubran</t>
  </si>
  <si>
    <t xml:space="preserve">Rubran Siqueira Pantoja</t>
  </si>
  <si>
    <t xml:space="preserve">Agnael</t>
  </si>
  <si>
    <t xml:space="preserve">Agnael da Conceiçao Lima</t>
  </si>
  <si>
    <t xml:space="preserve">Alexsander Coca</t>
  </si>
  <si>
    <t xml:space="preserve">Alexsander da Silva Ferreira</t>
  </si>
  <si>
    <t xml:space="preserve">Castillo</t>
  </si>
  <si>
    <t xml:space="preserve">Rodrigo Castillo</t>
  </si>
  <si>
    <t xml:space="preserve">Deco</t>
  </si>
  <si>
    <t xml:space="preserve">André Victor Domingos de Oliveira</t>
  </si>
  <si>
    <t xml:space="preserve">Ezequiel</t>
  </si>
  <si>
    <t xml:space="preserve">Ezequiel Ivo Barbosa</t>
  </si>
  <si>
    <t xml:space="preserve">Guilherme Azevedo</t>
  </si>
  <si>
    <t xml:space="preserve">Guilherme da Silva Azevedo</t>
  </si>
  <si>
    <t xml:space="preserve">Hebert</t>
  </si>
  <si>
    <t xml:space="preserve">Herbert Mateus Almeida de Oliveira</t>
  </si>
  <si>
    <t xml:space="preserve">João Antonio</t>
  </si>
  <si>
    <t xml:space="preserve">João Antonio Rodrigues Gomes</t>
  </si>
  <si>
    <t xml:space="preserve">Marllon Moreira Batista dos Satnos</t>
  </si>
  <si>
    <t xml:space="preserve">Matheus Moresche</t>
  </si>
  <si>
    <t xml:space="preserve">Matheus Celestino Moresche Rodrigues</t>
  </si>
  <si>
    <t xml:space="preserve">Rony</t>
  </si>
  <si>
    <t xml:space="preserve">Ronielson da Silva Barbosa</t>
  </si>
  <si>
    <t xml:space="preserve">1 atleticomg</t>
  </si>
  <si>
    <t xml:space="preserve">Rubens Carvalho</t>
  </si>
  <si>
    <t xml:space="preserve">Rubens Pires de Carvalho</t>
  </si>
  <si>
    <t xml:space="preserve">1 fozdoiguacupr</t>
  </si>
  <si>
    <t xml:space="preserve">Spinelli</t>
  </si>
  <si>
    <t xml:space="preserve">Claudio Paul Spinelli</t>
  </si>
  <si>
    <t xml:space="preserve">Talisson</t>
  </si>
  <si>
    <t xml:space="preserve">Talisson de Almeida</t>
  </si>
  <si>
    <t xml:space="preserve">Alisson Ze</t>
  </si>
  <si>
    <t xml:space="preserve">Alisson José Sacramento Leao</t>
  </si>
  <si>
    <t xml:space="preserve">Cabralzinho</t>
  </si>
  <si>
    <t xml:space="preserve">Geidson Silva da Silva</t>
  </si>
  <si>
    <t xml:space="preserve">Castanha</t>
  </si>
  <si>
    <t xml:space="preserve">Matheus Castanha de Freitas</t>
  </si>
  <si>
    <t xml:space="preserve">Caua Lucca</t>
  </si>
  <si>
    <t xml:space="preserve">Caua Lucca Silveiro Ribeiro</t>
  </si>
  <si>
    <t xml:space="preserve">Cleyton</t>
  </si>
  <si>
    <t xml:space="preserve">Cleyton Rafael Lima da Silva</t>
  </si>
  <si>
    <t xml:space="preserve">Corona</t>
  </si>
  <si>
    <t xml:space="preserve">Gustavo Ribeiro de Oliveira</t>
  </si>
  <si>
    <t xml:space="preserve">Cristian Alemão</t>
  </si>
  <si>
    <t xml:space="preserve">Cristian Eduardo Theobald</t>
  </si>
  <si>
    <t xml:space="preserve">Danilo Pereira</t>
  </si>
  <si>
    <t xml:space="preserve">Danilo Santana Pereira</t>
  </si>
  <si>
    <t xml:space="preserve">Diogo Bolt</t>
  </si>
  <si>
    <t xml:space="preserve">Diogo Silva de Souza</t>
  </si>
  <si>
    <t xml:space="preserve">Everton Felipe</t>
  </si>
  <si>
    <t xml:space="preserve">Everton Felipe da Silva Santos</t>
  </si>
  <si>
    <t xml:space="preserve">Felipe Jhonatan Cabral dos Santos</t>
  </si>
  <si>
    <t xml:space="preserve">Fernando</t>
  </si>
  <si>
    <t xml:space="preserve">Fernando José Silva do Nascimento</t>
  </si>
  <si>
    <t xml:space="preserve">Gabriel Majela</t>
  </si>
  <si>
    <t xml:space="preserve">Gabriel Augusto Cesar Majela</t>
  </si>
  <si>
    <t xml:space="preserve">Gileard</t>
  </si>
  <si>
    <t xml:space="preserve">Gileard Nascimento Borges</t>
  </si>
  <si>
    <t xml:space="preserve">1 bragantinopa</t>
  </si>
  <si>
    <t xml:space="preserve">Guilherme Kauan</t>
  </si>
  <si>
    <t xml:space="preserve">Guilherme Kauan Lucio Ferreira</t>
  </si>
  <si>
    <t xml:space="preserve">João Vitor</t>
  </si>
  <si>
    <t xml:space="preserve">João Vitor Gonçalez de Lima</t>
  </si>
  <si>
    <t xml:space="preserve">Joãozinho</t>
  </si>
  <si>
    <t xml:space="preserve">João Victor Amaral dos Santos Silva</t>
  </si>
  <si>
    <t xml:space="preserve">Josiel</t>
  </si>
  <si>
    <t xml:space="preserve">Josiel Ortega de Arruda</t>
  </si>
  <si>
    <t xml:space="preserve">Josmar</t>
  </si>
  <si>
    <t xml:space="preserve">Josmar Silva Miranda</t>
  </si>
  <si>
    <t xml:space="preserve">2 avaisc</t>
  </si>
  <si>
    <t xml:space="preserve">Juan </t>
  </si>
  <si>
    <t xml:space="preserve">Juan Isaza Osorio</t>
  </si>
  <si>
    <t xml:space="preserve">Kayke Ferrari Guimarães</t>
  </si>
  <si>
    <t xml:space="preserve">Leo Ceara</t>
  </si>
  <si>
    <t xml:space="preserve">Jose Leonardo Verissimo do Nascimento</t>
  </si>
  <si>
    <t xml:space="preserve">Loram</t>
  </si>
  <si>
    <t xml:space="preserve">Loram Ramires Brasília Gonçalves</t>
  </si>
  <si>
    <t xml:space="preserve">Lucas Alexandre Marques Otaviano</t>
  </si>
  <si>
    <t xml:space="preserve">Lucas Rafael Rodrigues</t>
  </si>
  <si>
    <t xml:space="preserve">Luiz Phellype</t>
  </si>
  <si>
    <t xml:space="preserve">Luiz Phellype Luciano Silva</t>
  </si>
  <si>
    <t xml:space="preserve">Manu</t>
  </si>
  <si>
    <t xml:space="preserve">Edson Antonio Oliveira de Sousa</t>
  </si>
  <si>
    <t xml:space="preserve">Miguel Vinicius</t>
  </si>
  <si>
    <t xml:space="preserve">Miguel Vinicius Souza da Silva</t>
  </si>
  <si>
    <t xml:space="preserve">Mindinho</t>
  </si>
  <si>
    <t xml:space="preserve">Idelmindo Cardoso Nunes Filho</t>
  </si>
  <si>
    <t xml:space="preserve">Miranda</t>
  </si>
  <si>
    <t xml:space="preserve">Nivaldo Gabriel Chaves Ferreira</t>
  </si>
  <si>
    <t xml:space="preserve">Moises</t>
  </si>
  <si>
    <t xml:space="preserve">Moises Souza da Conceição</t>
  </si>
  <si>
    <t xml:space="preserve">Mpasso</t>
  </si>
  <si>
    <t xml:space="preserve">Hostil Loic Mpasso Sountsa</t>
  </si>
  <si>
    <t xml:space="preserve">camaroes</t>
  </si>
  <si>
    <t xml:space="preserve">Pedrao</t>
  </si>
  <si>
    <t xml:space="preserve">Pedro Henrique Gomes Ananias</t>
  </si>
  <si>
    <t xml:space="preserve">Rafael Bilu</t>
  </si>
  <si>
    <t xml:space="preserve">Rafael Bilu Modesto</t>
  </si>
  <si>
    <t xml:space="preserve">Ricardo Oliveira</t>
  </si>
  <si>
    <t xml:space="preserve">Ricardo de Sousa Oliveira</t>
  </si>
  <si>
    <t xml:space="preserve">Roger</t>
  </si>
  <si>
    <t xml:space="preserve">Roger Felippo Floriano Espindola</t>
  </si>
  <si>
    <t xml:space="preserve">Ruan Pablo</t>
  </si>
  <si>
    <t xml:space="preserve">Ruan Pablo Barbosa Sousa</t>
  </si>
  <si>
    <t xml:space="preserve">Tita</t>
  </si>
  <si>
    <t xml:space="preserve">Crystian Nascimento de Oliveira</t>
  </si>
  <si>
    <t xml:space="preserve">Vitor Bueno</t>
  </si>
  <si>
    <t xml:space="preserve">Vitor Frezarin Bueno</t>
  </si>
  <si>
    <t xml:space="preserve">Wallace </t>
  </si>
  <si>
    <t xml:space="preserve">Wallace Madeira Almeida</t>
  </si>
  <si>
    <t xml:space="preserve">Yan</t>
  </si>
  <si>
    <t xml:space="preserve">Yan Everton Almeida Suhet</t>
  </si>
  <si>
    <t xml:space="preserve">Ygor</t>
  </si>
  <si>
    <t xml:space="preserve">Hebert Igor dos Santos</t>
  </si>
  <si>
    <t xml:space="preserve">Abnner</t>
  </si>
  <si>
    <t xml:space="preserve">Albert Abnner de Melo Oliveira</t>
  </si>
  <si>
    <t xml:space="preserve">Ailton</t>
  </si>
  <si>
    <t xml:space="preserve">José Ailton dos Santos</t>
  </si>
  <si>
    <t xml:space="preserve">Alex Sandre</t>
  </si>
  <si>
    <t xml:space="preserve">Alex Sandre Assis de Souza Junior</t>
  </si>
  <si>
    <t xml:space="preserve">2 parnahybapi</t>
  </si>
  <si>
    <t xml:space="preserve">Alfredo Machado</t>
  </si>
  <si>
    <t xml:space="preserve">Alfredo Damian Machado</t>
  </si>
  <si>
    <t xml:space="preserve">Billa</t>
  </si>
  <si>
    <t xml:space="preserve">João Lucas da Silva Florencio</t>
  </si>
  <si>
    <t xml:space="preserve">Bryan</t>
  </si>
  <si>
    <t xml:space="preserve">Bryan Gabriel Amancio</t>
  </si>
  <si>
    <t xml:space="preserve">Claudio Junior</t>
  </si>
  <si>
    <t xml:space="preserve">José Claudio Agostinho da Silva Júnior</t>
  </si>
  <si>
    <t xml:space="preserve">2 esportepb</t>
  </si>
  <si>
    <t xml:space="preserve">Danilo Nazare</t>
  </si>
  <si>
    <t xml:space="preserve">Danilo Sousa de Nazaré</t>
  </si>
  <si>
    <t xml:space="preserve">Eduardo</t>
  </si>
  <si>
    <t xml:space="preserve">Eduardo Oliveira da Silva</t>
  </si>
  <si>
    <t xml:space="preserve">Filipe Claudino</t>
  </si>
  <si>
    <t xml:space="preserve">Filipe Claudino Tenorio Nobrega</t>
  </si>
  <si>
    <t xml:space="preserve">Fininho</t>
  </si>
  <si>
    <t xml:space="preserve">Randerson Paiva dos Santos</t>
  </si>
  <si>
    <t xml:space="preserve">Gabriel Santos</t>
  </si>
  <si>
    <t xml:space="preserve">Gabriel Gonçalves do Rosário Santos</t>
  </si>
  <si>
    <t xml:space="preserve">Ganso</t>
  </si>
  <si>
    <t xml:space="preserve">Paulo Henrique Chagas de Lima</t>
  </si>
  <si>
    <t xml:space="preserve">Giovane Gomez</t>
  </si>
  <si>
    <t xml:space="preserve">Giovane Gomez da Silva</t>
  </si>
  <si>
    <t xml:space="preserve">Gustavo Cezer dos Santos</t>
  </si>
  <si>
    <t xml:space="preserve">Jean Lucas Silva Teixeira</t>
  </si>
  <si>
    <t xml:space="preserve">Jeremias</t>
  </si>
  <si>
    <t xml:space="preserve">Jeremias Silva Domingos</t>
  </si>
  <si>
    <t xml:space="preserve">Jhonattas Brasileiro</t>
  </si>
  <si>
    <t xml:space="preserve">Jhonattas Walace Oliveira Brasileiro</t>
  </si>
  <si>
    <t xml:space="preserve">João Diogo</t>
  </si>
  <si>
    <t xml:space="preserve">João Diogo Jennings</t>
  </si>
  <si>
    <t xml:space="preserve">Sidney Nascimento de Brito</t>
  </si>
  <si>
    <t xml:space="preserve">Kaio</t>
  </si>
  <si>
    <t xml:space="preserve">Kaio Cunha Pereira</t>
  </si>
  <si>
    <t xml:space="preserve">Kakim</t>
  </si>
  <si>
    <t xml:space="preserve">Luan Thalisson Silva Osorio</t>
  </si>
  <si>
    <t xml:space="preserve">Luiz Araujo</t>
  </si>
  <si>
    <t xml:space="preserve">Luiz de Araujo Guimaraes Neto</t>
  </si>
  <si>
    <t xml:space="preserve">Luiz Phellipe</t>
  </si>
  <si>
    <t xml:space="preserve">Luiz Phillipe Alves Luz</t>
  </si>
  <si>
    <t xml:space="preserve">Maranhao</t>
  </si>
  <si>
    <t xml:space="preserve">João Victor da Silva de Aquino</t>
  </si>
  <si>
    <t xml:space="preserve">Moises Tobinha</t>
  </si>
  <si>
    <t xml:space="preserve">Moises Barros dos Santos</t>
  </si>
  <si>
    <t xml:space="preserve">Moran</t>
  </si>
  <si>
    <t xml:space="preserve">Ignacio Enrique Moran Maldonado</t>
  </si>
  <si>
    <t xml:space="preserve">Moroto</t>
  </si>
  <si>
    <t xml:space="preserve">Sidevaldo Pereira dos Santos</t>
  </si>
  <si>
    <t xml:space="preserve">Muniz</t>
  </si>
  <si>
    <t xml:space="preserve">Kauan de Lima Muniz</t>
  </si>
  <si>
    <t xml:space="preserve">Nathan</t>
  </si>
  <si>
    <t xml:space="preserve">Natan Andre Costa Ramos</t>
  </si>
  <si>
    <t xml:space="preserve">Pablo Dyego</t>
  </si>
  <si>
    <t xml:space="preserve">Pablo Dyego da Silva Rosa</t>
  </si>
  <si>
    <t xml:space="preserve">Pitel</t>
  </si>
  <si>
    <t xml:space="preserve">Christian Xerem de Assis</t>
  </si>
  <si>
    <t xml:space="preserve">Rayllan</t>
  </si>
  <si>
    <t xml:space="preserve">Rayllan Oliveira da Costa</t>
  </si>
  <si>
    <t xml:space="preserve">2 oeirensepi</t>
  </si>
  <si>
    <t xml:space="preserve">Renan Souza</t>
  </si>
  <si>
    <t xml:space="preserve">Renan Guimaraes Lima Souza</t>
  </si>
  <si>
    <t xml:space="preserve">Tete</t>
  </si>
  <si>
    <t xml:space="preserve">Mateus Cardoso Lemos Martins</t>
  </si>
  <si>
    <t xml:space="preserve">Thiago Dombroski</t>
  </si>
  <si>
    <t xml:space="preserve">Thiago Dombroski Moreira</t>
  </si>
  <si>
    <t xml:space="preserve">Thurran</t>
  </si>
  <si>
    <t xml:space="preserve">Eduardo Higino da Silva</t>
  </si>
  <si>
    <t xml:space="preserve">Tiago Marques</t>
  </si>
  <si>
    <t xml:space="preserve">Tiago Marques Rezende</t>
  </si>
  <si>
    <t xml:space="preserve">2 northmg</t>
  </si>
  <si>
    <t xml:space="preserve">Vera Cruz</t>
  </si>
  <si>
    <t xml:space="preserve">Edson Vicente da Costa</t>
  </si>
  <si>
    <t xml:space="preserve">Vinicius Bala</t>
  </si>
  <si>
    <t xml:space="preserve">José Vinicius dos Santos Silva</t>
  </si>
  <si>
    <t xml:space="preserve">Vinicius Caveira</t>
  </si>
  <si>
    <t xml:space="preserve">Vinicius de Souza Tome</t>
  </si>
  <si>
    <t xml:space="preserve">Vitor dos Santos Souza</t>
  </si>
  <si>
    <t xml:space="preserve">Wesley</t>
  </si>
  <si>
    <t xml:space="preserve">Wesley Lima da Silva</t>
  </si>
  <si>
    <t xml:space="preserve">Zé Gatinha</t>
  </si>
  <si>
    <t xml:space="preserve">Alessandro Scheppa</t>
  </si>
  <si>
    <t xml:space="preserve">Alerrandro</t>
  </si>
  <si>
    <t xml:space="preserve">Alerrandro Barra Mansa Realino de Souza</t>
  </si>
  <si>
    <t xml:space="preserve">Alex Galo</t>
  </si>
  <si>
    <t xml:space="preserve">Alex da Cruz Oliveira</t>
  </si>
  <si>
    <t xml:space="preserve">1 desportivaes</t>
  </si>
  <si>
    <t xml:space="preserve">Alfredo</t>
  </si>
  <si>
    <t xml:space="preserve">Carlos Alfredo Santos Nascimento</t>
  </si>
  <si>
    <t xml:space="preserve">Allison</t>
  </si>
  <si>
    <t xml:space="preserve">Allison Patrick Oliveira de Souza</t>
  </si>
  <si>
    <t xml:space="preserve">Allyson Luz</t>
  </si>
  <si>
    <t xml:space="preserve">Allyson Silva da Luz</t>
  </si>
  <si>
    <t xml:space="preserve">Bambelo</t>
  </si>
  <si>
    <t xml:space="preserve">Lusivan Fernandes dos Santos</t>
  </si>
  <si>
    <t xml:space="preserve">Borech</t>
  </si>
  <si>
    <t xml:space="preserve">Guilherme Baldo Borech</t>
  </si>
  <si>
    <t xml:space="preserve">Brenner</t>
  </si>
  <si>
    <t xml:space="preserve">Brenner Souza da Silva</t>
  </si>
  <si>
    <t xml:space="preserve">Caio Mello</t>
  </si>
  <si>
    <t xml:space="preserve">Caio de Mello Vianna Pedrosa Galvão</t>
  </si>
  <si>
    <t xml:space="preserve">Caio Valle</t>
  </si>
  <si>
    <t xml:space="preserve">Caio Ribeiro do Valle Silva</t>
  </si>
  <si>
    <t xml:space="preserve">Caique Gomes</t>
  </si>
  <si>
    <t xml:space="preserve">Camilo da Costa Teixeira</t>
  </si>
  <si>
    <t xml:space="preserve">Cassimiro</t>
  </si>
  <si>
    <t xml:space="preserve">Lucas Cassimiro de Macena</t>
  </si>
  <si>
    <t xml:space="preserve">Cesar Martins</t>
  </si>
  <si>
    <t xml:space="preserve">Cesar Henrique Martins</t>
  </si>
  <si>
    <t xml:space="preserve">Cirilo</t>
  </si>
  <si>
    <t xml:space="preserve">José Cirilo Pereira Júnioir</t>
  </si>
  <si>
    <t xml:space="preserve">Danilo Pires</t>
  </si>
  <si>
    <t xml:space="preserve">Danilo Pires Costa</t>
  </si>
  <si>
    <t xml:space="preserve">Derlan</t>
  </si>
  <si>
    <t xml:space="preserve">Wanderlan Wallacy das Neves Silva</t>
  </si>
  <si>
    <t xml:space="preserve">2 saoraimundopa</t>
  </si>
  <si>
    <t xml:space="preserve">Diego Ceará</t>
  </si>
  <si>
    <t xml:space="preserve">Diego Alves Vieira</t>
  </si>
  <si>
    <t xml:space="preserve">Diego Xavier</t>
  </si>
  <si>
    <t xml:space="preserve">Diego Xavier dos Santos Sousa</t>
  </si>
  <si>
    <t xml:space="preserve">Dixon Vera</t>
  </si>
  <si>
    <t xml:space="preserve">Dixon Jair Vera Rodriguez</t>
  </si>
  <si>
    <t xml:space="preserve">Douglas Pantera</t>
  </si>
  <si>
    <t xml:space="preserve">Michael Douglas Rocha Araujo</t>
  </si>
  <si>
    <t xml:space="preserve">Eduardo Amancio Alves Lopes</t>
  </si>
  <si>
    <t xml:space="preserve">Elmi</t>
  </si>
  <si>
    <t xml:space="preserve">Elmi Guilherme Besuska</t>
  </si>
  <si>
    <t xml:space="preserve">Euller</t>
  </si>
  <si>
    <t xml:space="preserve">Euller da Silva Rodrigues</t>
  </si>
  <si>
    <t xml:space="preserve">Everson</t>
  </si>
  <si>
    <t xml:space="preserve">Everson Ribeiro de Jesus</t>
  </si>
  <si>
    <t xml:space="preserve">Flavio Souza</t>
  </si>
  <si>
    <t xml:space="preserve">Flavio Eugenio Rodrigues de Souza</t>
  </si>
  <si>
    <t xml:space="preserve">Gabriel Neto</t>
  </si>
  <si>
    <t xml:space="preserve">Gabriel dos Santos Neto</t>
  </si>
  <si>
    <t xml:space="preserve">Germano</t>
  </si>
  <si>
    <t xml:space="preserve">Leandro Germano Franco da Silva</t>
  </si>
  <si>
    <t xml:space="preserve">Gionnotti</t>
  </si>
  <si>
    <t xml:space="preserve">Francisco Gionnotti Silva Lopes</t>
  </si>
  <si>
    <t xml:space="preserve">Giovanni Pavani</t>
  </si>
  <si>
    <t xml:space="preserve">Giovanni Fernando Confreste Pavani</t>
  </si>
  <si>
    <t xml:space="preserve">Guilherme Pira</t>
  </si>
  <si>
    <t xml:space="preserve">Guilherme Henrique Silva Gonçalves</t>
  </si>
  <si>
    <t xml:space="preserve">Gustavo Ramos</t>
  </si>
  <si>
    <t xml:space="preserve">Gustavo Ramos Vasconcelos</t>
  </si>
  <si>
    <t xml:space="preserve">Hugo Freitas</t>
  </si>
  <si>
    <t xml:space="preserve">Hugo Freitas Gouveia</t>
  </si>
  <si>
    <t xml:space="preserve">Hyslan</t>
  </si>
  <si>
    <t xml:space="preserve">Hyslan Rangel Martins</t>
  </si>
  <si>
    <t xml:space="preserve">Igor Gomes</t>
  </si>
  <si>
    <t xml:space="preserve">Igor Gomes da Silva</t>
  </si>
  <si>
    <t xml:space="preserve">João Andrade</t>
  </si>
  <si>
    <t xml:space="preserve">João Carlos Andrade Dantas</t>
  </si>
  <si>
    <t xml:space="preserve">Kaue Furquim</t>
  </si>
  <si>
    <t xml:space="preserve">Kaue Junior Furquim da Silva</t>
  </si>
  <si>
    <t xml:space="preserve">Kaynan</t>
  </si>
  <si>
    <t xml:space="preserve">Kaynan do Nascimento Santos</t>
  </si>
  <si>
    <t xml:space="preserve">Kelvyn</t>
  </si>
  <si>
    <t xml:space="preserve">Kelvyn Christopher Araujo de Oliveira</t>
  </si>
  <si>
    <t xml:space="preserve">Kennedy</t>
  </si>
  <si>
    <t xml:space="preserve">Kennedy Lucas Cordeiro Nunes</t>
  </si>
  <si>
    <t xml:space="preserve">Lauder</t>
  </si>
  <si>
    <t xml:space="preserve">Lauder Cesar Perez da Silva</t>
  </si>
  <si>
    <t xml:space="preserve">Leo Reis</t>
  </si>
  <si>
    <t xml:space="preserve">Leonardo Reis Fernandes</t>
  </si>
  <si>
    <t xml:space="preserve">Luan Michel de Louza</t>
  </si>
  <si>
    <t xml:space="preserve">Lucas Gomes</t>
  </si>
  <si>
    <t xml:space="preserve">Lucas Gomes Cardoso</t>
  </si>
  <si>
    <t xml:space="preserve">Lucca Borges de Brito</t>
  </si>
  <si>
    <t xml:space="preserve">Marlyson</t>
  </si>
  <si>
    <t xml:space="preserve">Marlyson Conceicao Oliveira</t>
  </si>
  <si>
    <t xml:space="preserve">Marcos Paulo Fernandes</t>
  </si>
  <si>
    <t xml:space="preserve">Pablo Santos de Alcantara</t>
  </si>
  <si>
    <t xml:space="preserve">Patryck Lanza</t>
  </si>
  <si>
    <t xml:space="preserve">Patrick Lanza dos Reis</t>
  </si>
  <si>
    <t xml:space="preserve">Patuta</t>
  </si>
  <si>
    <t xml:space="preserve">José Anastácio Silva Filho</t>
  </si>
  <si>
    <t xml:space="preserve">1 imperatrizma</t>
  </si>
  <si>
    <t xml:space="preserve">Paulo Henrique Araujo Borges</t>
  </si>
  <si>
    <t xml:space="preserve">Paulo Miranda</t>
  </si>
  <si>
    <t xml:space="preserve">Paulo Damasceno de Miranda Junior</t>
  </si>
  <si>
    <t xml:space="preserve">Pedro de Souza Botelho</t>
  </si>
  <si>
    <t xml:space="preserve">Pedro Maycon</t>
  </si>
  <si>
    <t xml:space="preserve">Pedro Maycon dos Anjos Francisco</t>
  </si>
  <si>
    <t xml:space="preserve">Pedro Sena</t>
  </si>
  <si>
    <t xml:space="preserve">Pedro Matheus Pinheiro de Sena</t>
  </si>
  <si>
    <t xml:space="preserve">2 santarosapa</t>
  </si>
  <si>
    <t xml:space="preserve">Peteca</t>
  </si>
  <si>
    <t xml:space="preserve">Lucas Duarte Bueno</t>
  </si>
  <si>
    <t xml:space="preserve">Porto</t>
  </si>
  <si>
    <t xml:space="preserve">Antonio Porto da Silva Neto</t>
  </si>
  <si>
    <t xml:space="preserve">Roberto Xavier de Souza Filho</t>
  </si>
  <si>
    <t xml:space="preserve">Ruan Lima</t>
  </si>
  <si>
    <t xml:space="preserve">Ruan de Lima Pereira da Cruz</t>
  </si>
  <si>
    <t xml:space="preserve">Soares</t>
  </si>
  <si>
    <t xml:space="preserve">Anmerson da Silva Soares</t>
  </si>
  <si>
    <t xml:space="preserve">Souza</t>
  </si>
  <si>
    <t xml:space="preserve">Manoel Souza Silva</t>
  </si>
  <si>
    <t xml:space="preserve">Vitor Samuel Ferreira Arantes</t>
  </si>
  <si>
    <t xml:space="preserve">Carlos Victor dos Santos Reis</t>
  </si>
  <si>
    <t xml:space="preserve">Wesley Kaua Vieira Dias</t>
  </si>
  <si>
    <t xml:space="preserve">Willian</t>
  </si>
  <si>
    <t xml:space="preserve">Willian Soares dos Santos</t>
  </si>
  <si>
    <t xml:space="preserve">Alef Manga</t>
  </si>
  <si>
    <t xml:space="preserve">Alef Mangueira Severino Pereira</t>
  </si>
  <si>
    <t xml:space="preserve">Andrey Nunes dos Santos</t>
  </si>
  <si>
    <t xml:space="preserve">Augusto</t>
  </si>
  <si>
    <t xml:space="preserve">Augusto Henrique Polido Siqueira</t>
  </si>
  <si>
    <t xml:space="preserve">Avenatti</t>
  </si>
  <si>
    <t xml:space="preserve">Felipe Nicolas Avenatti Dovillabichu</t>
  </si>
  <si>
    <t xml:space="preserve">Breno Bidon</t>
  </si>
  <si>
    <t xml:space="preserve">Breno de Souza Bidon</t>
  </si>
  <si>
    <t xml:space="preserve">Brunão</t>
  </si>
  <si>
    <t xml:space="preserve">Bruno Vitor Ribeiro Rodrigues</t>
  </si>
  <si>
    <t xml:space="preserve">Bruno Nascimento Pereira</t>
  </si>
  <si>
    <t xml:space="preserve">Bruno Sammario</t>
  </si>
  <si>
    <t xml:space="preserve">Bruno Dias Sammario</t>
  </si>
  <si>
    <t xml:space="preserve">Caique Jesus</t>
  </si>
  <si>
    <t xml:space="preserve">Caique Jesus da Silva</t>
  </si>
  <si>
    <t xml:space="preserve">1 cianortepr</t>
  </si>
  <si>
    <t xml:space="preserve">Carlos Henrique Gonçalves Souza</t>
  </si>
  <si>
    <t xml:space="preserve">Cassio Bruno Ibiapino Carvalho</t>
  </si>
  <si>
    <t xml:space="preserve">2 iguatuce</t>
  </si>
  <si>
    <t xml:space="preserve">Daniel Ferreira dos Santos Filho</t>
  </si>
  <si>
    <t xml:space="preserve">Diego Galo</t>
  </si>
  <si>
    <t xml:space="preserve">Diego Henrique Galo da Silva</t>
  </si>
  <si>
    <t xml:space="preserve">Diego de Jesus Mesquita</t>
  </si>
  <si>
    <t xml:space="preserve">Erik</t>
  </si>
  <si>
    <t xml:space="preserve">Erik Gabriel Oliveira Ribeiro</t>
  </si>
  <si>
    <t xml:space="preserve">Felipe Saraiva</t>
  </si>
  <si>
    <t xml:space="preserve">Felipe Saraiva de Souza Silva</t>
  </si>
  <si>
    <t xml:space="preserve">Gabriel Alves</t>
  </si>
  <si>
    <t xml:space="preserve">Gabriel dos Santos Alves</t>
  </si>
  <si>
    <t xml:space="preserve">Gabriel Paulista</t>
  </si>
  <si>
    <t xml:space="preserve">Gabriel Armando de Abreu</t>
  </si>
  <si>
    <t xml:space="preserve">Geovani</t>
  </si>
  <si>
    <t xml:space="preserve">Geovani Geralcino Monteiro Lima</t>
  </si>
  <si>
    <t xml:space="preserve">Gian Carlos Batista Rodrigues</t>
  </si>
  <si>
    <t xml:space="preserve">Gustavo Custódio</t>
  </si>
  <si>
    <t xml:space="preserve">Gustavo Custódio dos Santos</t>
  </si>
  <si>
    <t xml:space="preserve">Gustavo Puskas</t>
  </si>
  <si>
    <t xml:space="preserve">Gustavo Puskas Pinheiro Lemos</t>
  </si>
  <si>
    <t xml:space="preserve">Isaque</t>
  </si>
  <si>
    <t xml:space="preserve">Isaque Aparecido da Silva</t>
  </si>
  <si>
    <t xml:space="preserve">Jefferson Formigão</t>
  </si>
  <si>
    <t xml:space="preserve">Jefferson Alves Oliveira</t>
  </si>
  <si>
    <t xml:space="preserve">João Bravo</t>
  </si>
  <si>
    <t xml:space="preserve">João da Costa Bravo</t>
  </si>
  <si>
    <t xml:space="preserve">Juan Christian</t>
  </si>
  <si>
    <t xml:space="preserve">Juan Christian Pereira Coelho</t>
  </si>
  <si>
    <t xml:space="preserve">Kaka</t>
  </si>
  <si>
    <t xml:space="preserve">Kayslan Alves da Silva</t>
  </si>
  <si>
    <t xml:space="preserve">Ligger</t>
  </si>
  <si>
    <t xml:space="preserve">Ligger Moreira Malaquias</t>
  </si>
  <si>
    <t xml:space="preserve">Lima</t>
  </si>
  <si>
    <t xml:space="preserve">Guilherme Natan de Lima</t>
  </si>
  <si>
    <t xml:space="preserve">Lipão</t>
  </si>
  <si>
    <t xml:space="preserve">Fillipy do Rozario Teixeira</t>
  </si>
  <si>
    <t xml:space="preserve">Lobato</t>
  </si>
  <si>
    <t xml:space="preserve">Guilherme Lima Lobato</t>
  </si>
  <si>
    <t xml:space="preserve">Luan Manta</t>
  </si>
  <si>
    <t xml:space="preserve">Luan Ribeiro Machado</t>
  </si>
  <si>
    <t xml:space="preserve">Lucas Bessa</t>
  </si>
  <si>
    <t xml:space="preserve">Lucas Bessa dos Santos Costa</t>
  </si>
  <si>
    <t xml:space="preserve">Lucas Cipoal</t>
  </si>
  <si>
    <t xml:space="preserve">Lucas Dayan Matos Vieira</t>
  </si>
  <si>
    <t xml:space="preserve">Lucas Lobo</t>
  </si>
  <si>
    <t xml:space="preserve">Lucas Silva Lobo</t>
  </si>
  <si>
    <t xml:space="preserve">Lucas Antonio da Silva Soares</t>
  </si>
  <si>
    <t xml:space="preserve">Marcelo Oliveira Pinto</t>
  </si>
  <si>
    <t xml:space="preserve">Marcio Jonatan</t>
  </si>
  <si>
    <t xml:space="preserve">Marcio Jonatan Dias</t>
  </si>
  <si>
    <t xml:space="preserve">Marlon</t>
  </si>
  <si>
    <t xml:space="preserve">Marlon Martins de Oliveira</t>
  </si>
  <si>
    <t xml:space="preserve">Matheus Nolasco</t>
  </si>
  <si>
    <t xml:space="preserve">Matheus Nolasco de Oliveira Silva</t>
  </si>
  <si>
    <t xml:space="preserve">Mauricinho</t>
  </si>
  <si>
    <t xml:space="preserve">Mauricio Mendes Silva Santos</t>
  </si>
  <si>
    <t xml:space="preserve">Max</t>
  </si>
  <si>
    <t xml:space="preserve">Max Alexandre dos Santos Silva</t>
  </si>
  <si>
    <t xml:space="preserve">2 horizontece</t>
  </si>
  <si>
    <t xml:space="preserve">Micael</t>
  </si>
  <si>
    <t xml:space="preserve">Micael de Barros Viturino</t>
  </si>
  <si>
    <t xml:space="preserve">Michael</t>
  </si>
  <si>
    <t xml:space="preserve">Michael Heberth Alves de Oliveira</t>
  </si>
  <si>
    <t xml:space="preserve">Milla</t>
  </si>
  <si>
    <t xml:space="preserve">Luis Fernando Muller</t>
  </si>
  <si>
    <t xml:space="preserve">Nathan Palafoz</t>
  </si>
  <si>
    <t xml:space="preserve">Nathan Palafoz de Sousa</t>
  </si>
  <si>
    <t xml:space="preserve">Nico Ferreira</t>
  </si>
  <si>
    <t xml:space="preserve">Michael Nicolas Ferreira Berrondo</t>
  </si>
  <si>
    <t xml:space="preserve">Noninha</t>
  </si>
  <si>
    <t xml:space="preserve">Jonathan Rafael Batista Floriano</t>
  </si>
  <si>
    <t xml:space="preserve">Pedro Henrique da Silva Barros</t>
  </si>
  <si>
    <t xml:space="preserve">Pedro Henrique Gonçalves da Silva</t>
  </si>
  <si>
    <t xml:space="preserve">Pk</t>
  </si>
  <si>
    <t xml:space="preserve">Patrick Machado Ferreira</t>
  </si>
  <si>
    <t xml:space="preserve">2 voltaredondarj</t>
  </si>
  <si>
    <t xml:space="preserve">Renato</t>
  </si>
  <si>
    <t xml:space="preserve">José Renato da Silva Júnior</t>
  </si>
  <si>
    <t xml:space="preserve">Riquelme</t>
  </si>
  <si>
    <t xml:space="preserve">Diogo Riquelme Rivas do Nascimento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</si>
  <si>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</si>
  <si>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</si>
  <si>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</si>
  <si>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</si>
  <si>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Romário</t>
  </si>
  <si>
    <t xml:space="preserve">Romário Carvalho de Almeida</t>
  </si>
  <si>
    <t xml:space="preserve">Romulo Rafael da Silva</t>
  </si>
  <si>
    <t xml:space="preserve">Saymon</t>
  </si>
  <si>
    <t xml:space="preserve">Saymon Couto Guedes</t>
  </si>
  <si>
    <t xml:space="preserve">Talyson</t>
  </si>
  <si>
    <t xml:space="preserve">Talyson José Moura do Vale</t>
  </si>
  <si>
    <t xml:space="preserve">Thiago de Sousa de Morais</t>
  </si>
  <si>
    <t xml:space="preserve">Thierry</t>
  </si>
  <si>
    <t xml:space="preserve">Thierry Hanry Praxedes Conti</t>
  </si>
  <si>
    <t xml:space="preserve">Venancio Araujo</t>
  </si>
  <si>
    <t xml:space="preserve">Venancio de Araujo Silva</t>
  </si>
  <si>
    <t xml:space="preserve">1 parnahybapi</t>
  </si>
  <si>
    <t xml:space="preserve">Villareal</t>
  </si>
  <si>
    <t xml:space="preserve">Neyser David Villarreal Quinones</t>
  </si>
  <si>
    <t xml:space="preserve">Wallace Pernambucano</t>
  </si>
  <si>
    <t xml:space="preserve">Wallace Philipe Freitas da Silva</t>
  </si>
  <si>
    <t xml:space="preserve">Wellington</t>
  </si>
  <si>
    <t xml:space="preserve">Wellington Davi Oliveira do Nascimento</t>
  </si>
  <si>
    <t xml:space="preserve">Wesley Silva Viana</t>
  </si>
  <si>
    <t xml:space="preserve">1 barcelonaba</t>
  </si>
  <si>
    <t xml:space="preserve">Aldair Santos Lima</t>
  </si>
  <si>
    <t xml:space="preserve">Alex</t>
  </si>
  <si>
    <t xml:space="preserve">Alexandro Clemente Santos de Andrade</t>
  </si>
  <si>
    <t xml:space="preserve">Anderson Montanha</t>
  </si>
  <si>
    <t xml:space="preserve">Jose Anderson Horacio de Lima</t>
  </si>
  <si>
    <t xml:space="preserve">Andre Castro</t>
  </si>
  <si>
    <t xml:space="preserve">Andre Andrade de Castro</t>
  </si>
  <si>
    <t xml:space="preserve">Arthur Henrique</t>
  </si>
  <si>
    <t xml:space="preserve">Arthur Henrique Peixoto Santos</t>
  </si>
  <si>
    <t xml:space="preserve">Baianinho</t>
  </si>
  <si>
    <t xml:space="preserve">Daniel Gonçalves Batista</t>
  </si>
  <si>
    <t xml:space="preserve">Bernard</t>
  </si>
  <si>
    <t xml:space="preserve">Bernard Anicio Caldeira Duarte</t>
  </si>
  <si>
    <t xml:space="preserve">Borges</t>
  </si>
  <si>
    <t xml:space="preserve">Virgilio Santos Borges</t>
  </si>
  <si>
    <t xml:space="preserve">Bruno Fleitux</t>
  </si>
  <si>
    <t xml:space="preserve">Chileno</t>
  </si>
  <si>
    <t xml:space="preserve">Valdison de Sousa Moreira</t>
  </si>
  <si>
    <t xml:space="preserve">Danilo da Silva Costa</t>
  </si>
  <si>
    <t xml:space="preserve">Deivid</t>
  </si>
  <si>
    <t xml:space="preserve">Deivid Anacleto de Souza</t>
  </si>
  <si>
    <t xml:space="preserve">Denilson Silva</t>
  </si>
  <si>
    <t xml:space="preserve">Denilson da Silva dos Santos</t>
  </si>
  <si>
    <t xml:space="preserve">Dione</t>
  </si>
  <si>
    <t xml:space="preserve">Dione Miguel Ribas</t>
  </si>
  <si>
    <t xml:space="preserve">Dudu Arroz</t>
  </si>
  <si>
    <t xml:space="preserve">Luiz Eduardo Guerino dos Santos</t>
  </si>
  <si>
    <t xml:space="preserve">Echapora</t>
  </si>
  <si>
    <t xml:space="preserve">Luis Otavio de Oliveira</t>
  </si>
  <si>
    <t xml:space="preserve">Erick Landini</t>
  </si>
  <si>
    <t xml:space="preserve">Erick dos Santos Landini</t>
  </si>
  <si>
    <t xml:space="preserve">2 potiguarrn</t>
  </si>
  <si>
    <t xml:space="preserve">Esquivel</t>
  </si>
  <si>
    <t xml:space="preserve">Lucas Angel Esquivel</t>
  </si>
  <si>
    <t xml:space="preserve">Eydison</t>
  </si>
  <si>
    <t xml:space="preserve">Eydison Teofilo Soares</t>
  </si>
  <si>
    <t xml:space="preserve">Fechale</t>
  </si>
  <si>
    <t xml:space="preserve">Fechale Tchagnao</t>
  </si>
  <si>
    <t xml:space="preserve">togo</t>
  </si>
  <si>
    <t xml:space="preserve">2 potyguarrn</t>
  </si>
  <si>
    <t xml:space="preserve">Felipinho</t>
  </si>
  <si>
    <t xml:space="preserve">Felipe José Almeida da rocha</t>
  </si>
  <si>
    <t xml:space="preserve">Filipe Eduardo</t>
  </si>
  <si>
    <t xml:space="preserve">Filipe Eduardo Vieira Candido</t>
  </si>
  <si>
    <t xml:space="preserve">Gabriel Souza dos Santos</t>
  </si>
  <si>
    <t xml:space="preserve">Gabriel Agu</t>
  </si>
  <si>
    <t xml:space="preserve">Gabriel de Oliveira Dionisio</t>
  </si>
  <si>
    <t xml:space="preserve">Guilheme Santos</t>
  </si>
  <si>
    <t xml:space="preserve">Guilherme Santos da Silva</t>
  </si>
  <si>
    <t xml:space="preserve">Gustavo Gutchalles</t>
  </si>
  <si>
    <t xml:space="preserve">Gustavo de Melo Santos</t>
  </si>
  <si>
    <t xml:space="preserve">Henrique Dourado</t>
  </si>
  <si>
    <t xml:space="preserve">José Henrique da Silva Dourado</t>
  </si>
  <si>
    <t xml:space="preserve">Iago</t>
  </si>
  <si>
    <t xml:space="preserve">Iago Felipe Pereira</t>
  </si>
  <si>
    <t xml:space="preserve">Iago de Lacerda dos Santos</t>
  </si>
  <si>
    <t xml:space="preserve">Ibson Ribeiro</t>
  </si>
  <si>
    <t xml:space="preserve">Ibson dos Santos Ribeiro</t>
  </si>
  <si>
    <t xml:space="preserve">Jackie Chan</t>
  </si>
  <si>
    <t xml:space="preserve">Ivanilson Barbosa Chaul</t>
  </si>
  <si>
    <t xml:space="preserve">Janderson</t>
  </si>
  <si>
    <t xml:space="preserve">Janderson Santos de Souza</t>
  </si>
  <si>
    <t xml:space="preserve">Jayme</t>
  </si>
  <si>
    <t xml:space="preserve">Jayme Juan Alves da Silva</t>
  </si>
  <si>
    <t xml:space="preserve">Jonata Bastos</t>
  </si>
  <si>
    <t xml:space="preserve">Jonata de Oliveira Bastos</t>
  </si>
  <si>
    <t xml:space="preserve">Marcos Thompson de Mello Junior</t>
  </si>
  <si>
    <t xml:space="preserve">Kayky Alves</t>
  </si>
  <si>
    <t xml:space="preserve">Kayky Alves Schtscherbak</t>
  </si>
  <si>
    <t xml:space="preserve">Kayon</t>
  </si>
  <si>
    <t xml:space="preserve">Kayon Henrique dos Santos</t>
  </si>
  <si>
    <t xml:space="preserve">Leandro Maciel</t>
  </si>
  <si>
    <t xml:space="preserve">Leandro Isaac Maciel</t>
  </si>
  <si>
    <t xml:space="preserve">Luan Dhonnatas da Silva Lobo</t>
  </si>
  <si>
    <t xml:space="preserve">Luan Silva</t>
  </si>
  <si>
    <t xml:space="preserve">Luan Santos Silva</t>
  </si>
  <si>
    <t xml:space="preserve">Lucas Alvim</t>
  </si>
  <si>
    <t xml:space="preserve">Lucas Alvim Vicente da Silva</t>
  </si>
  <si>
    <t xml:space="preserve">Lucas Aruba</t>
  </si>
  <si>
    <t xml:space="preserve">Lucas Mazdiel Aruba Santos</t>
  </si>
  <si>
    <t xml:space="preserve">Lucas Belezi</t>
  </si>
  <si>
    <t xml:space="preserve">Lucas Belezi Barbosa</t>
  </si>
  <si>
    <t xml:space="preserve">1 athleticopr</t>
  </si>
  <si>
    <t xml:space="preserve">Lucas Emanoel </t>
  </si>
  <si>
    <t xml:space="preserve">Lucas Emanoel de Abreu dos Reis</t>
  </si>
  <si>
    <t xml:space="preserve">Lucas Santana</t>
  </si>
  <si>
    <t xml:space="preserve">Lucas Silva Leite Santana</t>
  </si>
  <si>
    <t xml:space="preserve">Luis Gustavo</t>
  </si>
  <si>
    <t xml:space="preserve">Luis Gustavo Santos</t>
  </si>
  <si>
    <t xml:space="preserve">Marrony</t>
  </si>
  <si>
    <t xml:space="preserve">Marrony da Silva</t>
  </si>
  <si>
    <t xml:space="preserve">Matheus Vinicius</t>
  </si>
  <si>
    <t xml:space="preserve">Mayco Felix</t>
  </si>
  <si>
    <t xml:space="preserve">Mayco Felix Silva</t>
  </si>
  <si>
    <t xml:space="preserve">1 maguarype</t>
  </si>
  <si>
    <t xml:space="preserve">Miller</t>
  </si>
  <si>
    <t xml:space="preserve">Miller Chaves Dias</t>
  </si>
  <si>
    <t xml:space="preserve">Pedro Henrique Guedes dos Santos</t>
  </si>
  <si>
    <t xml:space="preserve">Pedro Hennrique</t>
  </si>
  <si>
    <t xml:space="preserve">Pedro Henrique Konzen</t>
  </si>
  <si>
    <t xml:space="preserve">Pedro Testa</t>
  </si>
  <si>
    <t xml:space="preserve">Pedro Henrique Ferreira da Silva</t>
  </si>
  <si>
    <t xml:space="preserve">Perea</t>
  </si>
  <si>
    <t xml:space="preserve">Jonathan Perea Hinestroza</t>
  </si>
  <si>
    <t xml:space="preserve">1 naviraiensems</t>
  </si>
  <si>
    <t xml:space="preserve">Rafael Tanque</t>
  </si>
  <si>
    <t xml:space="preserve">Rafael Rodrigues de Souza</t>
  </si>
  <si>
    <t xml:space="preserve">2 santoandresp</t>
  </si>
  <si>
    <t xml:space="preserve">Railson</t>
  </si>
  <si>
    <t xml:space="preserve">Railson Oliveira de Oliveira</t>
  </si>
  <si>
    <t xml:space="preserve">Railson Queiroz</t>
  </si>
  <si>
    <t xml:space="preserve">Railson Barreto Queiroz</t>
  </si>
  <si>
    <t xml:space="preserve">Ricardo Santana</t>
  </si>
  <si>
    <t xml:space="preserve">Ricardo Santana Silva</t>
  </si>
  <si>
    <t xml:space="preserve">Romario Henrique Faria</t>
  </si>
  <si>
    <t xml:space="preserve">Thalles</t>
  </si>
  <si>
    <t xml:space="preserve">Thalles Gabriel Morais dos Reis</t>
  </si>
  <si>
    <t xml:space="preserve">Tiago Cunha</t>
  </si>
  <si>
    <t xml:space="preserve">Tiago Cunha Rodrigues Serra</t>
  </si>
  <si>
    <t xml:space="preserve">Victor Leo</t>
  </si>
  <si>
    <t xml:space="preserve">Victor Leonardo Rodrigues</t>
  </si>
  <si>
    <t xml:space="preserve">Yago</t>
  </si>
  <si>
    <t xml:space="preserve">Yago Henrique Severino dos Santos</t>
  </si>
  <si>
    <t xml:space="preserve">Yuri Mamute</t>
  </si>
  <si>
    <t xml:space="preserve">Yuri Silva de Sousa</t>
  </si>
  <si>
    <t xml:space="preserve">1 americase</t>
  </si>
  <si>
    <t xml:space="preserve">Alan Leite</t>
  </si>
  <si>
    <t xml:space="preserve">Alan Francisco Leite</t>
  </si>
  <si>
    <t xml:space="preserve">Alysson Dutra</t>
  </si>
  <si>
    <t xml:space="preserve">Alysson Ademir Dutra</t>
  </si>
  <si>
    <t xml:space="preserve">Bady</t>
  </si>
  <si>
    <t xml:space="preserve">Renato Escobar Baruffi</t>
  </si>
  <si>
    <t xml:space="preserve">Bino</t>
  </si>
  <si>
    <t xml:space="preserve">Jeferson Carlos Pereira Leite</t>
  </si>
  <si>
    <t xml:space="preserve">Brandao</t>
  </si>
  <si>
    <t xml:space="preserve">Leonardo Henrique Ribeiro Brandão</t>
  </si>
  <si>
    <t xml:space="preserve">2 riobrancoes</t>
  </si>
  <si>
    <t xml:space="preserve">Caio </t>
  </si>
  <si>
    <t xml:space="preserve">Caio Mello Guimarães</t>
  </si>
  <si>
    <t xml:space="preserve">Caio Henrique Santos Rocha</t>
  </si>
  <si>
    <t xml:space="preserve">Caio Vieira</t>
  </si>
  <si>
    <t xml:space="preserve">Caique</t>
  </si>
  <si>
    <t xml:space="preserve">Wladier Caique Mendonça Lima</t>
  </si>
  <si>
    <t xml:space="preserve">César Tiago Gomes da Conceição</t>
  </si>
  <si>
    <t xml:space="preserve">2 anaplinago</t>
  </si>
  <si>
    <t xml:space="preserve">Clinton</t>
  </si>
  <si>
    <t xml:space="preserve">Udeh Arinze Clinton</t>
  </si>
  <si>
    <t xml:space="preserve">Doda</t>
  </si>
  <si>
    <t xml:space="preserve">Josimar Alves Lira</t>
  </si>
  <si>
    <t xml:space="preserve">Douglas</t>
  </si>
  <si>
    <t xml:space="preserve">Douglas dos Santos Moreira</t>
  </si>
  <si>
    <t xml:space="preserve">Carlos Eduardo de Oliveira Alves</t>
  </si>
  <si>
    <t xml:space="preserve">Erick Salles</t>
  </si>
  <si>
    <t xml:space="preserve">Erick Lender Salles</t>
  </si>
  <si>
    <t xml:space="preserve">Felipe Augusto Ferreira Batista</t>
  </si>
  <si>
    <t xml:space="preserve">Fransergio</t>
  </si>
  <si>
    <t xml:space="preserve">Fransérgio Rodrigues Barbosa</t>
  </si>
  <si>
    <t xml:space="preserve">Gabriel Menino</t>
  </si>
  <si>
    <t xml:space="preserve">Gabriel Vinicius Menino</t>
  </si>
  <si>
    <t xml:space="preserve">Giovani Nascimento</t>
  </si>
  <si>
    <t xml:space="preserve">Giovani Junior Sousa Nascimento</t>
  </si>
  <si>
    <t xml:space="preserve">GW</t>
  </si>
  <si>
    <t xml:space="preserve">Gabriel William Pires dos Santos</t>
  </si>
  <si>
    <t xml:space="preserve">Iarley Gilberto de Barros Leal</t>
  </si>
  <si>
    <t xml:space="preserve">2 americarn</t>
  </si>
  <si>
    <t xml:space="preserve">Indio Potiguar</t>
  </si>
  <si>
    <t xml:space="preserve">Joao Luis da Silva</t>
  </si>
  <si>
    <t xml:space="preserve">2 luminensema</t>
  </si>
  <si>
    <t xml:space="preserve">Jackson</t>
  </si>
  <si>
    <t xml:space="preserve">Jackson Bernardo da Silva</t>
  </si>
  <si>
    <t xml:space="preserve">Jacy</t>
  </si>
  <si>
    <t xml:space="preserve">Jacy Maranhão Oliveira</t>
  </si>
  <si>
    <t xml:space="preserve">Japa</t>
  </si>
  <si>
    <t xml:space="preserve">João Wellington Gadelha Melo</t>
  </si>
  <si>
    <t xml:space="preserve">Jeam</t>
  </si>
  <si>
    <t xml:space="preserve">Jeam Eugenio de Oliveira</t>
  </si>
  <si>
    <t xml:space="preserve">Jeffinho</t>
  </si>
  <si>
    <t xml:space="preserve">Jefferson Riguimar da Silva Santos</t>
  </si>
  <si>
    <t xml:space="preserve">1 iguatuce</t>
  </si>
  <si>
    <t xml:space="preserve">Joao Guilherme</t>
  </si>
  <si>
    <t xml:space="preserve">João Guilherme Silva Santos</t>
  </si>
  <si>
    <t xml:space="preserve">João Igor</t>
  </si>
  <si>
    <t xml:space="preserve">João Igor Oliveira de Santana</t>
  </si>
  <si>
    <t xml:space="preserve">Jota</t>
  </si>
  <si>
    <t xml:space="preserve">João Victor Broad Moreira</t>
  </si>
  <si>
    <t xml:space="preserve">Junyel</t>
  </si>
  <si>
    <t xml:space="preserve">Juniel da Silva</t>
  </si>
  <si>
    <t xml:space="preserve">1 esportepb</t>
  </si>
  <si>
    <t xml:space="preserve">Kaio Henrique Oliveira das Chagas</t>
  </si>
  <si>
    <t xml:space="preserve">Luiz Henrique Farias da Silva</t>
  </si>
  <si>
    <t xml:space="preserve">Luizao</t>
  </si>
  <si>
    <t xml:space="preserve">Luiz Guilherme Vieira da Silvaa</t>
  </si>
  <si>
    <t xml:space="preserve">Marlon Almeida da Silva Ignacio</t>
  </si>
  <si>
    <t xml:space="preserve">Maycon Rangel</t>
  </si>
  <si>
    <t xml:space="preserve">Maycon Rangel Guimarães Silva</t>
  </si>
  <si>
    <t xml:space="preserve">Mikael Santos da Paz</t>
  </si>
  <si>
    <t xml:space="preserve">Moises Vieira da Veiga</t>
  </si>
  <si>
    <t xml:space="preserve">MP</t>
  </si>
  <si>
    <t xml:space="preserve">Marcos Paulo Costa do Nascimento</t>
  </si>
  <si>
    <t xml:space="preserve">Patrick Torelli Souza</t>
  </si>
  <si>
    <t xml:space="preserve">Pedro Igor Silva Araujo de Oliveira</t>
  </si>
  <si>
    <t xml:space="preserve">Rael</t>
  </si>
  <si>
    <t xml:space="preserve">Israel do Nascimento Gomes</t>
  </si>
  <si>
    <t xml:space="preserve">Marcos Vinicius Alves Barreira</t>
  </si>
  <si>
    <t xml:space="preserve">Ruan</t>
  </si>
  <si>
    <t xml:space="preserve">Ruan Palmares Santos</t>
  </si>
  <si>
    <t xml:space="preserve">Thallyson</t>
  </si>
  <si>
    <t xml:space="preserve">Thallyson Augusto Tavares Dias</t>
  </si>
  <si>
    <t xml:space="preserve">Tomi Montefiori</t>
  </si>
  <si>
    <t xml:space="preserve">Carlos Thomas Gomez Montefiori</t>
  </si>
  <si>
    <t xml:space="preserve">Tony Junior</t>
  </si>
  <si>
    <t xml:space="preserve">Antonio Marcos de Oliveira Junior</t>
  </si>
  <si>
    <t xml:space="preserve">Vitor Felipe</t>
  </si>
  <si>
    <t xml:space="preserve">Vitor Felipe da Costa Silva</t>
  </si>
  <si>
    <t xml:space="preserve">Walace</t>
  </si>
  <si>
    <t xml:space="preserve">Walace dos Santos França</t>
  </si>
  <si>
    <t xml:space="preserve">Aguirre</t>
  </si>
  <si>
    <t xml:space="preserve">Braian Nahuel Aguirre</t>
  </si>
  <si>
    <t xml:space="preserve">Ailton Junior Costa de Oliveira</t>
  </si>
  <si>
    <t xml:space="preserve">Alexandre </t>
  </si>
  <si>
    <t xml:space="preserve">Alexandre de Oliveira Manzoni</t>
  </si>
  <si>
    <t xml:space="preserve">Andre Luiz</t>
  </si>
  <si>
    <t xml:space="preserve">Andre Luiz Guimaraes Siqueira Junior</t>
  </si>
  <si>
    <t xml:space="preserve">Andrey Dias da Silva</t>
  </si>
  <si>
    <t xml:space="preserve">Brown</t>
  </si>
  <si>
    <t xml:space="preserve">Claydson Brown da Silva</t>
  </si>
  <si>
    <t xml:space="preserve">Bryan Bernardo de Paula</t>
  </si>
  <si>
    <t xml:space="preserve">Caua Andrade</t>
  </si>
  <si>
    <t xml:space="preserve">Caua Oliveira Ferreira Andrade</t>
  </si>
  <si>
    <t xml:space="preserve">Cedric</t>
  </si>
  <si>
    <t xml:space="preserve">Ilson Cedric Borges de Accacio</t>
  </si>
  <si>
    <t xml:space="preserve">Charles</t>
  </si>
  <si>
    <t xml:space="preserve">Charles de Queiroz do Nascimento</t>
  </si>
  <si>
    <t xml:space="preserve">Daniel Amorim</t>
  </si>
  <si>
    <t xml:space="preserve">Daniel Amorim Dias</t>
  </si>
  <si>
    <t xml:space="preserve">Debu</t>
  </si>
  <si>
    <t xml:space="preserve">Valdemir Rodrigues da Silva</t>
  </si>
  <si>
    <t xml:space="preserve">2 capitaopocopa</t>
  </si>
  <si>
    <t xml:space="preserve">Dener</t>
  </si>
  <si>
    <t xml:space="preserve">Dener Gomes Clemente</t>
  </si>
  <si>
    <t xml:space="preserve">Dhonata</t>
  </si>
  <si>
    <t xml:space="preserve">Dhonata Mateus Correa Oliveira</t>
  </si>
  <si>
    <t xml:space="preserve">Dogao</t>
  </si>
  <si>
    <t xml:space="preserve">Douglas da Silva Rodrigues</t>
  </si>
  <si>
    <t xml:space="preserve">Edson Eduardo Dias Gomes</t>
  </si>
  <si>
    <t xml:space="preserve">Emerson Bacas</t>
  </si>
  <si>
    <t xml:space="preserve">Emerson Bacas Neri</t>
  </si>
  <si>
    <t xml:space="preserve">Fabio Azevedo</t>
  </si>
  <si>
    <t xml:space="preserve">Fábio Vitor Antonio Azevedo Pires</t>
  </si>
  <si>
    <t xml:space="preserve">Flaviano</t>
  </si>
  <si>
    <t xml:space="preserve">Flaviano Dias Soriano</t>
  </si>
  <si>
    <t xml:space="preserve">Gabriel Mello</t>
  </si>
  <si>
    <t xml:space="preserve">Gabriel Mello Reichert</t>
  </si>
  <si>
    <t xml:space="preserve">Gaspar</t>
  </si>
  <si>
    <t xml:space="preserve">Luis Eduardo Gaspar Coelho</t>
  </si>
  <si>
    <t xml:space="preserve">Giovanni Pacheco da Silva</t>
  </si>
  <si>
    <t xml:space="preserve">Guilherme Santos Brito</t>
  </si>
  <si>
    <t xml:space="preserve">Guilherme Santos</t>
  </si>
  <si>
    <t xml:space="preserve">Guilherme Oliveira Santos</t>
  </si>
  <si>
    <t xml:space="preserve">Gustavo Scarpa</t>
  </si>
  <si>
    <t xml:space="preserve">Gustavo Henrique Furtado Scarpa</t>
  </si>
  <si>
    <t xml:space="preserve">Hitalo Mota</t>
  </si>
  <si>
    <t xml:space="preserve">Hitalo Teixeira Mota</t>
  </si>
  <si>
    <t xml:space="preserve">Jean Carlo</t>
  </si>
  <si>
    <t xml:space="preserve">Jean Carlo Bernieri Fernandes</t>
  </si>
  <si>
    <t xml:space="preserve">1 monsoonrs</t>
  </si>
  <si>
    <t xml:space="preserve">Jefinho</t>
  </si>
  <si>
    <t xml:space="preserve">Jefferson Souza do Nascimento</t>
  </si>
  <si>
    <t xml:space="preserve">Jhonatan Ribeiro</t>
  </si>
  <si>
    <t xml:space="preserve">Jhonatan Ribeiro de Araujo</t>
  </si>
  <si>
    <t xml:space="preserve">Joao Cruz</t>
  </si>
  <si>
    <t xml:space="preserve">Joao Victor Machado Cruz</t>
  </si>
  <si>
    <t xml:space="preserve">João Vitor dos Santos</t>
  </si>
  <si>
    <t xml:space="preserve">Lavega</t>
  </si>
  <si>
    <t xml:space="preserve">Joaquin Lavega Colzada</t>
  </si>
  <si>
    <t xml:space="preserve">Luan Carlos de Frias da Silva</t>
  </si>
  <si>
    <t xml:space="preserve">Lucas Bala</t>
  </si>
  <si>
    <t xml:space="preserve">Lucas Lisboa Andrade Borges da Silva</t>
  </si>
  <si>
    <t xml:space="preserve">Lucas Martins</t>
  </si>
  <si>
    <t xml:space="preserve">Lucas Dorneles Martins</t>
  </si>
  <si>
    <t xml:space="preserve">Francinilson Santos Meirelles</t>
  </si>
  <si>
    <t xml:space="preserve">Matheus Neris</t>
  </si>
  <si>
    <t xml:space="preserve">Matheus Neris Graça</t>
  </si>
  <si>
    <t xml:space="preserve">Michel</t>
  </si>
  <si>
    <t xml:space="preserve">Michel das Chagas Henrique</t>
  </si>
  <si>
    <t xml:space="preserve">Ninho</t>
  </si>
  <si>
    <t xml:space="preserve">Jenilson Santos Carneiro</t>
  </si>
  <si>
    <t xml:space="preserve">Pablo Roberto</t>
  </si>
  <si>
    <t xml:space="preserve">Pablo Roberto dos santos Barbosa</t>
  </si>
  <si>
    <t xml:space="preserve">Patrick Felipe</t>
  </si>
  <si>
    <t xml:space="preserve">Patrick Felipe Justino Alves</t>
  </si>
  <si>
    <t xml:space="preserve">Paulo Henrique</t>
  </si>
  <si>
    <t xml:space="preserve">Paulo Henrique Novais</t>
  </si>
  <si>
    <t xml:space="preserve">Peu</t>
  </si>
  <si>
    <t xml:space="preserve">Pedro Henrique Peixoto Silva</t>
  </si>
  <si>
    <t xml:space="preserve">Renan Lodi</t>
  </si>
  <si>
    <t xml:space="preserve">Renan Augusto Lodi dos Santos</t>
  </si>
  <si>
    <t xml:space="preserve">Renato Soares</t>
  </si>
  <si>
    <t xml:space="preserve">Renato Luis de Moura Soares</t>
  </si>
  <si>
    <t xml:space="preserve">Richard</t>
  </si>
  <si>
    <t xml:space="preserve">Richard Cossoniche da Silva</t>
  </si>
  <si>
    <t xml:space="preserve">Robson Santos do Carmo Junior</t>
  </si>
  <si>
    <t xml:space="preserve">Rodrigo Andrade</t>
  </si>
  <si>
    <t xml:space="preserve">Rodrigo Andrade da Silva</t>
  </si>
  <si>
    <t xml:space="preserve">Rodrigo Lindoso</t>
  </si>
  <si>
    <t xml:space="preserve">Rodrigo Oliveira Lindoso</t>
  </si>
  <si>
    <t xml:space="preserve">Ruan Marcos Jesus dos Santos</t>
  </si>
  <si>
    <t xml:space="preserve">Ruan Freitas</t>
  </si>
  <si>
    <t xml:space="preserve">Ruan Michaelsen de Freitas</t>
  </si>
  <si>
    <t xml:space="preserve">Silas</t>
  </si>
  <si>
    <t xml:space="preserve">Silas Araujo da Silva</t>
  </si>
  <si>
    <t xml:space="preserve">2 nacionalam</t>
  </si>
  <si>
    <t xml:space="preserve">Thiago Alves da Rosa</t>
  </si>
  <si>
    <t xml:space="preserve">Tiburcio</t>
  </si>
  <si>
    <t xml:space="preserve">Marcos Luiz Alves Tiburcio</t>
  </si>
  <si>
    <t xml:space="preserve">Wilmer Lima</t>
  </si>
  <si>
    <t xml:space="preserve">Wilmer Jesus Lima</t>
  </si>
  <si>
    <t xml:space="preserve">Ze Artur</t>
  </si>
  <si>
    <t xml:space="preserve">José Arthur Pereira Neto</t>
  </si>
  <si>
    <t xml:space="preserve">Allyson</t>
  </si>
  <si>
    <t xml:space="preserve">Allyson Aires dos Santos</t>
  </si>
  <si>
    <t xml:space="preserve">Antonio</t>
  </si>
  <si>
    <t xml:space="preserve">Antonio Gabriel da Silva</t>
  </si>
  <si>
    <t xml:space="preserve">1 aguasantasp</t>
  </si>
  <si>
    <t xml:space="preserve">Barreal</t>
  </si>
  <si>
    <t xml:space="preserve">Alvaro Martin Barreal</t>
  </si>
  <si>
    <t xml:space="preserve">Bruno Lopes</t>
  </si>
  <si>
    <t xml:space="preserve">Bruno Henrique Lopes</t>
  </si>
  <si>
    <t xml:space="preserve">2 pontepretasp</t>
  </si>
  <si>
    <t xml:space="preserve">Caique Valdivia</t>
  </si>
  <si>
    <t xml:space="preserve">Caique Ferreira da Silva Leire</t>
  </si>
  <si>
    <t xml:space="preserve">1 cruzeiroal</t>
  </si>
  <si>
    <t xml:space="preserve">Castro</t>
  </si>
  <si>
    <t xml:space="preserve">Luiz Felipe Castro Neto</t>
  </si>
  <si>
    <t xml:space="preserve">Diego Guerra</t>
  </si>
  <si>
    <t xml:space="preserve">Diego de Matos Peixoto Guerra</t>
  </si>
  <si>
    <t xml:space="preserve">Diki</t>
  </si>
  <si>
    <t xml:space="preserve">Cleiton Santana Santos</t>
  </si>
  <si>
    <t xml:space="preserve">1 portoba</t>
  </si>
  <si>
    <t xml:space="preserve">Dudu Pedrotti</t>
  </si>
  <si>
    <t xml:space="preserve">Eduardo Felipe Pedrotti</t>
  </si>
  <si>
    <t xml:space="preserve">Elvinho</t>
  </si>
  <si>
    <t xml:space="preserve">Elvis Marley Aparecido Bittencourt</t>
  </si>
  <si>
    <t xml:space="preserve">Fabio</t>
  </si>
  <si>
    <t xml:space="preserve">Fábio da Cruz Oliveira</t>
  </si>
  <si>
    <t xml:space="preserve">Felipe Cruz</t>
  </si>
  <si>
    <t xml:space="preserve">Felipe Ferreira da Cruz</t>
  </si>
  <si>
    <t xml:space="preserve">Felipe Garcia</t>
  </si>
  <si>
    <t xml:space="preserve">Felipe Garcia Gonçalves</t>
  </si>
  <si>
    <t xml:space="preserve">Fellipe d aSilva Resende</t>
  </si>
  <si>
    <t xml:space="preserve">Gabriel Silva</t>
  </si>
  <si>
    <t xml:space="preserve">Gabriel Santos Silva</t>
  </si>
  <si>
    <t xml:space="preserve">Gabriel Viana</t>
  </si>
  <si>
    <t xml:space="preserve">Gabriel Viana Pinheiro Rodrigues</t>
  </si>
  <si>
    <t xml:space="preserve">Gege</t>
  </si>
  <si>
    <t xml:space="preserve">Geirton Marques Aires</t>
  </si>
  <si>
    <t xml:space="preserve">Gui Vieira</t>
  </si>
  <si>
    <t xml:space="preserve">Guilherme Vieira Moraes da Silva</t>
  </si>
  <si>
    <t xml:space="preserve">Guilherme Lisboa</t>
  </si>
  <si>
    <t xml:space="preserve">Guilherme Lisboa Viana</t>
  </si>
  <si>
    <t xml:space="preserve">1 andrauspr</t>
  </si>
  <si>
    <t xml:space="preserve">Gustavo Silva Souza</t>
  </si>
  <si>
    <t xml:space="preserve">Hedilberto Pereira</t>
  </si>
  <si>
    <t xml:space="preserve">Hildeberto Jose Morgado Pereira</t>
  </si>
  <si>
    <t xml:space="preserve">Hiago</t>
  </si>
  <si>
    <t xml:space="preserve">Hiago Henrique Santos Monteiro</t>
  </si>
  <si>
    <t xml:space="preserve">Hitalo</t>
  </si>
  <si>
    <t xml:space="preserve">José Hitalo Sousa da Silva</t>
  </si>
  <si>
    <t xml:space="preserve">Iago Dias</t>
  </si>
  <si>
    <t xml:space="preserve">Iago Angelo Dias</t>
  </si>
  <si>
    <t xml:space="preserve">Leandro Cordova</t>
  </si>
  <si>
    <t xml:space="preserve">Leandro Mendes Córdova</t>
  </si>
  <si>
    <t xml:space="preserve">Luiz Fernando</t>
  </si>
  <si>
    <t xml:space="preserve">Luis Fernando Moraes dos Santos</t>
  </si>
  <si>
    <t xml:space="preserve">Mano Walter</t>
  </si>
  <si>
    <t xml:space="preserve">João Lucas da Silva Gomes</t>
  </si>
  <si>
    <t xml:space="preserve">Mansur</t>
  </si>
  <si>
    <t xml:space="preserve">Nestor Reis Carvalho Mansur</t>
  </si>
  <si>
    <t xml:space="preserve">Marquinhos Bala</t>
  </si>
  <si>
    <t xml:space="preserve">Marcos Soares Machado</t>
  </si>
  <si>
    <t xml:space="preserve">Mena</t>
  </si>
  <si>
    <t xml:space="preserve">Yair Mena Palacios</t>
  </si>
  <si>
    <t xml:space="preserve">Nahan Fogaça</t>
  </si>
  <si>
    <t xml:space="preserve">Nathan Uiliam Fogaça</t>
  </si>
  <si>
    <t xml:space="preserve">Natan</t>
  </si>
  <si>
    <t xml:space="preserve">Natanael Viturino de Lima</t>
  </si>
  <si>
    <t xml:space="preserve">Nilton</t>
  </si>
  <si>
    <t xml:space="preserve">Antonilton Batista dos Santos</t>
  </si>
  <si>
    <t xml:space="preserve">Pablo Thomaz</t>
  </si>
  <si>
    <t xml:space="preserve">Pablo Thiago Ferreira Thomaz</t>
  </si>
  <si>
    <t xml:space="preserve">Patrick Allan</t>
  </si>
  <si>
    <t xml:space="preserve">Patrick Allan da Silva Mol Gonçalves</t>
  </si>
  <si>
    <t xml:space="preserve">Pulgar</t>
  </si>
  <si>
    <t xml:space="preserve">Erick Antonio Pulgar Farfan</t>
  </si>
  <si>
    <t xml:space="preserve">chile</t>
  </si>
  <si>
    <t xml:space="preserve">Razera</t>
  </si>
  <si>
    <t xml:space="preserve">Gabriel Razera</t>
  </si>
  <si>
    <t xml:space="preserve">Ruan Tressoldi</t>
  </si>
  <si>
    <t xml:space="preserve">Ruan Tressoldi Netto</t>
  </si>
  <si>
    <t xml:space="preserve">Samir</t>
  </si>
  <si>
    <t xml:space="preserve">Samir Oliveira Chahoud da Fortaleza</t>
  </si>
  <si>
    <t xml:space="preserve">Sidnei Neto</t>
  </si>
  <si>
    <t xml:space="preserve">Sidnei Costa Machado Neto</t>
  </si>
  <si>
    <t xml:space="preserve">Vitinho Mota</t>
  </si>
  <si>
    <t xml:space="preserve">Vivtor Hugo de Faria Mota</t>
  </si>
  <si>
    <t xml:space="preserve">Vitor Jacare</t>
  </si>
  <si>
    <t xml:space="preserve">Vitor Gabriel Soares Souza</t>
  </si>
  <si>
    <t xml:space="preserve">Wadson</t>
  </si>
  <si>
    <t xml:space="preserve">Wadson Victor Nunes Damasceno</t>
  </si>
  <si>
    <t xml:space="preserve">Yuri</t>
  </si>
  <si>
    <t xml:space="preserve">Yuri Merlim dos Santos Carvalho</t>
  </si>
  <si>
    <t xml:space="preserve">Artur</t>
  </si>
  <si>
    <t xml:space="preserve">Artur Victor Guimaraes</t>
  </si>
  <si>
    <t xml:space="preserve">2 botafogorj</t>
  </si>
  <si>
    <t xml:space="preserve">Barra</t>
  </si>
  <si>
    <t xml:space="preserve">Jose Mauricio Rocha</t>
  </si>
  <si>
    <t xml:space="preserve">2 chapadamt</t>
  </si>
  <si>
    <t xml:space="preserve">Bernardo Hahn</t>
  </si>
  <si>
    <t xml:space="preserve">Bernardo Alves Hahn</t>
  </si>
  <si>
    <t xml:space="preserve">David Correa da Fonseca</t>
  </si>
  <si>
    <t xml:space="preserve">Ericson</t>
  </si>
  <si>
    <t xml:space="preserve">Ericson Araujo da Costa Filho</t>
  </si>
  <si>
    <t xml:space="preserve">Denis Germano Oliveira da Silva</t>
  </si>
  <si>
    <t xml:space="preserve">1 saoluizrs</t>
  </si>
  <si>
    <t xml:space="preserve">Guilherme Nunes</t>
  </si>
  <si>
    <t xml:space="preserve">Guilherme Nunes da Silva</t>
  </si>
  <si>
    <t xml:space="preserve">Gustavinho</t>
  </si>
  <si>
    <t xml:space="preserve">Alisson Gustavo Melo da Silva</t>
  </si>
  <si>
    <t xml:space="preserve">Gustavo Maia</t>
  </si>
  <si>
    <t xml:space="preserve">Gustavo Maia da Silva</t>
  </si>
  <si>
    <t xml:space="preserve">Gustavo Marques</t>
  </si>
  <si>
    <t xml:space="preserve">Gustavo Marques Alves dos Santos</t>
  </si>
  <si>
    <t xml:space="preserve">Jhonata</t>
  </si>
  <si>
    <t xml:space="preserve">Jhonata da Silva Faleiros</t>
  </si>
  <si>
    <t xml:space="preserve">João Vitor de Souza Martins</t>
  </si>
  <si>
    <t xml:space="preserve">Jonas</t>
  </si>
  <si>
    <t xml:space="preserve">Jonas Gomes de Sousa</t>
  </si>
  <si>
    <t xml:space="preserve">Kaua</t>
  </si>
  <si>
    <t xml:space="preserve">Kaua Santana santos da Silvaa</t>
  </si>
  <si>
    <t xml:space="preserve">Lucas Cruz</t>
  </si>
  <si>
    <t xml:space="preserve">Lucas Cruz Siqueira da Silva</t>
  </si>
  <si>
    <t xml:space="preserve">Matheus Firmino</t>
  </si>
  <si>
    <t xml:space="preserve">Matheus Firmino Oliveira</t>
  </si>
  <si>
    <t xml:space="preserve">Matheus Rubens</t>
  </si>
  <si>
    <t xml:space="preserve">Matheus Rubens Sousa Mendonça</t>
  </si>
  <si>
    <t xml:space="preserve">Pedro Vitor</t>
  </si>
  <si>
    <t xml:space="preserve">Pedro Vitor Ferreira da Silva</t>
  </si>
  <si>
    <t xml:space="preserve">Johann Perea Zambrano</t>
  </si>
  <si>
    <t xml:space="preserve">Reidner Cairu</t>
  </si>
  <si>
    <t xml:space="preserve">Reidiner Nascimento de Jesus</t>
  </si>
  <si>
    <t xml:space="preserve">Rodolfo Potiguar</t>
  </si>
  <si>
    <t xml:space="preserve">Gerson Rodolfo da Silva</t>
  </si>
  <si>
    <t xml:space="preserve">Rodrigo</t>
  </si>
  <si>
    <t xml:space="preserve">Rodrigo Oliveira dos Santos</t>
  </si>
  <si>
    <t xml:space="preserve">Wellington Tanque</t>
  </si>
  <si>
    <t xml:space="preserve">Wellington Luis de Sousa</t>
  </si>
  <si>
    <t xml:space="preserve">Alef Leite</t>
  </si>
  <si>
    <t xml:space="preserve">Alef Francisco Leite</t>
  </si>
  <si>
    <t xml:space="preserve">Allan Passos</t>
  </si>
  <si>
    <t xml:space="preserve">Allan Passos dos Santos</t>
  </si>
  <si>
    <t xml:space="preserve">Andrey Quintino</t>
  </si>
  <si>
    <t xml:space="preserve">Andrey Rafael Quintino</t>
  </si>
  <si>
    <t xml:space="preserve">Barboza</t>
  </si>
  <si>
    <t xml:space="preserve">Alexander Nahuel Barboza Ullua</t>
  </si>
  <si>
    <t xml:space="preserve">Breno</t>
  </si>
  <si>
    <t xml:space="preserve">Breno Augusto de Azevedo Bora</t>
  </si>
  <si>
    <t xml:space="preserve">1 taubatesp</t>
  </si>
  <si>
    <t xml:space="preserve">Cantarelli</t>
  </si>
  <si>
    <t xml:space="preserve">Mateus Canntarelli Gall</t>
  </si>
  <si>
    <t xml:space="preserve">Carlos Henrique</t>
  </si>
  <si>
    <t xml:space="preserve">Carlos Henrique Alves Pereira</t>
  </si>
  <si>
    <t xml:space="preserve">Carrascal</t>
  </si>
  <si>
    <t xml:space="preserve">Jorge Andres Carrascal Guardo</t>
  </si>
  <si>
    <t xml:space="preserve">Daniel Davi</t>
  </si>
  <si>
    <t xml:space="preserve">Daniel Davi Simão Roque</t>
  </si>
  <si>
    <t xml:space="preserve">David Silva</t>
  </si>
  <si>
    <t xml:space="preserve">David Securella da Silva</t>
  </si>
  <si>
    <t xml:space="preserve">Diego Silva Rodrigues</t>
  </si>
  <si>
    <t xml:space="preserve">Edrean</t>
  </si>
  <si>
    <t xml:space="preserve">Edrean Gouveia Costa</t>
  </si>
  <si>
    <t xml:space="preserve">1 motoclubma</t>
  </si>
  <si>
    <t xml:space="preserve">Gabriel Biteco</t>
  </si>
  <si>
    <t xml:space="preserve">Gabriel Bitencourt da Silva</t>
  </si>
  <si>
    <t xml:space="preserve">Hiago Almeida de Freitas</t>
  </si>
  <si>
    <t xml:space="preserve">Igor Bolt</t>
  </si>
  <si>
    <t xml:space="preserve">Igor Luiz Costa Lemos</t>
  </si>
  <si>
    <t xml:space="preserve">Jorge</t>
  </si>
  <si>
    <t xml:space="preserve">Jorge Wanderson da Silva Rocha</t>
  </si>
  <si>
    <t xml:space="preserve">Juanzin</t>
  </si>
  <si>
    <t xml:space="preserve">Juan Sousa Rocha Leandro</t>
  </si>
  <si>
    <t xml:space="preserve">Juninho Capixaba</t>
  </si>
  <si>
    <t xml:space="preserve">Luis Antonio da Rocha Junior</t>
  </si>
  <si>
    <t xml:space="preserve">Leo Santos</t>
  </si>
  <si>
    <t xml:space="preserve">Leonardo Araujo dos Santos</t>
  </si>
  <si>
    <t xml:space="preserve">Lucas Barbosa</t>
  </si>
  <si>
    <t xml:space="preserve">Lucas Henrique Barbosa</t>
  </si>
  <si>
    <t xml:space="preserve">Lucas Buchecha</t>
  </si>
  <si>
    <t xml:space="preserve">Lucas Xavier Felix</t>
  </si>
  <si>
    <t xml:space="preserve">Mailton</t>
  </si>
  <si>
    <t xml:space="preserve">Mailton dos Santos de Sa</t>
  </si>
  <si>
    <t xml:space="preserve">Marquinhos Gabriel</t>
  </si>
  <si>
    <t xml:space="preserve">Marcos Gabriel do Nascimento</t>
  </si>
  <si>
    <t xml:space="preserve">Matheus Bianqui</t>
  </si>
  <si>
    <t xml:space="preserve">Matheus Henrique Bianqui</t>
  </si>
  <si>
    <t xml:space="preserve">Michel Custodio Gonçalves de Souza</t>
  </si>
  <si>
    <t xml:space="preserve">Rafa Silva</t>
  </si>
  <si>
    <t xml:space="preserve">Rafael da Silva</t>
  </si>
  <si>
    <t xml:space="preserve">Rodrigo Sam</t>
  </si>
  <si>
    <t xml:space="preserve">Rodrigo Eduardo da Silva</t>
  </si>
  <si>
    <t xml:space="preserve">João Lucas Paim Addor</t>
  </si>
  <si>
    <t xml:space="preserve">Vinicius Alves</t>
  </si>
  <si>
    <t xml:space="preserve">Vinicius Rodrigues Alves</t>
  </si>
  <si>
    <t xml:space="preserve">Ademir</t>
  </si>
  <si>
    <t xml:space="preserve">Ademir Silva Santos Junior</t>
  </si>
  <si>
    <t xml:space="preserve">Anderson Pato</t>
  </si>
  <si>
    <t xml:space="preserve">Anderson Bispo dos Santos</t>
  </si>
  <si>
    <t xml:space="preserve">2 juazeirenseba</t>
  </si>
  <si>
    <t xml:space="preserve">Carlos Eduardo Barbosa da Ssilva</t>
  </si>
  <si>
    <t xml:space="preserve">Edson Lucas</t>
  </si>
  <si>
    <t xml:space="preserve">Edson Lucas Pereira</t>
  </si>
  <si>
    <t xml:space="preserve">Levi</t>
  </si>
  <si>
    <t xml:space="preserve">Levi Araujo Oliveira</t>
  </si>
  <si>
    <t xml:space="preserve">Luiz Henrique Diniz da Rosa</t>
  </si>
  <si>
    <t xml:space="preserve">Mandaca</t>
  </si>
  <si>
    <t xml:space="preserve">Luis Gustavo da Silva Machado Duarte</t>
  </si>
  <si>
    <t xml:space="preserve">Matheus Leonardo Sales Cardoso</t>
  </si>
  <si>
    <t xml:space="preserve">Murilo Cerqueira Paim</t>
  </si>
  <si>
    <t xml:space="preserve">Nathan da Silva de Sousa</t>
  </si>
  <si>
    <t xml:space="preserve">Paulo Ricardo Alves Ibelli</t>
  </si>
  <si>
    <t xml:space="preserve">Paulo Victor</t>
  </si>
  <si>
    <t xml:space="preserve">Paulo Victor Ferreira de Jesus</t>
  </si>
  <si>
    <t xml:space="preserve">Pedro Felipe</t>
  </si>
  <si>
    <t xml:space="preserve">Pedro Felipe Ferreira Santos</t>
  </si>
  <si>
    <t xml:space="preserve">Rodolfo de Almeida Guimarães</t>
  </si>
  <si>
    <t xml:space="preserve">Elierce Barboza de Souza</t>
  </si>
  <si>
    <t xml:space="preserve">Stefanello</t>
  </si>
  <si>
    <t xml:space="preserve">Lucas Soares Stefanello</t>
  </si>
  <si>
    <t xml:space="preserve">Tapia</t>
  </si>
  <si>
    <t xml:space="preserve">Gonzalo Andres Tapia Dubournais</t>
  </si>
  <si>
    <t xml:space="preserve">Will</t>
  </si>
  <si>
    <t xml:space="preserve">Wiverson de Oliveira Baptista</t>
  </si>
  <si>
    <t xml:space="preserve">Aylon</t>
  </si>
  <si>
    <t xml:space="preserve">Aylon Darwin Tavella</t>
  </si>
  <si>
    <t xml:space="preserve">Bruno Mezenga</t>
  </si>
  <si>
    <t xml:space="preserve">Bruno Ferreira Mombra Rosa</t>
  </si>
  <si>
    <t xml:space="preserve">Diego Caito</t>
  </si>
  <si>
    <t xml:space="preserve">Diego Caito Barcellos Oliveira</t>
  </si>
  <si>
    <t xml:space="preserve">Eduardo Person</t>
  </si>
  <si>
    <t xml:space="preserve">Eduardo Luiz Person</t>
  </si>
  <si>
    <t xml:space="preserve">Higor Meritão</t>
  </si>
  <si>
    <t xml:space="preserve">Higor Matheus Meritão</t>
  </si>
  <si>
    <t xml:space="preserve">Jaja</t>
  </si>
  <si>
    <t xml:space="preserve">Jandir Breno Souza Silva</t>
  </si>
  <si>
    <t xml:space="preserve">1 goiasgo</t>
  </si>
  <si>
    <t xml:space="preserve">Jonas Silva</t>
  </si>
  <si>
    <t xml:space="preserve">Jonas Moreira da Silva</t>
  </si>
  <si>
    <t xml:space="preserve">Kike Oliveira</t>
  </si>
  <si>
    <t xml:space="preserve">Cristian Gonzalo Oliveira Ibarra</t>
  </si>
  <si>
    <t xml:space="preserve">Luisao</t>
  </si>
  <si>
    <t xml:space="preserve">Luis Fellipe Campos Doria</t>
  </si>
  <si>
    <t xml:space="preserve">Tito</t>
  </si>
  <si>
    <t xml:space="preserve">Geobson Gomes dos Santos</t>
  </si>
  <si>
    <t xml:space="preserve">Wanderson</t>
  </si>
  <si>
    <t xml:space="preserve">Wanderson Maciel de Sousa Campos</t>
  </si>
  <si>
    <t xml:space="preserve">Willian Viana Santos</t>
  </si>
  <si>
    <t xml:space="preserve">Willian Formiga</t>
  </si>
  <si>
    <t xml:space="preserve">Willian Prado Camargo</t>
  </si>
  <si>
    <t xml:space="preserve">Anderson Silva</t>
  </si>
  <si>
    <t xml:space="preserve">Jose Anderson da Silva Bezerra</t>
  </si>
  <si>
    <t xml:space="preserve">Gustavo Medina</t>
  </si>
  <si>
    <t xml:space="preserve">Gustavo dos Santos Silva Medina</t>
  </si>
  <si>
    <t xml:space="preserve">Luiz Otavio</t>
  </si>
  <si>
    <t xml:space="preserve">Luiz Otávio da Silva Santos</t>
  </si>
  <si>
    <t xml:space="preserve">Pedro Vitor Gualberto de Assis Barreto</t>
  </si>
  <si>
    <t xml:space="preserve">Lorran</t>
  </si>
  <si>
    <t xml:space="preserve">Lorran Rosendo Rangel Soares</t>
  </si>
  <si>
    <t xml:space="preserve">Wellington Junior</t>
  </si>
  <si>
    <t xml:space="preserve">Wellington Nunes Costa Junior</t>
  </si>
  <si>
    <t xml:space="preserve">1 saojoseensepr</t>
  </si>
  <si>
    <t xml:space="preserve">Andreas Pereira</t>
  </si>
  <si>
    <t xml:space="preserve">Andreas Hugo Hoelgebaum Pereira</t>
  </si>
  <si>
    <t xml:space="preserve">belgica</t>
  </si>
  <si>
    <t xml:space="preserve">Caio Mancha</t>
  </si>
  <si>
    <t xml:space="preserve">Caio Danilo Laursen Tuponi</t>
  </si>
  <si>
    <t xml:space="preserve">Crystopher</t>
  </si>
  <si>
    <t xml:space="preserve">Crystopher Ribeiro Oliveira</t>
  </si>
  <si>
    <t xml:space="preserve">Tadeu</t>
  </si>
  <si>
    <t xml:space="preserve">Tadeu Antonio Ferreira</t>
  </si>
  <si>
    <t xml:space="preserve">Gustavo Gomez</t>
  </si>
  <si>
    <t xml:space="preserve">Gustavo Raul Gomez Portillo</t>
  </si>
  <si>
    <t xml:space="preserve">Marlon Freitas</t>
  </si>
  <si>
    <t xml:space="preserve">Marlon Rodrigues de Freitas</t>
  </si>
  <si>
    <t xml:space="preserve">Apolinario</t>
  </si>
  <si>
    <t xml:space="preserve">Mateus Apolinario Soares Ferreira</t>
  </si>
  <si>
    <t xml:space="preserve">Caio Cezar</t>
  </si>
  <si>
    <t xml:space="preserve">Caio Cezar Valerio Ramalho</t>
  </si>
  <si>
    <t xml:space="preserve">Caio Marques</t>
  </si>
  <si>
    <t xml:space="preserve">Caio Andreus Marques de Melo</t>
  </si>
  <si>
    <t xml:space="preserve">Chico</t>
  </si>
  <si>
    <t xml:space="preserve">Francisco Silva Barreto</t>
  </si>
  <si>
    <t xml:space="preserve">Diego Coser</t>
  </si>
  <si>
    <t xml:space="preserve">Diego Jardel</t>
  </si>
  <si>
    <t xml:space="preserve">Diego Jardel Koester</t>
  </si>
  <si>
    <t xml:space="preserve">Diego Pereira</t>
  </si>
  <si>
    <t xml:space="preserve">Diego Pereira de Souza</t>
  </si>
  <si>
    <t xml:space="preserve">Eduardo Pinto de Jesus</t>
  </si>
  <si>
    <t xml:space="preserve">Elton Arabia</t>
  </si>
  <si>
    <t xml:space="preserve">Elton Jose Xavier Gomes</t>
  </si>
  <si>
    <t xml:space="preserve">Felix Torres</t>
  </si>
  <si>
    <t xml:space="preserve">Felix Eduardo Torres Caicedo</t>
  </si>
  <si>
    <t xml:space="preserve">Heber</t>
  </si>
  <si>
    <t xml:space="preserve">Heber Araujo dos Santos</t>
  </si>
  <si>
    <t xml:space="preserve">João Mafra</t>
  </si>
  <si>
    <t xml:space="preserve">João Henrique Camargo Mafra</t>
  </si>
  <si>
    <t xml:space="preserve">José Gabriel</t>
  </si>
  <si>
    <t xml:space="preserve">Jose Gabriel de Carvalho</t>
  </si>
  <si>
    <t xml:space="preserve">Juan Matos</t>
  </si>
  <si>
    <t xml:space="preserve">Juan da Costa Matos</t>
  </si>
  <si>
    <t xml:space="preserve">Kauã Santos</t>
  </si>
  <si>
    <t xml:space="preserve">Kaua Gabriel Pereira dos Santos</t>
  </si>
  <si>
    <t xml:space="preserve">Luan Nonato</t>
  </si>
  <si>
    <t xml:space="preserve">Luan Santos Nonato</t>
  </si>
  <si>
    <t xml:space="preserve">Luiz Gustavo Oliveira da Silva</t>
  </si>
  <si>
    <t xml:space="preserve">Molano</t>
  </si>
  <si>
    <t xml:space="preserve">Juan Diego Molano Segura</t>
  </si>
  <si>
    <t xml:space="preserve">Emanuel dos Santos Santana</t>
  </si>
  <si>
    <t xml:space="preserve">Rafael Diniz Alves e Silva</t>
  </si>
  <si>
    <t xml:space="preserve">Rapahel Macena</t>
  </si>
  <si>
    <t xml:space="preserve">Raphael dos Santos Macena</t>
  </si>
  <si>
    <t xml:space="preserve">Samuel Lima</t>
  </si>
  <si>
    <t xml:space="preserve">Samuel de Jesus Lima dos Santos</t>
  </si>
  <si>
    <t xml:space="preserve">Wesley Rafael</t>
  </si>
  <si>
    <t xml:space="preserve">Weslei Rafael Marques de Oliveira</t>
  </si>
  <si>
    <t xml:space="preserve">William</t>
  </si>
  <si>
    <t xml:space="preserve">William Gustavo Alves de Jesus</t>
  </si>
  <si>
    <t xml:space="preserve">Yoel</t>
  </si>
  <si>
    <t xml:space="preserve">Yoel Josue Duran Salcedo</t>
  </si>
  <si>
    <t xml:space="preserve">Adrien</t>
  </si>
  <si>
    <t xml:space="preserve">Adrien Gabriel Amadio Graffin</t>
  </si>
  <si>
    <t xml:space="preserve">estados unidos</t>
  </si>
  <si>
    <t xml:space="preserve">Ariel</t>
  </si>
  <si>
    <t xml:space="preserve">Arielton Silva dos Santos</t>
  </si>
  <si>
    <t xml:space="preserve">Arthur Santos de Oliveira</t>
  </si>
  <si>
    <t xml:space="preserve">Balotelli</t>
  </si>
  <si>
    <t xml:space="preserve">Pablo Luan Santos de Souza</t>
  </si>
  <si>
    <t xml:space="preserve">Bruno Henrique Corsini</t>
  </si>
  <si>
    <t xml:space="preserve">Carlos Augusto</t>
  </si>
  <si>
    <t xml:space="preserve">Carlos Augusto Teixeira Alves</t>
  </si>
  <si>
    <t xml:space="preserve">Davis</t>
  </si>
  <si>
    <t xml:space="preserve">Davis Almeida Paiva dos Santos</t>
  </si>
  <si>
    <t xml:space="preserve">Dico</t>
  </si>
  <si>
    <t xml:space="preserve">Acrizio Militão de Castro</t>
  </si>
  <si>
    <t xml:space="preserve">Elton</t>
  </si>
  <si>
    <t xml:space="preserve">Welthon Fiel Sampaio</t>
  </si>
  <si>
    <t xml:space="preserve">Erick Rocha</t>
  </si>
  <si>
    <t xml:space="preserve">Erick Rocha Scheletz</t>
  </si>
  <si>
    <t xml:space="preserve">Fabio William de Jesus Santana</t>
  </si>
  <si>
    <t xml:space="preserve">Felipe Vieira</t>
  </si>
  <si>
    <t xml:space="preserve">Felipe Vieira da Silva</t>
  </si>
  <si>
    <t xml:space="preserve">Guilherme Cerqueira</t>
  </si>
  <si>
    <t xml:space="preserve">Guilherme Cerqueira Queiroz</t>
  </si>
  <si>
    <t xml:space="preserve">Guilherme Terrabulo</t>
  </si>
  <si>
    <t xml:space="preserve">Guilherme Moreira Terrabuio</t>
  </si>
  <si>
    <t xml:space="preserve">Guilherme Vieira</t>
  </si>
  <si>
    <t xml:space="preserve">Guilherme Vieira Batista</t>
  </si>
  <si>
    <t xml:space="preserve">Gustavo Pereira</t>
  </si>
  <si>
    <t xml:space="preserve">Gustavo dos Santos Pereira</t>
  </si>
  <si>
    <t xml:space="preserve">Hugo Dutra</t>
  </si>
  <si>
    <t xml:space="preserve">Hugo Dutra Chagas</t>
  </si>
  <si>
    <t xml:space="preserve">Jarlison Murilo</t>
  </si>
  <si>
    <t xml:space="preserve">Jarlison Murilo Maciel de Souza</t>
  </si>
  <si>
    <t xml:space="preserve">Jefferson</t>
  </si>
  <si>
    <t xml:space="preserve">Jefferson Soares da Silva</t>
  </si>
  <si>
    <t xml:space="preserve">João Bom</t>
  </si>
  <si>
    <t xml:space="preserve">João Henrique Araujo Bom</t>
  </si>
  <si>
    <t xml:space="preserve">João Pigozzo</t>
  </si>
  <si>
    <t xml:space="preserve">João Victor Pigozzo Silva</t>
  </si>
  <si>
    <t xml:space="preserve">João Torres</t>
  </si>
  <si>
    <t xml:space="preserve">João Victor Menezes Leite Torres</t>
  </si>
  <si>
    <t xml:space="preserve">Juda</t>
  </si>
  <si>
    <t xml:space="preserve">Juda Ben Hur Farias Cyrillo</t>
  </si>
  <si>
    <t xml:space="preserve">Junior </t>
  </si>
  <si>
    <t xml:space="preserve">Mozart Colares da Silva Junior</t>
  </si>
  <si>
    <t xml:space="preserve">Kauan Moreira</t>
  </si>
  <si>
    <t xml:space="preserve">Kauan Moreira da Silva Rogerio</t>
  </si>
  <si>
    <t xml:space="preserve">Lerma</t>
  </si>
  <si>
    <t xml:space="preserve">Silvio Andres Lerma Angulo</t>
  </si>
  <si>
    <t xml:space="preserve">Lezcano</t>
  </si>
  <si>
    <t xml:space="preserve">Ruben Dario Lezcano Portillo</t>
  </si>
  <si>
    <t xml:space="preserve">Lucas Pinheiro da Silva</t>
  </si>
  <si>
    <t xml:space="preserve">Lucas Camilo</t>
  </si>
  <si>
    <t xml:space="preserve">Lucas Camilo Azevedo da Silva</t>
  </si>
  <si>
    <t xml:space="preserve">Lucas Gabriel</t>
  </si>
  <si>
    <t xml:space="preserve">Lucas Gaabriel de Souza Saantos</t>
  </si>
  <si>
    <t xml:space="preserve">Lucas Lourenço</t>
  </si>
  <si>
    <t xml:space="preserve">Lucas Lourenço Andrade</t>
  </si>
  <si>
    <t xml:space="preserve">Luis Aurelio</t>
  </si>
  <si>
    <t xml:space="preserve">Luis Aurelio Vasques Ferreira</t>
  </si>
  <si>
    <t xml:space="preserve">Marcos</t>
  </si>
  <si>
    <t xml:space="preserve">Marcos Antonio Silva dos Santos</t>
  </si>
  <si>
    <t xml:space="preserve">Matheus Dias</t>
  </si>
  <si>
    <t xml:space="preserve">Matheus Dalsasso Dias</t>
  </si>
  <si>
    <t xml:space="preserve">Monsalve</t>
  </si>
  <si>
    <t xml:space="preserve">Miguel Angel Monsalve Gonzalez</t>
  </si>
  <si>
    <t xml:space="preserve">Naelson</t>
  </si>
  <si>
    <t xml:space="preserve">Naelson Alves dos Santos</t>
  </si>
  <si>
    <t xml:space="preserve">Patrick Gentil Sodre Costa</t>
  </si>
  <si>
    <t xml:space="preserve">1 teresinapi</t>
  </si>
  <si>
    <t xml:space="preserve">Rafael</t>
  </si>
  <si>
    <t xml:space="preserve">Rafael Figueiredo Lacerda</t>
  </si>
  <si>
    <t xml:space="preserve">Renato Palm</t>
  </si>
  <si>
    <t xml:space="preserve">Renato Palm da Silveira</t>
  </si>
  <si>
    <t xml:space="preserve">Siloe</t>
  </si>
  <si>
    <t xml:space="preserve">Siloe Maciel Pereira</t>
  </si>
  <si>
    <t xml:space="preserve">Thiago Azaf</t>
  </si>
  <si>
    <t xml:space="preserve">Thiago Azaf Siqueira Soares</t>
  </si>
  <si>
    <t xml:space="preserve">Vinicius Melo</t>
  </si>
  <si>
    <t xml:space="preserve">Vinicius da Silva Melo</t>
  </si>
  <si>
    <t xml:space="preserve">Wesley Manga</t>
  </si>
  <si>
    <t xml:space="preserve">Wesley do Nascimento Coelho</t>
  </si>
  <si>
    <t xml:space="preserve">Adão</t>
  </si>
  <si>
    <t xml:space="preserve">Adão Paulino de Paiva Junior</t>
  </si>
  <si>
    <t xml:space="preserve">Adriano Junior</t>
  </si>
  <si>
    <t xml:space="preserve">Adriano Juninor dos Santos</t>
  </si>
  <si>
    <t xml:space="preserve">Alan Bald</t>
  </si>
  <si>
    <t xml:space="preserve">Alan Henrique Bald</t>
  </si>
  <si>
    <t xml:space="preserve">Alex Danilo da Conceiçao Resende</t>
  </si>
  <si>
    <t xml:space="preserve">Amilton</t>
  </si>
  <si>
    <t xml:space="preserve">Amilton Cndido de Santana</t>
  </si>
  <si>
    <t xml:space="preserve">Bagatini</t>
  </si>
  <si>
    <t xml:space="preserve">Gustavo Bagatini Prudencio</t>
  </si>
  <si>
    <t xml:space="preserve">Batista</t>
  </si>
  <si>
    <t xml:space="preserve">Matheus dos Santos Batista</t>
  </si>
  <si>
    <t xml:space="preserve">Breno Liborge</t>
  </si>
  <si>
    <t xml:space="preserve">Breno Eduardo Liborge</t>
  </si>
  <si>
    <t xml:space="preserve">Bruno Marques</t>
  </si>
  <si>
    <t xml:space="preserve">Bruno Henrique Marques Torres</t>
  </si>
  <si>
    <t xml:space="preserve">Cayo Tenorio</t>
  </si>
  <si>
    <t xml:space="preserve">Cayo Henrique Nascimento Ferreira</t>
  </si>
  <si>
    <t xml:space="preserve">Coutinho</t>
  </si>
  <si>
    <t xml:space="preserve">Andre Coutinho da Silva</t>
  </si>
  <si>
    <t xml:space="preserve">1 saobentosp</t>
  </si>
  <si>
    <t xml:space="preserve">Dalvan</t>
  </si>
  <si>
    <t xml:space="preserve">Dalvan dos Santos Silva</t>
  </si>
  <si>
    <t xml:space="preserve">Daniel</t>
  </si>
  <si>
    <t xml:space="preserve">Daniel Santos Dmasceno Lima Santos</t>
  </si>
  <si>
    <t xml:space="preserve">Daniel Guerreiro</t>
  </si>
  <si>
    <t xml:space="preserve">Daniel Henrique Conceição da Gloria</t>
  </si>
  <si>
    <t xml:space="preserve">Darlysson</t>
  </si>
  <si>
    <t xml:space="preserve">Darlysson Brenno Pantoja Rodrigues</t>
  </si>
  <si>
    <t xml:space="preserve">Deivide</t>
  </si>
  <si>
    <t xml:space="preserve">Francisco Deivide dos Santos Sousa</t>
  </si>
  <si>
    <t xml:space="preserve">Carlos Douglas Souza Oliveira</t>
  </si>
  <si>
    <t xml:space="preserve">Eduardo da Conceição Honorato</t>
  </si>
  <si>
    <t xml:space="preserve">Elivelton</t>
  </si>
  <si>
    <t xml:space="preserve">Elivelton Viana dos Santos</t>
  </si>
  <si>
    <t xml:space="preserve">Emerson Mineiro</t>
  </si>
  <si>
    <t xml:space="preserve">Emerson Christian Adolfo</t>
  </si>
  <si>
    <t xml:space="preserve">Erison</t>
  </si>
  <si>
    <t xml:space="preserve">Erison Moreira Pinheiro</t>
  </si>
  <si>
    <t xml:space="preserve">Felipe Vinicius Gazzoni</t>
  </si>
  <si>
    <t xml:space="preserve">Felix Jorge</t>
  </si>
  <si>
    <t xml:space="preserve">Felix Jorge dos Santos Martins</t>
  </si>
  <si>
    <t xml:space="preserve">Felype Gabriel</t>
  </si>
  <si>
    <t xml:space="preserve">Felype Gabriel Alencar Carvalho</t>
  </si>
  <si>
    <t xml:space="preserve">1 sportpe</t>
  </si>
  <si>
    <t xml:space="preserve">Gabriel Lima</t>
  </si>
  <si>
    <t xml:space="preserve">Gabriel Farias de Lima</t>
  </si>
  <si>
    <t xml:space="preserve">Gabriel Marreta</t>
  </si>
  <si>
    <t xml:space="preserve">Gabriel Lopes Feitosa</t>
  </si>
  <si>
    <t xml:space="preserve">Gabriel Vieira</t>
  </si>
  <si>
    <t xml:space="preserve">Gabriel Vieira da Silva</t>
  </si>
  <si>
    <t xml:space="preserve">Geandro</t>
  </si>
  <si>
    <t xml:space="preserve">Geandro Augusto de Paula</t>
  </si>
  <si>
    <t xml:space="preserve">Gerson</t>
  </si>
  <si>
    <t xml:space="preserve">Gerson Eni Santos da Silva Neto</t>
  </si>
  <si>
    <t xml:space="preserve">Guilherme Gomes da Conceição</t>
  </si>
  <si>
    <t xml:space="preserve">Guilherme Gomes</t>
  </si>
  <si>
    <t xml:space="preserve">Guilherme Henrique Bernardineli Gomes</t>
  </si>
  <si>
    <t xml:space="preserve">Gustavo Prado</t>
  </si>
  <si>
    <t xml:space="preserve">Gustavo Prado Alves</t>
  </si>
  <si>
    <t xml:space="preserve">Hector Bianchi</t>
  </si>
  <si>
    <t xml:space="preserve">Hector Bianchi Rodrigues</t>
  </si>
  <si>
    <t xml:space="preserve">Heliardo</t>
  </si>
  <si>
    <t xml:space="preserve">Heliardo Vieira da Silva</t>
  </si>
  <si>
    <t xml:space="preserve">Iago Teodoro da Silva Nogueira</t>
  </si>
  <si>
    <t xml:space="preserve">Jackson Teixeira Filho</t>
  </si>
  <si>
    <t xml:space="preserve">Jackson Vinicius</t>
  </si>
  <si>
    <t xml:space="preserve">Jackson Vinicius dos Santos</t>
  </si>
  <si>
    <t xml:space="preserve">Jhonatan</t>
  </si>
  <si>
    <t xml:space="preserve">Jhonatan Garcia da Silva</t>
  </si>
  <si>
    <t xml:space="preserve">João Grilo</t>
  </si>
  <si>
    <t xml:space="preserve">Willian de Souza Silva</t>
  </si>
  <si>
    <t xml:space="preserve">João Victor Alves de Morais</t>
  </si>
  <si>
    <t xml:space="preserve">Jobson</t>
  </si>
  <si>
    <t xml:space="preserve">Jobson Leandro Pereira de Oliveira</t>
  </si>
  <si>
    <t xml:space="preserve">Juan Ferreira</t>
  </si>
  <si>
    <t xml:space="preserve">Juan Ferreira Leite</t>
  </si>
  <si>
    <t xml:space="preserve">Julio Vitor</t>
  </si>
  <si>
    <t xml:space="preserve">Julio Vitor Souza Ferreira</t>
  </si>
  <si>
    <t xml:space="preserve">Kaic</t>
  </si>
  <si>
    <t xml:space="preserve">Kaic Pereira da Silva</t>
  </si>
  <si>
    <t xml:space="preserve">Leo Souza</t>
  </si>
  <si>
    <t xml:space="preserve">Leonardo Souza de Oliveira</t>
  </si>
  <si>
    <t xml:space="preserve">Lessinho</t>
  </si>
  <si>
    <t xml:space="preserve">Welesson Barreto Borges</t>
  </si>
  <si>
    <t xml:space="preserve">Lucas Quixada</t>
  </si>
  <si>
    <t xml:space="preserve">Francisco Lucas Alves Ferreira</t>
  </si>
  <si>
    <t xml:space="preserve">Magdiel</t>
  </si>
  <si>
    <t xml:space="preserve">Magdiel Stopa Pessata do Nascimento</t>
  </si>
  <si>
    <t xml:space="preserve">Marcolino Neto</t>
  </si>
  <si>
    <t xml:space="preserve">Marcolino Neto Silva Lima</t>
  </si>
  <si>
    <t xml:space="preserve">1 desportivaaracajuse</t>
  </si>
  <si>
    <t xml:space="preserve">Marcos Ramos</t>
  </si>
  <si>
    <t xml:space="preserve">Marcos Ramos da Silva</t>
  </si>
  <si>
    <t xml:space="preserve">Mateuzinho</t>
  </si>
  <si>
    <t xml:space="preserve">Mateus Eugenio Veira do Amaral</t>
  </si>
  <si>
    <t xml:space="preserve">Michel Ferreira dos Santos</t>
  </si>
  <si>
    <t xml:space="preserve">Nardoni</t>
  </si>
  <si>
    <t xml:space="preserve">Juan Ignacio Maritn Nardoni</t>
  </si>
  <si>
    <t xml:space="preserve">Hilton Luiz Batista de Melo</t>
  </si>
  <si>
    <t xml:space="preserve">Patrick Guiotte Silverio</t>
  </si>
  <si>
    <t xml:space="preserve">Rai Felix</t>
  </si>
  <si>
    <t xml:space="preserve">Rai de As Felix Damascena</t>
  </si>
  <si>
    <t xml:space="preserve">Rai Soares</t>
  </si>
  <si>
    <t xml:space="preserve">Rai Rocha Soares</t>
  </si>
  <si>
    <t xml:space="preserve">Romulo Ferreira</t>
  </si>
  <si>
    <t xml:space="preserve">Romulo Ferreira Santos</t>
  </si>
  <si>
    <t xml:space="preserve">Sandy</t>
  </si>
  <si>
    <t xml:space="preserve">Julen Sandy Rodrigues Ferreira</t>
  </si>
  <si>
    <t xml:space="preserve">Schiappacasse</t>
  </si>
  <si>
    <t xml:space="preserve">Nicolas Javier Schiappacasse</t>
  </si>
  <si>
    <t xml:space="preserve">Thalissinho</t>
  </si>
  <si>
    <t xml:space="preserve">Thalisson de Sousa Oliveira</t>
  </si>
  <si>
    <t xml:space="preserve">Tiago Barbosa</t>
  </si>
  <si>
    <t xml:space="preserve">Tiago Barbosa Figueiredo</t>
  </si>
  <si>
    <t xml:space="preserve">Victor Braga</t>
  </si>
  <si>
    <t xml:space="preserve">João Victor da Silva Braga</t>
  </si>
  <si>
    <t xml:space="preserve">Victor Lima</t>
  </si>
  <si>
    <t xml:space="preserve">Victor de Lima Medeiros</t>
  </si>
  <si>
    <t xml:space="preserve">Wisman</t>
  </si>
  <si>
    <t xml:space="preserve">Wisman Oliveira dos Santos</t>
  </si>
  <si>
    <t xml:space="preserve">Zaidan</t>
  </si>
  <si>
    <t xml:space="preserve">Enzo Ferreira Gonçalves Rado</t>
  </si>
  <si>
    <t xml:space="preserve">Alan</t>
  </si>
  <si>
    <t xml:space="preserve">Silvio Alan Batista dos Santos</t>
  </si>
  <si>
    <t xml:space="preserve">Allex</t>
  </si>
  <si>
    <t xml:space="preserve">Allex Rodrigues Pereira da Silva</t>
  </si>
  <si>
    <t xml:space="preserve">Andre Henrique Silva de Almeida</t>
  </si>
  <si>
    <t xml:space="preserve">Andriw</t>
  </si>
  <si>
    <t xml:space="preserve">Andriw Gonçalves Lemes</t>
  </si>
  <si>
    <t xml:space="preserve">Asaf</t>
  </si>
  <si>
    <t xml:space="preserve">Asaf Vilacio Ferreira</t>
  </si>
  <si>
    <t xml:space="preserve">Brayan</t>
  </si>
  <si>
    <t xml:space="preserve">Brayan Felipi Pereira Gravelo</t>
  </si>
  <si>
    <t xml:space="preserve">Bruno Camilo</t>
  </si>
  <si>
    <t xml:space="preserve">Bruno Henrique Camilo de Oliveira</t>
  </si>
  <si>
    <t xml:space="preserve">Cabral</t>
  </si>
  <si>
    <t xml:space="preserve">Nicolas Joaquin Cabral</t>
  </si>
  <si>
    <t xml:space="preserve">Caio Mota</t>
  </si>
  <si>
    <t xml:space="preserve">Caio Mota da Silva</t>
  </si>
  <si>
    <t xml:space="preserve">Carlito</t>
  </si>
  <si>
    <t xml:space="preserve">Carlito Thiago Valença</t>
  </si>
  <si>
    <t xml:space="preserve">Cassierra</t>
  </si>
  <si>
    <t xml:space="preserve">Zander Mateo Casierra Cabezas</t>
  </si>
  <si>
    <t xml:space="preserve">Cipriano</t>
  </si>
  <si>
    <t xml:space="preserve">Cipriano Casaco Sampaio</t>
  </si>
  <si>
    <t xml:space="preserve">angola</t>
  </si>
  <si>
    <t xml:space="preserve">Claudinho</t>
  </si>
  <si>
    <t xml:space="preserve">Claudio de Souza</t>
  </si>
  <si>
    <t xml:space="preserve">Daivison</t>
  </si>
  <si>
    <t xml:space="preserve">Daivison Rafael Felix da Silva</t>
  </si>
  <si>
    <t xml:space="preserve">Daniel Pereira</t>
  </si>
  <si>
    <t xml:space="preserve">Daniel Pereira da Silva</t>
  </si>
  <si>
    <t xml:space="preserve">Daniel Triano</t>
  </si>
  <si>
    <t xml:space="preserve">Daniel Caue Troiano Farias</t>
  </si>
  <si>
    <t xml:space="preserve">Denner</t>
  </si>
  <si>
    <t xml:space="preserve">Huadson Denner Fernandes Silva</t>
  </si>
  <si>
    <t xml:space="preserve">Denner Fernando Melz</t>
  </si>
  <si>
    <t xml:space="preserve">Derreis</t>
  </si>
  <si>
    <t xml:space="preserve">Maycon da Silva Oliveira</t>
  </si>
  <si>
    <t xml:space="preserve">Dheryke</t>
  </si>
  <si>
    <t xml:space="preserve">Dheryke Cristiano Madeira Rodrigues</t>
  </si>
  <si>
    <t xml:space="preserve">Diego Bolt</t>
  </si>
  <si>
    <t xml:space="preserve">Diego Henrique Lopes de Souza</t>
  </si>
  <si>
    <t xml:space="preserve">Douglas Marques dos Santos</t>
  </si>
  <si>
    <t xml:space="preserve">Douglas Telles</t>
  </si>
  <si>
    <t xml:space="preserve">Douglas Costa Telles</t>
  </si>
  <si>
    <t xml:space="preserve">Eduardo Junior</t>
  </si>
  <si>
    <t xml:space="preserve">Eduardo Gomes Hyppolito</t>
  </si>
  <si>
    <t xml:space="preserve">Fabio Lindenberg</t>
  </si>
  <si>
    <t xml:space="preserve">Fabio Lindenberg de Souza</t>
  </si>
  <si>
    <t xml:space="preserve">Fafa Hissendjy</t>
  </si>
  <si>
    <t xml:space="preserve">Fafa Hissendjy Efon</t>
  </si>
  <si>
    <t xml:space="preserve">Felipe Silva</t>
  </si>
  <si>
    <t xml:space="preserve">Felipe Silva Santos</t>
  </si>
  <si>
    <t xml:space="preserve">Felipe Valdivia</t>
  </si>
  <si>
    <t xml:space="preserve">Felipe Sambudio Rosalen</t>
  </si>
  <si>
    <t xml:space="preserve">Fernando Canesin</t>
  </si>
  <si>
    <t xml:space="preserve">Fernando Canesin Matos</t>
  </si>
  <si>
    <t xml:space="preserve">Flavio </t>
  </si>
  <si>
    <t xml:space="preserve">Flavio Santos Oliveira</t>
  </si>
  <si>
    <t xml:space="preserve">Gabriel Lacerda</t>
  </si>
  <si>
    <t xml:space="preserve">Gabriel Santos Cordeiro Lacerda</t>
  </si>
  <si>
    <t xml:space="preserve">Galdino</t>
  </si>
  <si>
    <t xml:space="preserve">Kauhe Florentino Galdino</t>
  </si>
  <si>
    <t xml:space="preserve">Guarate</t>
  </si>
  <si>
    <t xml:space="preserve">Tiago Guarate de Freitas</t>
  </si>
  <si>
    <t xml:space="preserve">Guigui</t>
  </si>
  <si>
    <t xml:space="preserve">Kennedy Martins Ribeiro Junior</t>
  </si>
  <si>
    <t xml:space="preserve">Gustavo de Freitas Moreira </t>
  </si>
  <si>
    <t xml:space="preserve">Henrry Torrez</t>
  </si>
  <si>
    <t xml:space="preserve">Henrry Torrez Rey</t>
  </si>
  <si>
    <t xml:space="preserve">bolivia</t>
  </si>
  <si>
    <t xml:space="preserve">Hiago Queiroz da Costa</t>
  </si>
  <si>
    <t xml:space="preserve">Hugo de Oliveira</t>
  </si>
  <si>
    <t xml:space="preserve">Hugo Alexsander de Oliveira Rocha</t>
  </si>
  <si>
    <t xml:space="preserve">mexico</t>
  </si>
  <si>
    <t xml:space="preserve">Israel</t>
  </si>
  <si>
    <t xml:space="preserve">Israel da Silva Santos</t>
  </si>
  <si>
    <t xml:space="preserve">Jackson Uily Alves Ferreira Santos</t>
  </si>
  <si>
    <t xml:space="preserve">Jaco</t>
  </si>
  <si>
    <t xml:space="preserve">Carlos Alberto Guimaraes</t>
  </si>
  <si>
    <t xml:space="preserve">Jairon</t>
  </si>
  <si>
    <t xml:space="preserve">Jairon Ferreira batista</t>
  </si>
  <si>
    <t xml:space="preserve">Joao Carlos</t>
  </si>
  <si>
    <t xml:space="preserve">João Carlos de Aviz Aguiar</t>
  </si>
  <si>
    <t xml:space="preserve">João Pedro de Sousa Rodrigues</t>
  </si>
  <si>
    <t xml:space="preserve">João Villela</t>
  </si>
  <si>
    <t xml:space="preserve">João Vitor Carvalho Villela Nogueira</t>
  </si>
  <si>
    <t xml:space="preserve">Joarlyson</t>
  </si>
  <si>
    <t xml:space="preserve">Joarlyson Amorim Souza</t>
  </si>
  <si>
    <t xml:space="preserve">Jonas Ferreiraa Baarbosa</t>
  </si>
  <si>
    <t xml:space="preserve">Jonas Toro</t>
  </si>
  <si>
    <t xml:space="preserve">Jonas Gabriel da Silva Nunes</t>
  </si>
  <si>
    <t xml:space="preserve">Jonathan</t>
  </si>
  <si>
    <t xml:space="preserve">Jonathann Barbosa da Silva</t>
  </si>
  <si>
    <t xml:space="preserve">Jorge Barbosa</t>
  </si>
  <si>
    <t xml:space="preserve">Jorge Barbosa Pedroso</t>
  </si>
  <si>
    <t xml:space="preserve">Joshua</t>
  </si>
  <si>
    <t xml:space="preserve">Joshua Elisha Fajardo Kitaoka</t>
  </si>
  <si>
    <t xml:space="preserve">Jovane</t>
  </si>
  <si>
    <t xml:space="preserve">Jovane Silva Cosme</t>
  </si>
  <si>
    <t xml:space="preserve">Kaua Moura Cintra</t>
  </si>
  <si>
    <t xml:space="preserve">Kauan Mineiro</t>
  </si>
  <si>
    <t xml:space="preserve">Kauan Otávio dos Santos Pereira</t>
  </si>
  <si>
    <t xml:space="preserve">Kevlin</t>
  </si>
  <si>
    <t xml:space="preserve">Kevlin Israel da Silva</t>
  </si>
  <si>
    <t xml:space="preserve">Lekinho</t>
  </si>
  <si>
    <t xml:space="preserve">Alax Carvalho Delgado</t>
  </si>
  <si>
    <t xml:space="preserve">Leocacio</t>
  </si>
  <si>
    <t xml:space="preserve">Leocacio Rocha Viana</t>
  </si>
  <si>
    <t xml:space="preserve">Leonardo</t>
  </si>
  <si>
    <t xml:space="preserve">José Leonardo Moura da Silva</t>
  </si>
  <si>
    <t xml:space="preserve">Leonel Picco</t>
  </si>
  <si>
    <t xml:space="preserve">Leonel Marcelo Picco</t>
  </si>
  <si>
    <t xml:space="preserve">Luan Braga Fernandes</t>
  </si>
  <si>
    <t xml:space="preserve">1 maricarj</t>
  </si>
  <si>
    <t xml:space="preserve">Luan Lucas</t>
  </si>
  <si>
    <t xml:space="preserve">Luan Lucas Ramos da Silva</t>
  </si>
  <si>
    <t xml:space="preserve">Lucas Alves santos </t>
  </si>
  <si>
    <t xml:space="preserve">Marcelo Braz da Silva</t>
  </si>
  <si>
    <t xml:space="preserve">Marcos Huffermann Delgado</t>
  </si>
  <si>
    <t xml:space="preserve">Marcus Bastos</t>
  </si>
  <si>
    <t xml:space="preserve">Marcus Vinicius Ferreira Bastos</t>
  </si>
  <si>
    <t xml:space="preserve">Marlon Lopes de Souza</t>
  </si>
  <si>
    <t xml:space="preserve">Matheus Martins</t>
  </si>
  <si>
    <t xml:space="preserve">Matheus Monteiro Martins</t>
  </si>
  <si>
    <t xml:space="preserve">Mike</t>
  </si>
  <si>
    <t xml:space="preserve">Mike Douglas Aureliano Souza</t>
  </si>
  <si>
    <t xml:space="preserve">Mono</t>
  </si>
  <si>
    <t xml:space="preserve">Juan Sebastian Montano Golu</t>
  </si>
  <si>
    <t xml:space="preserve">Natan Masiero</t>
  </si>
  <si>
    <t xml:space="preserve">Otero</t>
  </si>
  <si>
    <t xml:space="preserve">Romulo Otero Vasquez</t>
  </si>
  <si>
    <t xml:space="preserve">Pedro Colina</t>
  </si>
  <si>
    <t xml:space="preserve">Pedro Henrique Roque dos Santos</t>
  </si>
  <si>
    <t xml:space="preserve">1 manauaraam</t>
  </si>
  <si>
    <t xml:space="preserve">Pedro Medeiros</t>
  </si>
  <si>
    <t xml:space="preserve">Pedro Medeiros Assuncao</t>
  </si>
  <si>
    <t xml:space="preserve">Pedro Rangel</t>
  </si>
  <si>
    <t xml:space="preserve">Pedro Felipe de Faria Rangel</t>
  </si>
  <si>
    <t xml:space="preserve">Pedro Santos</t>
  </si>
  <si>
    <t xml:space="preserve">Pedro Ikson Ribeiro dos Santos</t>
  </si>
  <si>
    <t xml:space="preserve">Quinha</t>
  </si>
  <si>
    <t xml:space="preserve">Lucas Gomes Ribeiro Silva</t>
  </si>
  <si>
    <t xml:space="preserve">Rafael Murilo</t>
  </si>
  <si>
    <t xml:space="preserve">Rafael Murilo de Oliveira</t>
  </si>
  <si>
    <t xml:space="preserve">Raul</t>
  </si>
  <si>
    <t xml:space="preserve">Raul Lo Gonçalves</t>
  </si>
  <si>
    <t xml:space="preserve">Ray Breno Silva Valentim</t>
  </si>
  <si>
    <t xml:space="preserve">Rezende</t>
  </si>
  <si>
    <t xml:space="preserve">Julio Cesar de Rezende Miranda</t>
  </si>
  <si>
    <t xml:space="preserve">Rhamon Mexicano</t>
  </si>
  <si>
    <t xml:space="preserve">Rhamon Marcellino Oliveira</t>
  </si>
  <si>
    <t xml:space="preserve">Rian Caça Rato</t>
  </si>
  <si>
    <t xml:space="preserve">Rian Barros Azevedo</t>
  </si>
  <si>
    <t xml:space="preserve">Roberth William Rodrigues Costa</t>
  </si>
  <si>
    <t xml:space="preserve">Rodrigo Rondon</t>
  </si>
  <si>
    <t xml:space="preserve">Rodrigo Rondon Nascimento de Lima</t>
  </si>
  <si>
    <t xml:space="preserve">Roman</t>
  </si>
  <si>
    <t xml:space="preserve">Ivan Ramiro Roman Hurtado</t>
  </si>
  <si>
    <t xml:space="preserve">Ronaldo Alves</t>
  </si>
  <si>
    <t xml:space="preserve">Ronaldo Luiz Alves</t>
  </si>
  <si>
    <t xml:space="preserve">Rosa</t>
  </si>
  <si>
    <t xml:space="preserve">Marcos Gleibson dos Santos Rosa</t>
  </si>
  <si>
    <t xml:space="preserve">Geraldo Ruan dos Santos</t>
  </si>
  <si>
    <t xml:space="preserve">Ruan Costa Souza</t>
  </si>
  <si>
    <t xml:space="preserve">Sandro</t>
  </si>
  <si>
    <t xml:space="preserve">Sandro Klener Duarte Guimarães</t>
  </si>
  <si>
    <t xml:space="preserve">1 saoraimundopa</t>
  </si>
  <si>
    <t xml:space="preserve">Savarino</t>
  </si>
  <si>
    <t xml:space="preserve">Jefferson David Savarino Quintero</t>
  </si>
  <si>
    <t xml:space="preserve">Stefano</t>
  </si>
  <si>
    <t xml:space="preserve">Stefano Souza Pinho</t>
  </si>
  <si>
    <t xml:space="preserve">Tavinho</t>
  </si>
  <si>
    <t xml:space="preserve">Wanderson Otavio Pereira Campos</t>
  </si>
  <si>
    <t xml:space="preserve">Thalisson</t>
  </si>
  <si>
    <t xml:space="preserve">Thalisson Gabriel Pereira Moreira</t>
  </si>
  <si>
    <t xml:space="preserve">Thiago Maia</t>
  </si>
  <si>
    <t xml:space="preserve">Thiago Maia Alencar</t>
  </si>
  <si>
    <t xml:space="preserve">Thulio</t>
  </si>
  <si>
    <t xml:space="preserve">Thulio de Lelis</t>
  </si>
  <si>
    <t xml:space="preserve">Valber Junior</t>
  </si>
  <si>
    <t xml:space="preserve">Valber da Silva Costa Junior</t>
  </si>
  <si>
    <t xml:space="preserve">Victor Salvador</t>
  </si>
  <si>
    <t xml:space="preserve">Victor Salvador Santos</t>
  </si>
  <si>
    <t xml:space="preserve">Vinicius Caninde</t>
  </si>
  <si>
    <t xml:space="preserve">Marcos Vinicius Ferreira Pereira</t>
  </si>
  <si>
    <t xml:space="preserve">Vitor Rafael de Oliveira</t>
  </si>
  <si>
    <t xml:space="preserve">João Vitor santos Omena da Silva</t>
  </si>
  <si>
    <t xml:space="preserve">Wendel Barros</t>
  </si>
  <si>
    <t xml:space="preserve">Wendel da Silva Barros</t>
  </si>
  <si>
    <t xml:space="preserve">Wesley Jhonsa Santos de Lima</t>
  </si>
  <si>
    <t xml:space="preserve">Ze Elias</t>
  </si>
  <si>
    <t xml:space="preserve">José Elias Soares Noleto</t>
  </si>
  <si>
    <t xml:space="preserve">Akunna</t>
  </si>
  <si>
    <t xml:space="preserve">Nelson Amaechi Akunna</t>
  </si>
  <si>
    <t xml:space="preserve">Alan Kardec</t>
  </si>
  <si>
    <t xml:space="preserve">Alan Kardec de Souza</t>
  </si>
  <si>
    <t xml:space="preserve">Alan Maia</t>
  </si>
  <si>
    <t xml:space="preserve">Alan Maia Macedo</t>
  </si>
  <si>
    <t xml:space="preserve">Alan Stence</t>
  </si>
  <si>
    <t xml:space="preserve">Alan Matheus Stence</t>
  </si>
  <si>
    <t xml:space="preserve">Alexsandro</t>
  </si>
  <si>
    <t xml:space="preserve">Alexandro de Sousa Silva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</si>
  <si>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</si>
  <si>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</si>
  <si>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</si>
  <si>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</si>
  <si>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Arilson</t>
  </si>
  <si>
    <t xml:space="preserve">Arilson Carlos Alves Baptista</t>
  </si>
  <si>
    <t xml:space="preserve">Arthur Bessa</t>
  </si>
  <si>
    <t xml:space="preserve">Arthur Bessa dos Santos</t>
  </si>
  <si>
    <t xml:space="preserve">Arthur Gabriel</t>
  </si>
  <si>
    <t xml:space="preserve">Arthur Gabriel da Silva Rodrigues</t>
  </si>
  <si>
    <t xml:space="preserve">Ball</t>
  </si>
  <si>
    <t xml:space="preserve">Wyrakitan Salu da Silva Sobrinho</t>
  </si>
  <si>
    <t xml:space="preserve">Barbalho</t>
  </si>
  <si>
    <t xml:space="preserve">Mateus Barbalho Cruz</t>
  </si>
  <si>
    <t xml:space="preserve">Bartolomeu</t>
  </si>
  <si>
    <t xml:space="preserve">Bartolomeu Barbosa da Silva Junior</t>
  </si>
  <si>
    <t xml:space="preserve">Bruno Costa</t>
  </si>
  <si>
    <t xml:space="preserve">Caio Mineiro</t>
  </si>
  <si>
    <t xml:space="preserve">Caio Vinicius Pereira de Aguiar</t>
  </si>
  <si>
    <t xml:space="preserve">Caio Ribeiro</t>
  </si>
  <si>
    <t xml:space="preserve">Caio Ribeiro de Carvalho</t>
  </si>
  <si>
    <t xml:space="preserve">Calyl</t>
  </si>
  <si>
    <t xml:space="preserve">Calyl Thamer Souza dos Santos</t>
  </si>
  <si>
    <t xml:space="preserve">Carlos Moises de Lima</t>
  </si>
  <si>
    <t xml:space="preserve">Cesar Rodrigues de Oliveira</t>
  </si>
  <si>
    <t xml:space="preserve">Cristaldo</t>
  </si>
  <si>
    <t xml:space="preserve">Franco Sebastian Cristaldo</t>
  </si>
  <si>
    <t xml:space="preserve">Cristiano da Silva</t>
  </si>
  <si>
    <t xml:space="preserve">1 pontepretasp</t>
  </si>
  <si>
    <t xml:space="preserve">Davi Gomes</t>
  </si>
  <si>
    <t xml:space="preserve">Davi Gomes de Alvarenga</t>
  </si>
  <si>
    <t xml:space="preserve">David Batista</t>
  </si>
  <si>
    <t xml:space="preserve">David Henrique Oliveira Batista</t>
  </si>
  <si>
    <t xml:space="preserve">David Duarte</t>
  </si>
  <si>
    <t xml:space="preserve">David de Duarte Macedo</t>
  </si>
  <si>
    <t xml:space="preserve">Deivisson</t>
  </si>
  <si>
    <t xml:space="preserve">Deivisson Carvalho de Assis</t>
  </si>
  <si>
    <t xml:space="preserve">Denzel</t>
  </si>
  <si>
    <t xml:space="preserve">Denzel Washington Brito dos Santos</t>
  </si>
  <si>
    <t xml:space="preserve">Diego Seolini Cardoso</t>
  </si>
  <si>
    <t xml:space="preserve">Diego Silva</t>
  </si>
  <si>
    <t xml:space="preserve">Diego Claudino da Silva</t>
  </si>
  <si>
    <t xml:space="preserve">Dieguinho</t>
  </si>
  <si>
    <t xml:space="preserve">Diego da Cruz Lopes</t>
  </si>
  <si>
    <t xml:space="preserve">Diguda</t>
  </si>
  <si>
    <t xml:space="preserve">Magno Aguiar Santana</t>
  </si>
  <si>
    <t xml:space="preserve">Diney</t>
  </si>
  <si>
    <t xml:space="preserve">Diney Carlos Albuquerque do Nascimento</t>
  </si>
  <si>
    <t xml:space="preserve">Eduardo marcelo Rodrigues Nunes</t>
  </si>
  <si>
    <t xml:space="preserve">Dudu Santos</t>
  </si>
  <si>
    <t xml:space="preserve">Carlos Eduardo Otávio dos Santos</t>
  </si>
  <si>
    <t xml:space="preserve">Eder Monteiro</t>
  </si>
  <si>
    <t xml:space="preserve">Eder Monteiro Miranda da Silva</t>
  </si>
  <si>
    <t xml:space="preserve">Elicley</t>
  </si>
  <si>
    <t xml:space="preserve">Elicley Soares</t>
  </si>
  <si>
    <t xml:space="preserve">Elyvelton</t>
  </si>
  <si>
    <t xml:space="preserve">Elyvelton Sales Souza</t>
  </si>
  <si>
    <t xml:space="preserve">Emanuel Baitler</t>
  </si>
  <si>
    <t xml:space="preserve">Emanuel Estevam Baitler</t>
  </si>
  <si>
    <t xml:space="preserve">Erick Lacerda</t>
  </si>
  <si>
    <t xml:space="preserve">Erick Lacerda Silva</t>
  </si>
  <si>
    <t xml:space="preserve">Erick Luis</t>
  </si>
  <si>
    <t xml:space="preserve">Erick Luis Palma dos Santos</t>
  </si>
  <si>
    <t xml:space="preserve">Erik Henrique</t>
  </si>
  <si>
    <t xml:space="preserve">Erik Henrique Rocha dos Santos</t>
  </si>
  <si>
    <t xml:space="preserve">Euller Viana</t>
  </si>
  <si>
    <t xml:space="preserve">Fabio Guilherme de Jesus Bueno</t>
  </si>
  <si>
    <t xml:space="preserve">Fabio Jose de Souza</t>
  </si>
  <si>
    <t xml:space="preserve">Felipe Araujo</t>
  </si>
  <si>
    <t xml:space="preserve">Felipe Matheus Filgueira de Araújo</t>
  </si>
  <si>
    <t xml:space="preserve">Felipe Ferreira</t>
  </si>
  <si>
    <t xml:space="preserve">Felipe Ferreira de Oliveira</t>
  </si>
  <si>
    <t xml:space="preserve">Felipe Santana</t>
  </si>
  <si>
    <t xml:space="preserve">Felipe Gustavo Oliveira de Santana</t>
  </si>
  <si>
    <t xml:space="preserve">Francisco Neto</t>
  </si>
  <si>
    <t xml:space="preserve">Francisco Paulo Oliveira Neto</t>
  </si>
  <si>
    <t xml:space="preserve">Frank</t>
  </si>
  <si>
    <t xml:space="preserve">Frank Henrique Pena de Oliveira</t>
  </si>
  <si>
    <t xml:space="preserve">Furtado</t>
  </si>
  <si>
    <t xml:space="preserve">Jordan Gabriel da Silva Furtado</t>
  </si>
  <si>
    <t xml:space="preserve">Gabriel Marques Chrispim</t>
  </si>
  <si>
    <t xml:space="preserve">Gabriel Bozzolan</t>
  </si>
  <si>
    <t xml:space="preserve">Gabriel Siqueira de Carvalho Bozzolan</t>
  </si>
  <si>
    <t xml:space="preserve">Gabriel Carioca</t>
  </si>
  <si>
    <t xml:space="preserve">Gabriel da Silva Flavio</t>
  </si>
  <si>
    <t xml:space="preserve">Gabriel Silva da Silva</t>
  </si>
  <si>
    <t xml:space="preserve">Geilson</t>
  </si>
  <si>
    <t xml:space="preserve">Geilson Cequeira Almeida</t>
  </si>
  <si>
    <t xml:space="preserve">José Guilherme Cavalcante da Silva</t>
  </si>
  <si>
    <t xml:space="preserve">Guilherme Aquino</t>
  </si>
  <si>
    <t xml:space="preserve">Guilherme Aquino Vargas dos Santos</t>
  </si>
  <si>
    <t xml:space="preserve">1 coritibapr</t>
  </si>
  <si>
    <t xml:space="preserve">Guilherme Papaleo</t>
  </si>
  <si>
    <t xml:space="preserve">Guilherme Papaleo de Alvarenga</t>
  </si>
  <si>
    <t xml:space="preserve">Guilherme Romao</t>
  </si>
  <si>
    <t xml:space="preserve">Guilherme Kennedy Romao</t>
  </si>
  <si>
    <t xml:space="preserve">Gustavo Portela</t>
  </si>
  <si>
    <t xml:space="preserve">Gustavo Augusto da Silva Portela</t>
  </si>
  <si>
    <t xml:space="preserve">Hippolito</t>
  </si>
  <si>
    <t xml:space="preserve">Hippolito Jayme Peter Neto</t>
  </si>
  <si>
    <t xml:space="preserve">Ian Brito Coelho</t>
  </si>
  <si>
    <t xml:space="preserve">Igor Ryan</t>
  </si>
  <si>
    <t xml:space="preserve">Igor Ryan Tavares Vieira</t>
  </si>
  <si>
    <t xml:space="preserve">Igor Trindade</t>
  </si>
  <si>
    <t xml:space="preserve">Igor Trindade Farias</t>
  </si>
  <si>
    <t xml:space="preserve">Indio</t>
  </si>
  <si>
    <t xml:space="preserve">Elias Gomes Cavalcante</t>
  </si>
  <si>
    <t xml:space="preserve">Indio Ramirez</t>
  </si>
  <si>
    <t xml:space="preserve">Juan Pablo Ramirez Velasquez</t>
  </si>
  <si>
    <t xml:space="preserve">Jardiel</t>
  </si>
  <si>
    <t xml:space="preserve">Jardiel Maciel Libertino da Silva</t>
  </si>
  <si>
    <t xml:space="preserve">Jean Camargo</t>
  </si>
  <si>
    <t xml:space="preserve">Jean Camargo Silva</t>
  </si>
  <si>
    <t xml:space="preserve">Jean Pyerre</t>
  </si>
  <si>
    <t xml:space="preserve">Jean Pyerre Casagrande Silveira Correa</t>
  </si>
  <si>
    <t xml:space="preserve">Jefer</t>
  </si>
  <si>
    <t xml:space="preserve">Jefer Gongora Arboleda</t>
  </si>
  <si>
    <t xml:space="preserve">João Lucas</t>
  </si>
  <si>
    <t xml:space="preserve">João Lucas Cardoso</t>
  </si>
  <si>
    <t xml:space="preserve">João Pedro Santos Oliveira</t>
  </si>
  <si>
    <t xml:space="preserve">Jonathan Nascimento Moura Cruz</t>
  </si>
  <si>
    <t xml:space="preserve">Junior Santos</t>
  </si>
  <si>
    <t xml:space="preserve">Jose Antonio dos Santos Junior</t>
  </si>
  <si>
    <t xml:space="preserve">JV Baeca</t>
  </si>
  <si>
    <t xml:space="preserve">João Vitor Azevedo dos Santos</t>
  </si>
  <si>
    <t xml:space="preserve">Edivaldo Matias de Araujo Filho</t>
  </si>
  <si>
    <t xml:space="preserve">1 globorn</t>
  </si>
  <si>
    <t xml:space="preserve">Kauan Diego</t>
  </si>
  <si>
    <t xml:space="preserve">Kauan Diego Almeida da Silva</t>
  </si>
  <si>
    <t xml:space="preserve">Kauan toledo</t>
  </si>
  <si>
    <t xml:space="preserve">Kauan Almeida Toledo</t>
  </si>
  <si>
    <t xml:space="preserve">Kewen</t>
  </si>
  <si>
    <t xml:space="preserve">Kewen Andrade Campos</t>
  </si>
  <si>
    <t xml:space="preserve">Weverson Leandro Oliveira Moura</t>
  </si>
  <si>
    <t xml:space="preserve">Luan Andrey</t>
  </si>
  <si>
    <t xml:space="preserve">Luan Andrey da Silva Duarte</t>
  </si>
  <si>
    <t xml:space="preserve">Lucas Grafite</t>
  </si>
  <si>
    <t xml:space="preserve">Lucas José dos Santos de Souza</t>
  </si>
  <si>
    <t xml:space="preserve">Lucas de Lima da Costa</t>
  </si>
  <si>
    <t xml:space="preserve">Lucas do Carmo Souza</t>
  </si>
  <si>
    <t xml:space="preserve">Lucas Vargas</t>
  </si>
  <si>
    <t xml:space="preserve">Lucas Vargas Cavalcanti</t>
  </si>
  <si>
    <t xml:space="preserve">Luis Miguel</t>
  </si>
  <si>
    <t xml:space="preserve">Luis Miguel Borges de Paula</t>
  </si>
  <si>
    <t xml:space="preserve">1 vitoriaba</t>
  </si>
  <si>
    <t xml:space="preserve">Luis Phelipe</t>
  </si>
  <si>
    <t xml:space="preserve">Luis Phelipe de Souza Figueiredo</t>
  </si>
  <si>
    <t xml:space="preserve">Luiz Fernando Spranger da Silva</t>
  </si>
  <si>
    <t xml:space="preserve">Luis Felipe Nogueira Pinto</t>
  </si>
  <si>
    <t xml:space="preserve">Luiz Henrique Mendes Silva da Costa</t>
  </si>
  <si>
    <t xml:space="preserve">Marcos Paulo</t>
  </si>
  <si>
    <t xml:space="preserve">Marcos Paulo da Silva Pereira</t>
  </si>
  <si>
    <t xml:space="preserve">Marquinhos Murici</t>
  </si>
  <si>
    <t xml:space="preserve">Antonio Marcos da Silva Graciliano</t>
  </si>
  <si>
    <t xml:space="preserve">Mateus Goiano</t>
  </si>
  <si>
    <t xml:space="preserve">Mateus Alves da Silva</t>
  </si>
  <si>
    <t xml:space="preserve">Mateus Rodrigues</t>
  </si>
  <si>
    <t xml:space="preserve">Mateus Rodrigues dos Santos</t>
  </si>
  <si>
    <t xml:space="preserve">Matheus Lopes</t>
  </si>
  <si>
    <t xml:space="preserve">Mateus Pinto Lopes</t>
  </si>
  <si>
    <t xml:space="preserve">Matheus Oliveira</t>
  </si>
  <si>
    <t xml:space="preserve">Matheus Oliveira Souza</t>
  </si>
  <si>
    <t xml:space="preserve">Matheus Streit</t>
  </si>
  <si>
    <t xml:space="preserve">1 concordiasc</t>
  </si>
  <si>
    <t xml:space="preserve">Matheus Tomaz</t>
  </si>
  <si>
    <t xml:space="preserve">Matheus Tomaz de Moura</t>
  </si>
  <si>
    <t xml:space="preserve">Maycon Lucas</t>
  </si>
  <si>
    <t xml:space="preserve">Maycon Lucas Azevedo da Silva</t>
  </si>
  <si>
    <t xml:space="preserve">Yaider Mena Martinez</t>
  </si>
  <si>
    <t xml:space="preserve">1 humaitaac</t>
  </si>
  <si>
    <t xml:space="preserve">Minho</t>
  </si>
  <si>
    <t xml:space="preserve">Guilheme de Melo Silva</t>
  </si>
  <si>
    <t xml:space="preserve">Mirandinha</t>
  </si>
  <si>
    <t xml:space="preserve">Maycon Gomes Santana</t>
  </si>
  <si>
    <t xml:space="preserve">Nathan Indio</t>
  </si>
  <si>
    <t xml:space="preserve">Nathan dos Santos Custocio</t>
  </si>
  <si>
    <t xml:space="preserve">Nelson</t>
  </si>
  <si>
    <t xml:space="preserve">Nelson Borges Oliveira Cardoso</t>
  </si>
  <si>
    <t xml:space="preserve">Neto Maranhao</t>
  </si>
  <si>
    <t xml:space="preserve">Luis Ferreira Lima Neto</t>
  </si>
  <si>
    <t xml:space="preserve">Nicolas Adriano Schulz</t>
  </si>
  <si>
    <t xml:space="preserve">Nonato</t>
  </si>
  <si>
    <t xml:space="preserve">Gustavo Nonato Santana</t>
  </si>
  <si>
    <t xml:space="preserve">Pablo Gabriel dos Santos</t>
  </si>
  <si>
    <t xml:space="preserve">Paulão</t>
  </si>
  <si>
    <t xml:space="preserve">Paulo da Cunha Pontes</t>
  </si>
  <si>
    <t xml:space="preserve">Pedro Luiz Barone</t>
  </si>
  <si>
    <t xml:space="preserve">Pedro Ivo Rezende dos Santos</t>
  </si>
  <si>
    <t xml:space="preserve">Pedro Vitor barbosa dos Santos</t>
  </si>
  <si>
    <t xml:space="preserve">Pitter</t>
  </si>
  <si>
    <t xml:space="preserve">Pitter Douglas da Silveira</t>
  </si>
  <si>
    <t xml:space="preserve">Raul Sudati</t>
  </si>
  <si>
    <t xml:space="preserve">Raul sudatti Dorneles</t>
  </si>
  <si>
    <t xml:space="preserve">Raylson Miranda Castro</t>
  </si>
  <si>
    <t xml:space="preserve">Renatinho</t>
  </si>
  <si>
    <t xml:space="preserve">Renato Vieira Rodrigues</t>
  </si>
  <si>
    <t xml:space="preserve">Ricardinho</t>
  </si>
  <si>
    <t xml:space="preserve">Ricardo Alexandre Pereira da Silva</t>
  </si>
  <si>
    <t xml:space="preserve">João Rodrigues da Silva Neto</t>
  </si>
  <si>
    <t xml:space="preserve">Salles</t>
  </si>
  <si>
    <t xml:space="preserve">Matheus Ferreira Salles</t>
  </si>
  <si>
    <t xml:space="preserve">Samuel Otusanya</t>
  </si>
  <si>
    <t xml:space="preserve">Oluwasegun Samuel Otusanya</t>
  </si>
  <si>
    <t xml:space="preserve">Vam Baster</t>
  </si>
  <si>
    <t xml:space="preserve">Vam Baster Lima Baarros</t>
  </si>
  <si>
    <t xml:space="preserve">Venilson Taperaçu</t>
  </si>
  <si>
    <t xml:space="preserve">Venilson Miranda Silva</t>
  </si>
  <si>
    <t xml:space="preserve">Vinicius Aparecido Fernandes da Silva</t>
  </si>
  <si>
    <t xml:space="preserve">Vitão</t>
  </si>
  <si>
    <t xml:space="preserve">Victor Manoel do Nascimento Assunção</t>
  </si>
  <si>
    <t xml:space="preserve">Wanderson Ribeiro Silva</t>
  </si>
  <si>
    <t xml:space="preserve">Warlisson Lobinho</t>
  </si>
  <si>
    <t xml:space="preserve">Warlisson Coutinho Vasques</t>
  </si>
  <si>
    <t xml:space="preserve">Wellisson da Conceição Ferreira</t>
  </si>
  <si>
    <t xml:space="preserve">Willian Monteiro</t>
  </si>
  <si>
    <t xml:space="preserve">Willian da Silva Duarte Monteiro</t>
  </si>
  <si>
    <t xml:space="preserve">Yuri Souza</t>
  </si>
  <si>
    <t xml:space="preserve">Yuri souza Onorio</t>
  </si>
  <si>
    <t xml:space="preserve">Adalgisio Pitbull</t>
  </si>
  <si>
    <t xml:space="preserve">Adalgisio Miranda da Rocha</t>
  </si>
  <si>
    <t xml:space="preserve">Adriano</t>
  </si>
  <si>
    <t xml:space="preserve">Adriano Pereira de Souza</t>
  </si>
  <si>
    <t xml:space="preserve">Aguero</t>
  </si>
  <si>
    <t xml:space="preserve">Alejandro Ramirez Aguero</t>
  </si>
  <si>
    <t xml:space="preserve">Alexssander Medeiros de Azeredo</t>
  </si>
  <si>
    <t xml:space="preserve">Allison Gabriel Nabono Albino</t>
  </si>
  <si>
    <t xml:space="preserve">Anderson Cordeiro</t>
  </si>
  <si>
    <t xml:space="preserve">Anderson Cordeiro Costa</t>
  </si>
  <si>
    <t xml:space="preserve">André Vinicius Silva Borges</t>
  </si>
  <si>
    <t xml:space="preserve">Andre Dantas</t>
  </si>
  <si>
    <t xml:space="preserve">Andre Henrique Simplicio Dantas</t>
  </si>
  <si>
    <t xml:space="preserve">Andrezinho</t>
  </si>
  <si>
    <t xml:space="preserve">Andre Luis Barros Cossta</t>
  </si>
  <si>
    <t xml:space="preserve">Arango</t>
  </si>
  <si>
    <t xml:space="preserve">Johan Leandro Arango Ambuila</t>
  </si>
  <si>
    <t xml:space="preserve">1 capitaldf</t>
  </si>
  <si>
    <t xml:space="preserve">Arnold</t>
  </si>
  <si>
    <t xml:space="preserve">Arnold Mael Kamdem</t>
  </si>
  <si>
    <t xml:space="preserve">Balbino</t>
  </si>
  <si>
    <t xml:space="preserve">Anderson Balbino Assis</t>
  </si>
  <si>
    <t xml:space="preserve">Levi Roberto Schmitz</t>
  </si>
  <si>
    <t xml:space="preserve">Breno Renan</t>
  </si>
  <si>
    <t xml:space="preserve">Breno Renan Costa</t>
  </si>
  <si>
    <t xml:space="preserve">1 adesgac</t>
  </si>
  <si>
    <t xml:space="preserve">Bruno Alves</t>
  </si>
  <si>
    <t xml:space="preserve">Bruno Alves de Souza</t>
  </si>
  <si>
    <t xml:space="preserve">Bruno Dip</t>
  </si>
  <si>
    <t xml:space="preserve">Bruno Dip Rapanelli</t>
  </si>
  <si>
    <t xml:space="preserve">Buga</t>
  </si>
  <si>
    <t xml:space="preserve">Elilson Correia da Conceição</t>
  </si>
  <si>
    <t xml:space="preserve">Caua do Quadro de Araujo</t>
  </si>
  <si>
    <t xml:space="preserve">Cauari</t>
  </si>
  <si>
    <t xml:space="preserve">Cauari Camo Simão Santos</t>
  </si>
  <si>
    <t xml:space="preserve">Chiquinho Alagoano</t>
  </si>
  <si>
    <t xml:space="preserve">Francisco Lopes dos Santos</t>
  </si>
  <si>
    <t xml:space="preserve">Cledson</t>
  </si>
  <si>
    <t xml:space="preserve">Cledson da Cruz Santos</t>
  </si>
  <si>
    <t xml:space="preserve">Cufre</t>
  </si>
  <si>
    <t xml:space="preserve">Braian Ezequiel Cufre</t>
  </si>
  <si>
    <t xml:space="preserve">Cuiabano</t>
  </si>
  <si>
    <t xml:space="preserve">Luis Eduardo Soares da Silva</t>
  </si>
  <si>
    <t xml:space="preserve">Daniel Mazerochi</t>
  </si>
  <si>
    <t xml:space="preserve">Daniel Henrique Aguiar Mazerochi</t>
  </si>
  <si>
    <t xml:space="preserve">De La Cruz</t>
  </si>
  <si>
    <t xml:space="preserve">Diego Nicolas de la Cruz Arcosa</t>
  </si>
  <si>
    <t xml:space="preserve">Diego Augusto</t>
  </si>
  <si>
    <t xml:space="preserve">Diego Augusto Teixeira Alves</t>
  </si>
  <si>
    <t xml:space="preserve">Dionatan</t>
  </si>
  <si>
    <t xml:space="preserve">Dionatan Augusto Barbosa</t>
  </si>
  <si>
    <t xml:space="preserve">Dionatha</t>
  </si>
  <si>
    <t xml:space="preserve">Dionatha da Silva</t>
  </si>
  <si>
    <t xml:space="preserve">Antonio Douglas Marins da Silva</t>
  </si>
  <si>
    <t xml:space="preserve">Edaurdo Brito</t>
  </si>
  <si>
    <t xml:space="preserve">José Eduardo de Brito Silva</t>
  </si>
  <si>
    <t xml:space="preserve">Eder </t>
  </si>
  <si>
    <t xml:space="preserve">Eder Vinicius de Oliveira</t>
  </si>
  <si>
    <t xml:space="preserve">Edicleber</t>
  </si>
  <si>
    <t xml:space="preserve">Edicleber Macedo dos Santos</t>
  </si>
  <si>
    <t xml:space="preserve">Emanuel</t>
  </si>
  <si>
    <t xml:space="preserve">Emanuel Corvelloni Nascimento</t>
  </si>
  <si>
    <t xml:space="preserve">Enzzo</t>
  </si>
  <si>
    <t xml:space="preserve">Enzzo Amaro Moreira Leitao</t>
  </si>
  <si>
    <t xml:space="preserve">Erivelton Martins Silva dos Santos</t>
  </si>
  <si>
    <t xml:space="preserve">Esli Garcia</t>
  </si>
  <si>
    <t xml:space="preserve">Esli Samuel Garcia Cordero</t>
  </si>
  <si>
    <t xml:space="preserve">Fabiano</t>
  </si>
  <si>
    <t xml:space="preserve">Fabiano Terra Santiago</t>
  </si>
  <si>
    <t xml:space="preserve">Felipe Alves</t>
  </si>
  <si>
    <t xml:space="preserve">Felipe Ribeiro Alves</t>
  </si>
  <si>
    <t xml:space="preserve">Felipe Brisola</t>
  </si>
  <si>
    <t xml:space="preserve">Felipe Bezerra Brisola</t>
  </si>
  <si>
    <t xml:space="preserve">Filipe Fraga</t>
  </si>
  <si>
    <t xml:space="preserve">Filipe Fortes Fraga</t>
  </si>
  <si>
    <t xml:space="preserve">Carlos Gabriel da Conceição Lima</t>
  </si>
  <si>
    <t xml:space="preserve">Gabriel Justino</t>
  </si>
  <si>
    <t xml:space="preserve">Edson Gabriel Justino</t>
  </si>
  <si>
    <t xml:space="preserve">Gabriel Silva Azevedo Figueredo</t>
  </si>
  <si>
    <t xml:space="preserve">Giovane Mario</t>
  </si>
  <si>
    <t xml:space="preserve">Giovane Mário de Jesus</t>
  </si>
  <si>
    <t xml:space="preserve">Gleidson</t>
  </si>
  <si>
    <t xml:space="preserve">Gleidson Henrique Soares Gomes</t>
  </si>
  <si>
    <t xml:space="preserve">Gui Sales</t>
  </si>
  <si>
    <t xml:space="preserve">Guilherme Silva Sales</t>
  </si>
  <si>
    <t xml:space="preserve">Gustavo da Silva Pereira</t>
  </si>
  <si>
    <t xml:space="preserve">Habraao</t>
  </si>
  <si>
    <t xml:space="preserve">Habraão Lincon do Nascimento</t>
  </si>
  <si>
    <t xml:space="preserve">Helio Borges</t>
  </si>
  <si>
    <t xml:space="preserve">Helio Cunha Borges</t>
  </si>
  <si>
    <t xml:space="preserve">Hyuri</t>
  </si>
  <si>
    <t xml:space="preserve">Hyuri Henrique de Oliveira Costa</t>
  </si>
  <si>
    <t xml:space="preserve">Igor Guilherme</t>
  </si>
  <si>
    <t xml:space="preserve">Igor Guilherme Fraga</t>
  </si>
  <si>
    <t xml:space="preserve">Igor Silva</t>
  </si>
  <si>
    <t xml:space="preserve">Igor da Silva Alves</t>
  </si>
  <si>
    <t xml:space="preserve">Iruan</t>
  </si>
  <si>
    <t xml:space="preserve">Iruan Lima Soares</t>
  </si>
  <si>
    <t xml:space="preserve">Israel Ribeiro duarte</t>
  </si>
  <si>
    <t xml:space="preserve">Jailson Cauã Pereira dos Santos</t>
  </si>
  <si>
    <t xml:space="preserve">Jeferson Silva Santos</t>
  </si>
  <si>
    <t xml:space="preserve">João Guilherme de Lima Pinheiro Santos</t>
  </si>
  <si>
    <t xml:space="preserve">Joao Lucas Pereira da Silva</t>
  </si>
  <si>
    <t xml:space="preserve">João Nascimento</t>
  </si>
  <si>
    <t xml:space="preserve">João Pedro Lopes do Nascimento</t>
  </si>
  <si>
    <t xml:space="preserve">João Paulo Siqueira Ribeiro</t>
  </si>
  <si>
    <t xml:space="preserve">Ju Alagoano</t>
  </si>
  <si>
    <t xml:space="preserve">José Jerônimo da Silva</t>
  </si>
  <si>
    <t xml:space="preserve">Rudiclei Serrão da Costa Junior</t>
  </si>
  <si>
    <t xml:space="preserve">Eduardo Jose Barbosa da Silva Junior</t>
  </si>
  <si>
    <t xml:space="preserve">Junior Timbo</t>
  </si>
  <si>
    <t xml:space="preserve">Jorge de Araujo Soares Junior</t>
  </si>
  <si>
    <t xml:space="preserve">Kassio</t>
  </si>
  <si>
    <t xml:space="preserve">Kassio da Silva de Jesus</t>
  </si>
  <si>
    <t xml:space="preserve">Kaua Moraes</t>
  </si>
  <si>
    <t xml:space="preserve">Kaua Moares da Silva</t>
  </si>
  <si>
    <t xml:space="preserve">Kauan Cordeiro</t>
  </si>
  <si>
    <t xml:space="preserve">Kauan Cordeiro Silvestre</t>
  </si>
  <si>
    <t xml:space="preserve">Kayke Gouvea Queiroz</t>
  </si>
  <si>
    <t xml:space="preserve">Kike Saverio</t>
  </si>
  <si>
    <t xml:space="preserve">Javier Enrique Delgado Saverio</t>
  </si>
  <si>
    <t xml:space="preserve">Knupp</t>
  </si>
  <si>
    <t xml:space="preserve">Guilherme Campos Knupp</t>
  </si>
  <si>
    <t xml:space="preserve">Leo David</t>
  </si>
  <si>
    <t xml:space="preserve">Leonardo David do Espirito Santos</t>
  </si>
  <si>
    <t xml:space="preserve">Leonardo Caetano Silva</t>
  </si>
  <si>
    <t xml:space="preserve">Lucas de Souza Pessoa</t>
  </si>
  <si>
    <t xml:space="preserve">Lucas Formiga</t>
  </si>
  <si>
    <t xml:space="preserve">Lucas Felipe Galdino</t>
  </si>
  <si>
    <t xml:space="preserve">Lucas Silva</t>
  </si>
  <si>
    <t xml:space="preserve">Lucas da Silva de Jesus</t>
  </si>
  <si>
    <t xml:space="preserve">Lucas Rodrigues da Silva</t>
  </si>
  <si>
    <t xml:space="preserve">Luciano Grafite</t>
  </si>
  <si>
    <t xml:space="preserve">José Luciano da Silva Martins</t>
  </si>
  <si>
    <t xml:space="preserve">Luis Guilherme</t>
  </si>
  <si>
    <t xml:space="preserve">Luis Guilherme da Silva Bezerra</t>
  </si>
  <si>
    <t xml:space="preserve">Luiz Antonio</t>
  </si>
  <si>
    <t xml:space="preserve">Luiz Antonio Bandeira Scheuneman</t>
  </si>
  <si>
    <t xml:space="preserve">Luiz Felipe</t>
  </si>
  <si>
    <t xml:space="preserve">Luis Felipe Fernandes da Silva</t>
  </si>
  <si>
    <t xml:space="preserve">Luiz Fernando Ferreira de Souza</t>
  </si>
  <si>
    <t xml:space="preserve">1 primaverasp</t>
  </si>
  <si>
    <t xml:space="preserve">Luiz Felipe Santos da Cruz</t>
  </si>
  <si>
    <t xml:space="preserve">Luquinha</t>
  </si>
  <si>
    <t xml:space="preserve">Lucas Gabriel Dias</t>
  </si>
  <si>
    <t xml:space="preserve">Maicon Assis</t>
  </si>
  <si>
    <t xml:space="preserve">Maicon Assis de Brito</t>
  </si>
  <si>
    <t xml:space="preserve">Maicon Marinho</t>
  </si>
  <si>
    <t xml:space="preserve">Maicon Marinho dos Santos</t>
  </si>
  <si>
    <t xml:space="preserve">Marcelo Benevenuto</t>
  </si>
  <si>
    <t xml:space="preserve">Marcelo da Conceição Benevenuto Malaquias</t>
  </si>
  <si>
    <t xml:space="preserve">Mateus Henrique</t>
  </si>
  <si>
    <t xml:space="preserve">Mateus Henrique Cestarol</t>
  </si>
  <si>
    <t xml:space="preserve">Max Eduardo</t>
  </si>
  <si>
    <t xml:space="preserve">Max Eduardo Portilho Azevedo</t>
  </si>
  <si>
    <t xml:space="preserve">Max Nobrega</t>
  </si>
  <si>
    <t xml:space="preserve">Max da Silva Nobrega</t>
  </si>
  <si>
    <t xml:space="preserve">Maycon</t>
  </si>
  <si>
    <t xml:space="preserve">Maycon Ribeiro Mattos Ferreira</t>
  </si>
  <si>
    <t xml:space="preserve">Maykon</t>
  </si>
  <si>
    <t xml:space="preserve">Maykon Kesley de Jesus Ramalho</t>
  </si>
  <si>
    <t xml:space="preserve">Miguel Silva</t>
  </si>
  <si>
    <t xml:space="preserve">Miguel dos Santos Silva</t>
  </si>
  <si>
    <t xml:space="preserve">Miller Jose de Oliveira</t>
  </si>
  <si>
    <t xml:space="preserve">Miqueias</t>
  </si>
  <si>
    <t xml:space="preserve">Miqueias dos Santos Alves</t>
  </si>
  <si>
    <t xml:space="preserve">Nailson</t>
  </si>
  <si>
    <t xml:space="preserve">Nailson Rodrigues Frazao</t>
  </si>
  <si>
    <t xml:space="preserve">Natalicio</t>
  </si>
  <si>
    <t xml:space="preserve">Natalicio Francisco da Silva Santos</t>
  </si>
  <si>
    <t xml:space="preserve">Naylhor</t>
  </si>
  <si>
    <t xml:space="preserve">Naylhor Bispo de Souza Junior</t>
  </si>
  <si>
    <t xml:space="preserve">Kerginaldo da Silva Nascimento</t>
  </si>
  <si>
    <t xml:space="preserve">Nino</t>
  </si>
  <si>
    <t xml:space="preserve">Gildson Santos de Lima</t>
  </si>
  <si>
    <t xml:space="preserve">Patrick Brey</t>
  </si>
  <si>
    <t xml:space="preserve">Patrick de Carvalho Brey</t>
  </si>
  <si>
    <t xml:space="preserve">Paulo Ricardo Valadão de Sena</t>
  </si>
  <si>
    <t xml:space="preserve">Pedro Careca</t>
  </si>
  <si>
    <t xml:space="preserve">Pedro Henrique Bezerra Carvalho</t>
  </si>
  <si>
    <t xml:space="preserve">Pedro Cella</t>
  </si>
  <si>
    <t xml:space="preserve">Pedro Inacio Cella</t>
  </si>
  <si>
    <t xml:space="preserve">Pedro Junior</t>
  </si>
  <si>
    <t xml:space="preserve">Pedro Bispo Moreira Junior</t>
  </si>
  <si>
    <t xml:space="preserve">Raynan</t>
  </si>
  <si>
    <t xml:space="preserve">Raynan Martins de Souza</t>
  </si>
  <si>
    <t xml:space="preserve">Reginaldo</t>
  </si>
  <si>
    <t xml:space="preserve">Reginaldo Manoel da Silva Junior</t>
  </si>
  <si>
    <t xml:space="preserve">Rodrigo Huendra Almeida Mendonça</t>
  </si>
  <si>
    <t xml:space="preserve">Roger Dias</t>
  </si>
  <si>
    <t xml:space="preserve">Roger Dias Fernandes</t>
  </si>
  <si>
    <t xml:space="preserve">Romario Vieira da Silva</t>
  </si>
  <si>
    <t xml:space="preserve">Rone</t>
  </si>
  <si>
    <t xml:space="preserve">Rone Carlos de Paula</t>
  </si>
  <si>
    <t xml:space="preserve">Ruan Francisco Silva</t>
  </si>
  <si>
    <t xml:space="preserve">Ryan</t>
  </si>
  <si>
    <t xml:space="preserve">Ryan Duraes Moreira</t>
  </si>
  <si>
    <t xml:space="preserve">Ryan Vitor dos Santos Jacinto</t>
  </si>
  <si>
    <t xml:space="preserve">Saci</t>
  </si>
  <si>
    <t xml:space="preserve">Vitor Nascimento da Silva</t>
  </si>
  <si>
    <t xml:space="preserve">Samuel</t>
  </si>
  <si>
    <t xml:space="preserve">Samuel Barbosa Costa</t>
  </si>
  <si>
    <t xml:space="preserve">Sandro Silva dos Santos</t>
  </si>
  <si>
    <t xml:space="preserve">Sorin</t>
  </si>
  <si>
    <t xml:space="preserve">Francisco Breno Sousa Fernandes</t>
  </si>
  <si>
    <t xml:space="preserve">Testinha</t>
  </si>
  <si>
    <t xml:space="preserve">Ivanaldo silva de Moraes</t>
  </si>
  <si>
    <t xml:space="preserve">Thales</t>
  </si>
  <si>
    <t xml:space="preserve">Thales Maciel de Oliveira</t>
  </si>
  <si>
    <t xml:space="preserve">Thiago Ribeiro</t>
  </si>
  <si>
    <t xml:space="preserve">Thiago Ribeiro Cardoso</t>
  </si>
  <si>
    <t xml:space="preserve">Thiago Santos</t>
  </si>
  <si>
    <t xml:space="preserve">Thiago dos Santos</t>
  </si>
  <si>
    <t xml:space="preserve">Thierry Domingos dos Santos</t>
  </si>
  <si>
    <t xml:space="preserve">Tiago</t>
  </si>
  <si>
    <t xml:space="preserve">Thiago Augusto Pinheiro de Carvalho Rocha</t>
  </si>
  <si>
    <t xml:space="preserve">Tomas</t>
  </si>
  <si>
    <t xml:space="preserve">Tomas Ferreira Dias de Oliveira</t>
  </si>
  <si>
    <t xml:space="preserve">Victor Lima das Neves</t>
  </si>
  <si>
    <t xml:space="preserve">Victor Pereira</t>
  </si>
  <si>
    <t xml:space="preserve">Victor Santos Pereirfa</t>
  </si>
  <si>
    <t xml:space="preserve">Vitor Marinho</t>
  </si>
  <si>
    <t xml:space="preserve">Vitor Marinho de Oliveira</t>
  </si>
  <si>
    <t xml:space="preserve">Welton</t>
  </si>
  <si>
    <t xml:space="preserve">Welston Santana Ferreira</t>
  </si>
  <si>
    <t xml:space="preserve">Wendson</t>
  </si>
  <si>
    <t xml:space="preserve">Wendson dos Santos Lopes</t>
  </si>
  <si>
    <t xml:space="preserve">Wilkson</t>
  </si>
  <si>
    <t xml:space="preserve">Jose Wilkson Teixeira Rocha</t>
  </si>
  <si>
    <t xml:space="preserve">1 tirolce</t>
  </si>
  <si>
    <t xml:space="preserve">Willian Lira</t>
  </si>
  <si>
    <t xml:space="preserve">Willian Lira Sousa</t>
  </si>
  <si>
    <t xml:space="preserve">Yarley</t>
  </si>
  <si>
    <t xml:space="preserve">Yarley Alexandre da Silva</t>
  </si>
  <si>
    <t xml:space="preserve">Ytalo</t>
  </si>
  <si>
    <t xml:space="preserve">Ytalo de Souza Cavalcante</t>
  </si>
  <si>
    <t xml:space="preserve">Adriano dos Santos Rodrigues</t>
  </si>
  <si>
    <t xml:space="preserve">Adriano Bispo</t>
  </si>
  <si>
    <t xml:space="preserve">Adriano Sousa Bispo</t>
  </si>
  <si>
    <t xml:space="preserve">Airton Junior</t>
  </si>
  <si>
    <t xml:space="preserve">Airton Constantino do Nascimento</t>
  </si>
  <si>
    <t xml:space="preserve">Alberte</t>
  </si>
  <si>
    <t xml:space="preserve">Alberte Patricio Gomes</t>
  </si>
  <si>
    <t xml:space="preserve">Alexandre Talento</t>
  </si>
  <si>
    <t xml:space="preserve">Alexandre de Oliveira Macedo Junior</t>
  </si>
  <si>
    <t xml:space="preserve">Alexsandro Viana Fernandes</t>
  </si>
  <si>
    <t xml:space="preserve">Alison Araçoiaba</t>
  </si>
  <si>
    <t xml:space="preserve">Alison Vicente da Silva</t>
  </si>
  <si>
    <t xml:space="preserve">Anderson </t>
  </si>
  <si>
    <t xml:space="preserve">Anderson Fernandes Silveira</t>
  </si>
  <si>
    <t xml:space="preserve">Anderson Barbosa</t>
  </si>
  <si>
    <t xml:space="preserve">Anderson Santos Barbosa</t>
  </si>
  <si>
    <t xml:space="preserve">Anderson Magrao</t>
  </si>
  <si>
    <t xml:space="preserve">Anderson Portela de Araujo</t>
  </si>
  <si>
    <t xml:space="preserve">Andre Ramalho</t>
  </si>
  <si>
    <t xml:space="preserve">Andre Ramalho Silva</t>
  </si>
  <si>
    <t xml:space="preserve">Arnaldo</t>
  </si>
  <si>
    <t xml:space="preserve">Arnaldo Pereira da Silva</t>
  </si>
  <si>
    <t xml:space="preserve">Bira</t>
  </si>
  <si>
    <t xml:space="preserve">Erick Rodrigues da Silva</t>
  </si>
  <si>
    <t xml:space="preserve">Breno Felipe Cruz Araujo</t>
  </si>
  <si>
    <t xml:space="preserve">Breno Rayck</t>
  </si>
  <si>
    <t xml:space="preserve">Breno Rayck da Silva Mendes</t>
  </si>
  <si>
    <t xml:space="preserve">Bressan</t>
  </si>
  <si>
    <t xml:space="preserve">Matheus Simonete Bressane</t>
  </si>
  <si>
    <t xml:space="preserve">Bruno Gonçalves</t>
  </si>
  <si>
    <t xml:space="preserve">Bruno Gonçalves da Silva</t>
  </si>
  <si>
    <t xml:space="preserve">Café</t>
  </si>
  <si>
    <t xml:space="preserve">Luis Felipe Firmino Antonio</t>
  </si>
  <si>
    <t xml:space="preserve">Caio Cunha</t>
  </si>
  <si>
    <t xml:space="preserve">Caio Santos Cunha</t>
  </si>
  <si>
    <t xml:space="preserve">Carlos Baje</t>
  </si>
  <si>
    <t xml:space="preserve">Carlos Eduardo da Silva Machado</t>
  </si>
  <si>
    <t xml:space="preserve">Francisco das Chagas Aragujo Filho</t>
  </si>
  <si>
    <t xml:space="preserve">Clodo</t>
  </si>
  <si>
    <t xml:space="preserve">Cleverton da Silva Rocha</t>
  </si>
  <si>
    <t xml:space="preserve">Cuesta</t>
  </si>
  <si>
    <t xml:space="preserve">Carlos Eccehomo Cuesta Figueroa</t>
  </si>
  <si>
    <t xml:space="preserve">Da Ora</t>
  </si>
  <si>
    <t xml:space="preserve">Jonatan Da Ora</t>
  </si>
  <si>
    <t xml:space="preserve">Daniel Bocao</t>
  </si>
  <si>
    <t xml:space="preserve">Daniel Barreto de Souza</t>
  </si>
  <si>
    <t xml:space="preserve">Davi Pereira</t>
  </si>
  <si>
    <t xml:space="preserve">Davi dos Santos Pereira</t>
  </si>
  <si>
    <t xml:space="preserve">Dayveson</t>
  </si>
  <si>
    <t xml:space="preserve">Dayveson Mindelo Paz</t>
  </si>
  <si>
    <t xml:space="preserve">Diego Mori</t>
  </si>
  <si>
    <t xml:space="preserve">Diego Mori Tomaz de Oliveira</t>
  </si>
  <si>
    <t xml:space="preserve">Diogo Correia</t>
  </si>
  <si>
    <t xml:space="preserve">Diogo Correia de Oliveira Monteiro</t>
  </si>
  <si>
    <t xml:space="preserve">Emmanuel</t>
  </si>
  <si>
    <t xml:space="preserve">Emmanuel Fernando Vieira Santos</t>
  </si>
  <si>
    <t xml:space="preserve">Enze Lodovico</t>
  </si>
  <si>
    <t xml:space="preserve">Enzo Valentim Lodovico</t>
  </si>
  <si>
    <t xml:space="preserve">Eric Carral</t>
  </si>
  <si>
    <t xml:space="preserve">Eric Soeiro Souza</t>
  </si>
  <si>
    <t xml:space="preserve">Etoo</t>
  </si>
  <si>
    <t xml:space="preserve">Igor Sasculo dos Santos</t>
  </si>
  <si>
    <t xml:space="preserve">Ewerton Potiguar</t>
  </si>
  <si>
    <t xml:space="preserve">Ewerton da Silva Souza</t>
  </si>
  <si>
    <t xml:space="preserve">Felinto</t>
  </si>
  <si>
    <t xml:space="preserve">Felinto Arento da Silva</t>
  </si>
  <si>
    <t xml:space="preserve">Felipe Correa Costa</t>
  </si>
  <si>
    <t xml:space="preserve">Felipe Borges</t>
  </si>
  <si>
    <t xml:space="preserve">Felipe Pereira Borges</t>
  </si>
  <si>
    <t xml:space="preserve">Fidel</t>
  </si>
  <si>
    <t xml:space="preserve">Fidel Rocha dos Santos</t>
  </si>
  <si>
    <t xml:space="preserve">França</t>
  </si>
  <si>
    <t xml:space="preserve">Mateus Lima de Frnça</t>
  </si>
  <si>
    <t xml:space="preserve">Fauver Frank Mendes Braga</t>
  </si>
  <si>
    <t xml:space="preserve">Gabriel Bontempo</t>
  </si>
  <si>
    <t xml:space="preserve">Gabriel Morais Silva Bontempo</t>
  </si>
  <si>
    <t xml:space="preserve">Gabriel Fernandes</t>
  </si>
  <si>
    <t xml:space="preserve">Gabriel dos Santos Fernandes</t>
  </si>
  <si>
    <t xml:space="preserve">Gabriel Ramos</t>
  </si>
  <si>
    <t xml:space="preserve">Gabriel Ramos da Penha</t>
  </si>
  <si>
    <t xml:space="preserve">Gabriel Teixeira</t>
  </si>
  <si>
    <t xml:space="preserve">Gabriel Thiago Teixeira</t>
  </si>
  <si>
    <t xml:space="preserve">Gean</t>
  </si>
  <si>
    <t xml:space="preserve">Gean Carlos de Lima Araujo</t>
  </si>
  <si>
    <t xml:space="preserve">Geovani Silva dos Santos</t>
  </si>
  <si>
    <t xml:space="preserve">Gilberto Alemao</t>
  </si>
  <si>
    <t xml:space="preserve">Gilberto Carlos Marangoni</t>
  </si>
  <si>
    <t xml:space="preserve">Gu</t>
  </si>
  <si>
    <t xml:space="preserve">João Vitor Santos Lima</t>
  </si>
  <si>
    <t xml:space="preserve">Gui Negão</t>
  </si>
  <si>
    <t xml:space="preserve">Guilherme William Silva Inacio</t>
  </si>
  <si>
    <t xml:space="preserve">Guilherme Batista Givigi</t>
  </si>
  <si>
    <t xml:space="preserve">Guilherme Silveira</t>
  </si>
  <si>
    <t xml:space="preserve">Guilherme da Silva Silveira</t>
  </si>
  <si>
    <t xml:space="preserve">Gustavo Henrique</t>
  </si>
  <si>
    <t xml:space="preserve">Gustavo Henrique Vernes</t>
  </si>
  <si>
    <t xml:space="preserve">Hugo Alves Moreno</t>
  </si>
  <si>
    <t xml:space="preserve">Iago Amaral Borduchi</t>
  </si>
  <si>
    <t xml:space="preserve">Igor Badio</t>
  </si>
  <si>
    <t xml:space="preserve">Igor Badio Santos</t>
  </si>
  <si>
    <t xml:space="preserve">Italo Cruz Santos</t>
  </si>
  <si>
    <t xml:space="preserve">José Italo Monteiro Fidelis dos Santos</t>
  </si>
  <si>
    <t xml:space="preserve">Jailison</t>
  </si>
  <si>
    <t xml:space="preserve">Jalison Fernandes Ferreira</t>
  </si>
  <si>
    <t xml:space="preserve">Jair Amaral</t>
  </si>
  <si>
    <t xml:space="preserve">Jair Soares do Amaral</t>
  </si>
  <si>
    <t xml:space="preserve">Jardisson</t>
  </si>
  <si>
    <t xml:space="preserve">Luiz Jardisson sousa Silva</t>
  </si>
  <si>
    <t xml:space="preserve">Jean Carlos da Silva Lima</t>
  </si>
  <si>
    <t xml:space="preserve">Jhonatan Kauan</t>
  </si>
  <si>
    <t xml:space="preserve">Jhonatan kauan Eleoterio Diogo</t>
  </si>
  <si>
    <t xml:space="preserve">Jo</t>
  </si>
  <si>
    <t xml:space="preserve">Josivaldo Pereira Nunes</t>
  </si>
  <si>
    <t xml:space="preserve">João Cabral</t>
  </si>
  <si>
    <t xml:space="preserve">João Victor de Sousa Cabral</t>
  </si>
  <si>
    <t xml:space="preserve">João Vitor da Silva Lima</t>
  </si>
  <si>
    <t xml:space="preserve">Joaozinho</t>
  </si>
  <si>
    <t xml:space="preserve">Joao Vitor Monte Silva</t>
  </si>
  <si>
    <t xml:space="preserve">João Vitor Moraes Vasconcelos</t>
  </si>
  <si>
    <t xml:space="preserve">Joaquin Correa</t>
  </si>
  <si>
    <t xml:space="preserve">Carlos Joaquin Correa</t>
  </si>
  <si>
    <t xml:space="preserve">Kaiky</t>
  </si>
  <si>
    <t xml:space="preserve">Kaiky Silva Alcantara de Souza</t>
  </si>
  <si>
    <t xml:space="preserve">Kaique Kenji</t>
  </si>
  <si>
    <t xml:space="preserve">Kaique Kenji Takamura Correa</t>
  </si>
  <si>
    <t xml:space="preserve">Flavio Leite</t>
  </si>
  <si>
    <t xml:space="preserve">Kassinho</t>
  </si>
  <si>
    <t xml:space="preserve">Kassio Andrey da Silva Rocha</t>
  </si>
  <si>
    <t xml:space="preserve">Kaua Prates</t>
  </si>
  <si>
    <t xml:space="preserve">Kaua Prates de Almeida</t>
  </si>
  <si>
    <t xml:space="preserve">Kelvin</t>
  </si>
  <si>
    <t xml:space="preserve">Kelvin Giacobe Alves dos Santos</t>
  </si>
  <si>
    <t xml:space="preserve">Leilson</t>
  </si>
  <si>
    <t xml:space="preserve">Leilson Dantas de Oliveira</t>
  </si>
  <si>
    <t xml:space="preserve">Lico</t>
  </si>
  <si>
    <t xml:space="preserve">Pedro Henrique Gomes Venerozo</t>
  </si>
  <si>
    <t xml:space="preserve">Luan Oliveira</t>
  </si>
  <si>
    <t xml:space="preserve">Luan Oliveira da Silva</t>
  </si>
  <si>
    <t xml:space="preserve">Lucão</t>
  </si>
  <si>
    <t xml:space="preserve">Lucas da Silva Manoel</t>
  </si>
  <si>
    <t xml:space="preserve">Lucas Guerreiro</t>
  </si>
  <si>
    <t xml:space="preserve">Lucas da Silva Ribeiro</t>
  </si>
  <si>
    <t xml:space="preserve">Lucas Luiz</t>
  </si>
  <si>
    <t xml:space="preserve">Lucas Luiz da Silva</t>
  </si>
  <si>
    <t xml:space="preserve">Antonio Lucas dos Santos Lo</t>
  </si>
  <si>
    <t xml:space="preserve">Luis Antonio</t>
  </si>
  <si>
    <t xml:space="preserve">Luis Antonio Rodrigues Nunes</t>
  </si>
  <si>
    <t xml:space="preserve">Luis Felipe</t>
  </si>
  <si>
    <t xml:space="preserve">Luis Felipe da Silva Rodrigues</t>
  </si>
  <si>
    <t xml:space="preserve">Luis Fernando</t>
  </si>
  <si>
    <t xml:space="preserve">Luis Fernando Flavio Pedrosa</t>
  </si>
  <si>
    <t xml:space="preserve">Luis Gustavo Francisco Camilo</t>
  </si>
  <si>
    <t xml:space="preserve">Luiz Felipe Mathias Silva</t>
  </si>
  <si>
    <t xml:space="preserve">1 cuiabamt</t>
  </si>
  <si>
    <t xml:space="preserve">Luiz Filipe</t>
  </si>
  <si>
    <t xml:space="preserve">Luiz Filipe dos Reis Silva</t>
  </si>
  <si>
    <t xml:space="preserve">João Lucas Peres de Oliveira</t>
  </si>
  <si>
    <t xml:space="preserve">Maicon</t>
  </si>
  <si>
    <t xml:space="preserve">Maicon da Silva Moreira</t>
  </si>
  <si>
    <t xml:space="preserve">Maicon Paraíba</t>
  </si>
  <si>
    <t xml:space="preserve">Maicon dos Santos Lima</t>
  </si>
  <si>
    <t xml:space="preserve">Marcos Wilson da Silva</t>
  </si>
  <si>
    <t xml:space="preserve">Marco Gabriel</t>
  </si>
  <si>
    <t xml:space="preserve">Marco Gabriel de Oliveira Santos</t>
  </si>
  <si>
    <t xml:space="preserve">Marcus Vinicius</t>
  </si>
  <si>
    <t xml:space="preserve">Marcus Vinicius Miranda Moraes</t>
  </si>
  <si>
    <t xml:space="preserve">Marcos Antonio Severo dos Santos</t>
  </si>
  <si>
    <t xml:space="preserve">Marcos Rogerio Crespao Junior</t>
  </si>
  <si>
    <t xml:space="preserve">Matheus Felipe</t>
  </si>
  <si>
    <t xml:space="preserve">Matheus Felipe de Paulo Silva</t>
  </si>
  <si>
    <t xml:space="preserve">Matheus Goiano</t>
  </si>
  <si>
    <t xml:space="preserve">Matheus Carvalho Resende</t>
  </si>
  <si>
    <t xml:space="preserve">Matheusão</t>
  </si>
  <si>
    <t xml:space="preserve">Mateus da Silva Ramos</t>
  </si>
  <si>
    <t xml:space="preserve">Maycon de Sousa Palacio</t>
  </si>
  <si>
    <t xml:space="preserve">Michael Sillas de Almeida</t>
  </si>
  <si>
    <t xml:space="preserve">Montanha</t>
  </si>
  <si>
    <t xml:space="preserve">Wellington Fernandes Paiva</t>
  </si>
  <si>
    <t xml:space="preserve">Motta</t>
  </si>
  <si>
    <t xml:space="preserve">Gabriel da Motta Donha Fernandes</t>
  </si>
  <si>
    <t xml:space="preserve">Muller</t>
  </si>
  <si>
    <t xml:space="preserve">Muller Fagundes da Silva</t>
  </si>
  <si>
    <t xml:space="preserve">Nathan Rafael Pelae Cardoso</t>
  </si>
  <si>
    <t xml:space="preserve">Nino Mipibu</t>
  </si>
  <si>
    <t xml:space="preserve">Joseildo Mandu da Rocha</t>
  </si>
  <si>
    <t xml:space="preserve">Patrick Carvalho</t>
  </si>
  <si>
    <t xml:space="preserve">Patrick Carvalho dos Santos</t>
  </si>
  <si>
    <t xml:space="preserve">1 maranhaoma</t>
  </si>
  <si>
    <t xml:space="preserve">Patrick de Paula</t>
  </si>
  <si>
    <t xml:space="preserve">Patrick de Paula Carreiro</t>
  </si>
  <si>
    <t xml:space="preserve">Paulo Baya</t>
  </si>
  <si>
    <t xml:space="preserve">Paulo Henrique Silva Ribeiro</t>
  </si>
  <si>
    <t xml:space="preserve">Paulo Rodrigo</t>
  </si>
  <si>
    <t xml:space="preserve">Paulo Rodrigo Valdivino Bastos</t>
  </si>
  <si>
    <t xml:space="preserve">Pedro Henrique de Souza Correa</t>
  </si>
  <si>
    <t xml:space="preserve">Pedro Felipe dos Santos Sanana</t>
  </si>
  <si>
    <t xml:space="preserve">Pedro Furlan</t>
  </si>
  <si>
    <t xml:space="preserve">Pedro Henrique Furlan dos Santos</t>
  </si>
  <si>
    <t xml:space="preserve">Pedro Teixeira</t>
  </si>
  <si>
    <t xml:space="preserve">Pedro Emanuel Ramos Teixeira</t>
  </si>
  <si>
    <t xml:space="preserve">Plata</t>
  </si>
  <si>
    <t xml:space="preserve">Gonzalo Jordy Plata Jimenez</t>
  </si>
  <si>
    <t xml:space="preserve">Polaco</t>
  </si>
  <si>
    <t xml:space="preserve">Jardson Almeida Monteiro</t>
  </si>
  <si>
    <t xml:space="preserve">Rafael Ibiapino</t>
  </si>
  <si>
    <t xml:space="preserve">Rafael Justino Ibiapino</t>
  </si>
  <si>
    <t xml:space="preserve">Ramos</t>
  </si>
  <si>
    <t xml:space="preserve">José Ramos Ferreira Santos Filho</t>
  </si>
  <si>
    <t xml:space="preserve">Renato Marques</t>
  </si>
  <si>
    <t xml:space="preserve">Renato Marques de Oliveira Junior</t>
  </si>
  <si>
    <t xml:space="preserve">1 mirassolsp</t>
  </si>
  <si>
    <t xml:space="preserve">Reninha</t>
  </si>
  <si>
    <t xml:space="preserve">Reinaldo Valverde Fagundes</t>
  </si>
  <si>
    <t xml:space="preserve">Rian Davi</t>
  </si>
  <si>
    <t xml:space="preserve">Rian Davi Amaral Ferro</t>
  </si>
  <si>
    <t xml:space="preserve">Ricardo Lopes</t>
  </si>
  <si>
    <t xml:space="preserve">Ricardo Lopes Pereira</t>
  </si>
  <si>
    <t xml:space="preserve">Ricardo Sena</t>
  </si>
  <si>
    <t xml:space="preserve">Ricardo de Sena Marriel</t>
  </si>
  <si>
    <t xml:space="preserve">Rogerio Santos Sousa</t>
  </si>
  <si>
    <t xml:space="preserve">Roldan</t>
  </si>
  <si>
    <t xml:space="preserve">Matheus Roldan Santos</t>
  </si>
  <si>
    <t xml:space="preserve">Romario Costa Barroso</t>
  </si>
  <si>
    <t xml:space="preserve">Romo</t>
  </si>
  <si>
    <t xml:space="preserve">Romo Arles Mendes Barbosa Filho</t>
  </si>
  <si>
    <t xml:space="preserve">Ronald</t>
  </si>
  <si>
    <t xml:space="preserve">Ronald Barbosa Raposo</t>
  </si>
  <si>
    <t xml:space="preserve">Ronald Freitas Barbosa</t>
  </si>
  <si>
    <t xml:space="preserve">Ronaldo Mendes</t>
  </si>
  <si>
    <t xml:space="preserve">Ronaldo César mendes de Medeiros</t>
  </si>
  <si>
    <t xml:space="preserve">Ruan Americo da Silva</t>
  </si>
  <si>
    <t xml:space="preserve">Samuel Tiba</t>
  </si>
  <si>
    <t xml:space="preserve">Samuel Ethor Ferreira Guedes</t>
  </si>
  <si>
    <t xml:space="preserve">Silvinho</t>
  </si>
  <si>
    <t xml:space="preserve">Silvio Jose Cardoso Reis Junior</t>
  </si>
  <si>
    <t xml:space="preserve">Taua</t>
  </si>
  <si>
    <t xml:space="preserve">Taua Filipe de Souza Nascimento</t>
  </si>
  <si>
    <t xml:space="preserve">Thiago Rosa</t>
  </si>
  <si>
    <t xml:space="preserve">Thiago Rosa da Conceição</t>
  </si>
  <si>
    <t xml:space="preserve">Tiaguinho</t>
  </si>
  <si>
    <t xml:space="preserve">Francisco Tiago da Silva Santos</t>
  </si>
  <si>
    <t xml:space="preserve">Toquinho</t>
  </si>
  <si>
    <t xml:space="preserve">Gleyson da Conceição Silva</t>
  </si>
  <si>
    <t xml:space="preserve">Valdo Bacabal</t>
  </si>
  <si>
    <t xml:space="preserve">Francivaldo Lima Pereira</t>
  </si>
  <si>
    <t xml:space="preserve">Vicente</t>
  </si>
  <si>
    <t xml:space="preserve">Vicente de Paula Mercedes</t>
  </si>
  <si>
    <t xml:space="preserve">Viery</t>
  </si>
  <si>
    <t xml:space="preserve">Viery Fernandes Santos Lopes</t>
  </si>
  <si>
    <t xml:space="preserve">Victor Araujo de Alencar Oliveira</t>
  </si>
  <si>
    <t xml:space="preserve">Vitor Oliveira</t>
  </si>
  <si>
    <t xml:space="preserve">Vitor Oliveira dos Santos</t>
  </si>
  <si>
    <t xml:space="preserve">Wagner Chorão</t>
  </si>
  <si>
    <t xml:space="preserve">Wagner Alexandre Martins Pena</t>
  </si>
  <si>
    <t xml:space="preserve">Wagner Leonardo</t>
  </si>
  <si>
    <t xml:space="preserve">Wagner Leonardo Calvelo de Souza</t>
  </si>
  <si>
    <t xml:space="preserve">Wesley Pionteck</t>
  </si>
  <si>
    <t xml:space="preserve">Wesley Pionteck Souza</t>
  </si>
  <si>
    <t xml:space="preserve">William Barbio</t>
  </si>
  <si>
    <t xml:space="preserve">William Silva Gomes Barbio</t>
  </si>
  <si>
    <t xml:space="preserve">Yan Lucowicz Ribeiro Junqueira</t>
  </si>
  <si>
    <t xml:space="preserve">Yan Souto</t>
  </si>
  <si>
    <t xml:space="preserve">Yan da Cruz Souto</t>
  </si>
  <si>
    <t xml:space="preserve">Ygor de Almeida Vasconcelos</t>
  </si>
  <si>
    <t xml:space="preserve">Zé Augusto</t>
  </si>
  <si>
    <t xml:space="preserve">José Augusto da Silva Neto</t>
  </si>
  <si>
    <t xml:space="preserve">Zé Mendes</t>
  </si>
  <si>
    <t xml:space="preserve">Jose Mendes de Sousa Neto</t>
  </si>
  <si>
    <t xml:space="preserve">Zoeirinha</t>
  </si>
  <si>
    <t xml:space="preserve">Samuel Alexandre de Melo de Souza</t>
  </si>
  <si>
    <t xml:space="preserve">Afonso</t>
  </si>
  <si>
    <t xml:space="preserve">Stephannyo Afonso Lopes de Oliveira</t>
  </si>
  <si>
    <t xml:space="preserve">Alan Junior</t>
  </si>
  <si>
    <t xml:space="preserve">Alan Junior Martins Oliveira</t>
  </si>
  <si>
    <t xml:space="preserve">Aldo</t>
  </si>
  <si>
    <t xml:space="preserve">Aldo Rodrigues de Sousa</t>
  </si>
  <si>
    <t xml:space="preserve">Alex Cazumba</t>
  </si>
  <si>
    <t xml:space="preserve">Alex dos Santos Cazumba</t>
  </si>
  <si>
    <t xml:space="preserve">Alex Cicero</t>
  </si>
  <si>
    <t xml:space="preserve">Alex Cicero Silva</t>
  </si>
  <si>
    <t xml:space="preserve">Allef</t>
  </si>
  <si>
    <t xml:space="preserve">Allef de Freitas Rodrigues</t>
  </si>
  <si>
    <t xml:space="preserve">Arthur Melo</t>
  </si>
  <si>
    <t xml:space="preserve">Arthur Henrique Ramos de Oliveira Melo</t>
  </si>
  <si>
    <t xml:space="preserve">Ary Garcia</t>
  </si>
  <si>
    <t xml:space="preserve">Ary Eduardo Garcia Lima</t>
  </si>
  <si>
    <t xml:space="preserve">Bryan Gabriel</t>
  </si>
  <si>
    <t xml:space="preserve">Bryan Gabriel Fernandes</t>
  </si>
  <si>
    <t xml:space="preserve">Cardona</t>
  </si>
  <si>
    <t xml:space="preserve">Tomas Cardona</t>
  </si>
  <si>
    <t xml:space="preserve">Carlos Daniel</t>
  </si>
  <si>
    <t xml:space="preserve">Carlos Daniel de Medeiros Silva</t>
  </si>
  <si>
    <t xml:space="preserve">Chay</t>
  </si>
  <si>
    <t xml:space="preserve">Chayene Medeiros Oliveira Santos</t>
  </si>
  <si>
    <t xml:space="preserve">Cleiton da Conceição Araujo</t>
  </si>
  <si>
    <t xml:space="preserve">1 tombensemg</t>
  </si>
  <si>
    <t xml:space="preserve">Daniel Ribeiro Martins</t>
  </si>
  <si>
    <t xml:space="preserve">Danilo Magalhaes</t>
  </si>
  <si>
    <t xml:space="preserve">Danilo Augusto Da Silva Magalhães</t>
  </si>
  <si>
    <t xml:space="preserve">David dos Santos</t>
  </si>
  <si>
    <t xml:space="preserve">Dede</t>
  </si>
  <si>
    <t xml:space="preserve">Daniel dos Santos Ferreira</t>
  </si>
  <si>
    <t xml:space="preserve">Denilton</t>
  </si>
  <si>
    <t xml:space="preserve">Denilton Monçao Xavier da Silva</t>
  </si>
  <si>
    <t xml:space="preserve">Bruno Rafael Alves dos Santos</t>
  </si>
  <si>
    <t xml:space="preserve">Dharllyson</t>
  </si>
  <si>
    <t xml:space="preserve">Dharllyson Felipe da Silva Pinheiro</t>
  </si>
  <si>
    <t xml:space="preserve">Diego Marcos dos Santos</t>
  </si>
  <si>
    <t xml:space="preserve">Diego Mathias</t>
  </si>
  <si>
    <t xml:space="preserve">Diego Mathias de Almeida</t>
  </si>
  <si>
    <t xml:space="preserve">1 noroestesp</t>
  </si>
  <si>
    <t xml:space="preserve">Diego Eduardo Moreira</t>
  </si>
  <si>
    <t xml:space="preserve">Dielson</t>
  </si>
  <si>
    <t xml:space="preserve">Dielson Rodrigues Freitas</t>
  </si>
  <si>
    <t xml:space="preserve">1 confiancapb</t>
  </si>
  <si>
    <t xml:space="preserve">Dioran</t>
  </si>
  <si>
    <t xml:space="preserve">Dioran Peterson Nogueira Soares</t>
  </si>
  <si>
    <t xml:space="preserve">Dubilde</t>
  </si>
  <si>
    <t xml:space="preserve">Gabriel Santana Amaral da Silva</t>
  </si>
  <si>
    <t xml:space="preserve">Dudu Vieira</t>
  </si>
  <si>
    <t xml:space="preserve">Carlos Eduardo de Souza Vieira</t>
  </si>
  <si>
    <t xml:space="preserve">Edu</t>
  </si>
  <si>
    <t xml:space="preserve">Eduardo Cerdan Alves Franco</t>
  </si>
  <si>
    <t xml:space="preserve">Elias Lira Nogueira Junior</t>
  </si>
  <si>
    <t xml:space="preserve">Estevão</t>
  </si>
  <si>
    <t xml:space="preserve">Estevao Barreto de Oliveira</t>
  </si>
  <si>
    <t xml:space="preserve">Fabio Augusto Luciano da Silva</t>
  </si>
  <si>
    <t xml:space="preserve">Felipe da Silva Nascimento</t>
  </si>
  <si>
    <t xml:space="preserve">Gabriel Ataliba</t>
  </si>
  <si>
    <t xml:space="preserve">Gabriel Henrique Horacio Ataliba</t>
  </si>
  <si>
    <t xml:space="preserve">Gabriel Caran</t>
  </si>
  <si>
    <t xml:space="preserve">Gabriel Caran de Oliveira</t>
  </si>
  <si>
    <t xml:space="preserve">Gabriel Henrique</t>
  </si>
  <si>
    <t xml:space="preserve">Gabriel Henrique Silva Ferreira</t>
  </si>
  <si>
    <t xml:space="preserve">Gabriel Vidal</t>
  </si>
  <si>
    <t xml:space="preserve">Gabriel de Aviz Vidal</t>
  </si>
  <si>
    <t xml:space="preserve">Gabriel Zeca</t>
  </si>
  <si>
    <t xml:space="preserve">Garcez</t>
  </si>
  <si>
    <t xml:space="preserve">Mauricio Garcez de Jesus</t>
  </si>
  <si>
    <t xml:space="preserve">1 avaisc</t>
  </si>
  <si>
    <t xml:space="preserve">Gean Carlos Morais Almeida</t>
  </si>
  <si>
    <t xml:space="preserve">Geovane</t>
  </si>
  <si>
    <t xml:space="preserve">Geovane Henrique Pereira </t>
  </si>
  <si>
    <t xml:space="preserve">Getulio</t>
  </si>
  <si>
    <t xml:space="preserve">Getulio Wandelly Silva Timoteo</t>
  </si>
  <si>
    <t xml:space="preserve">Gualberto</t>
  </si>
  <si>
    <t xml:space="preserve">Victor Gualberto Araujo</t>
  </si>
  <si>
    <t xml:space="preserve">Guilherme Barbosa</t>
  </si>
  <si>
    <t xml:space="preserve">José Guilherme Medeiros Oliveira</t>
  </si>
  <si>
    <t xml:space="preserve">Guilherme Café</t>
  </si>
  <si>
    <t xml:space="preserve">Guilherme Aparecido Silverio</t>
  </si>
  <si>
    <t xml:space="preserve">Guilherme Costa</t>
  </si>
  <si>
    <t xml:space="preserve">Guilherme Costa Macedo</t>
  </si>
  <si>
    <t xml:space="preserve">Guilherme Mota</t>
  </si>
  <si>
    <t xml:space="preserve">Guilherme Antonio Mota do Nascimento</t>
  </si>
  <si>
    <t xml:space="preserve">Gustavo Henrique de Souza Apolinario</t>
  </si>
  <si>
    <t xml:space="preserve">Henrique</t>
  </si>
  <si>
    <t xml:space="preserve">Henrique Avila da Silva Pedrozo</t>
  </si>
  <si>
    <t xml:space="preserve">Henrique Vigia</t>
  </si>
  <si>
    <t xml:space="preserve">Luis Henrique do Rosario Martins</t>
  </si>
  <si>
    <t xml:space="preserve">Hugo Borges</t>
  </si>
  <si>
    <t xml:space="preserve">Hugo da Conceição Medeiros Borges</t>
  </si>
  <si>
    <t xml:space="preserve">Hygor Gabriel Conceição Carvalho</t>
  </si>
  <si>
    <t xml:space="preserve">Iago Tipizal</t>
  </si>
  <si>
    <t xml:space="preserve">Janderson Iago Sa da Silva</t>
  </si>
  <si>
    <t xml:space="preserve">Ian Augusto</t>
  </si>
  <si>
    <t xml:space="preserve">Ian Augusto de Almeida Ribeiro</t>
  </si>
  <si>
    <t xml:space="preserve">Igor Reis</t>
  </si>
  <si>
    <t xml:space="preserve">Igor Reis de Almeida</t>
  </si>
  <si>
    <t xml:space="preserve">Israel Alves de Macedo</t>
  </si>
  <si>
    <t xml:space="preserve">Jair</t>
  </si>
  <si>
    <t xml:space="preserve">Jair da Cruz Pilar</t>
  </si>
  <si>
    <t xml:space="preserve">Jakão</t>
  </si>
  <si>
    <t xml:space="preserve">Jackson Matos Souza</t>
  </si>
  <si>
    <t xml:space="preserve">Jean Irmer</t>
  </si>
  <si>
    <t xml:space="preserve">Jean Carlos de Souza Irmer</t>
  </si>
  <si>
    <t xml:space="preserve">Jeferson Baré</t>
  </si>
  <si>
    <t xml:space="preserve">Jefferson da Silva Rodrigues</t>
  </si>
  <si>
    <t xml:space="preserve">Jefferson Baiano</t>
  </si>
  <si>
    <t xml:space="preserve">Jefferson Silva dos Santos</t>
  </si>
  <si>
    <t xml:space="preserve">Jefferson Renan</t>
  </si>
  <si>
    <t xml:space="preserve">Jefferson Renan da Silva</t>
  </si>
  <si>
    <t xml:space="preserve">Jhony Douglas</t>
  </si>
  <si>
    <t xml:space="preserve">Jhony Douglas Santiago</t>
  </si>
  <si>
    <t xml:space="preserve">Joao Gabriel</t>
  </si>
  <si>
    <t xml:space="preserve">João Gabriel dos Santos</t>
  </si>
  <si>
    <t xml:space="preserve">João Gabriel</t>
  </si>
  <si>
    <t xml:space="preserve">João Gabriel da Cruz Souza</t>
  </si>
  <si>
    <t xml:space="preserve">João Monteiro</t>
  </si>
  <si>
    <t xml:space="preserve">João Victor Monteiro de Jesus</t>
  </si>
  <si>
    <t xml:space="preserve">João Tavares</t>
  </si>
  <si>
    <t xml:space="preserve">João Vitor Tavares da Mota</t>
  </si>
  <si>
    <t xml:space="preserve">João Vitor Jansen Nunes</t>
  </si>
  <si>
    <t xml:space="preserve">Joao Vitor Calheiro da Paz</t>
  </si>
  <si>
    <t xml:space="preserve">Joel</t>
  </si>
  <si>
    <t xml:space="preserve">Joelisson dos Santos Farias</t>
  </si>
  <si>
    <t xml:space="preserve">Jonathan nLisboa Schmidt</t>
  </si>
  <si>
    <t xml:space="preserve">Jonathan Cabeça</t>
  </si>
  <si>
    <t xml:space="preserve">Jonathan Miranda da Silva Mendes</t>
  </si>
  <si>
    <t xml:space="preserve">Junior Paiva</t>
  </si>
  <si>
    <t xml:space="preserve">Gilberto Paiva Gonçalves Junior</t>
  </si>
  <si>
    <t xml:space="preserve">Junior Todinho</t>
  </si>
  <si>
    <t xml:space="preserve">Geremias Ribeiro Junior</t>
  </si>
  <si>
    <t xml:space="preserve">Junior Viçosa</t>
  </si>
  <si>
    <t xml:space="preserve">Luiz Severo Junior</t>
  </si>
  <si>
    <t xml:space="preserve">Kaue Fernandes</t>
  </si>
  <si>
    <t xml:space="preserve">Kaue Fernandes de Barros Falhardo</t>
  </si>
  <si>
    <t xml:space="preserve">Kleverson</t>
  </si>
  <si>
    <t xml:space="preserve">Kleverson Campos Bueno</t>
  </si>
  <si>
    <t xml:space="preserve">Lauro</t>
  </si>
  <si>
    <t xml:space="preserve">Lauro Martins Barros Junior</t>
  </si>
  <si>
    <t xml:space="preserve">Lawan</t>
  </si>
  <si>
    <t xml:space="preserve">Lawan Kennyd Gabriel Saantos</t>
  </si>
  <si>
    <t xml:space="preserve">Leo Alves</t>
  </si>
  <si>
    <t xml:space="preserve">Leonardo Martins Alves</t>
  </si>
  <si>
    <t xml:space="preserve">Leo Campos</t>
  </si>
  <si>
    <t xml:space="preserve">Leonardo de Campos</t>
  </si>
  <si>
    <t xml:space="preserve">Leylon</t>
  </si>
  <si>
    <t xml:space="preserve">Jakson Leylon de Souza Oliveira</t>
  </si>
  <si>
    <t xml:space="preserve">Luan Robert de Oliveira</t>
  </si>
  <si>
    <t xml:space="preserve">Luan Davidson</t>
  </si>
  <si>
    <t xml:space="preserve">Luan Davidson Lima Ferreira</t>
  </si>
  <si>
    <t xml:space="preserve">Lucas Barboza</t>
  </si>
  <si>
    <t xml:space="preserve">Lucas Barboza Rodrigues</t>
  </si>
  <si>
    <t xml:space="preserve">Luis Soares</t>
  </si>
  <si>
    <t xml:space="preserve">Anildson Luis da Silva Soares</t>
  </si>
  <si>
    <t xml:space="preserve">Luiz Gustavo</t>
  </si>
  <si>
    <t xml:space="preserve">Luiz Gustavo Dias</t>
  </si>
  <si>
    <t xml:space="preserve">Luiz Henrique dos Santos Junior</t>
  </si>
  <si>
    <t xml:space="preserve">Maicon Pereira Roque</t>
  </si>
  <si>
    <t xml:space="preserve">Mancuso</t>
  </si>
  <si>
    <t xml:space="preserve">Lucas Mancuso Lemos</t>
  </si>
  <si>
    <t xml:space="preserve">Mario Victor</t>
  </si>
  <si>
    <t xml:space="preserve">Mario Victor Santos Gonçalves</t>
  </si>
  <si>
    <t xml:space="preserve">Marcos Vinicius Nayssinho</t>
  </si>
  <si>
    <t xml:space="preserve">Mateus Silva</t>
  </si>
  <si>
    <t xml:space="preserve">Mateus da Silva Duarte</t>
  </si>
  <si>
    <t xml:space="preserve">Matheus Obina</t>
  </si>
  <si>
    <t xml:space="preserve">Matheus Dias Medeiros</t>
  </si>
  <si>
    <t xml:space="preserve">Matheus Roberto</t>
  </si>
  <si>
    <t xml:space="preserve">Matheus Roberto Miranda de Freitas</t>
  </si>
  <si>
    <t xml:space="preserve">Mathues Abreu</t>
  </si>
  <si>
    <t xml:space="preserve">Matheus de Melo Abreu</t>
  </si>
  <si>
    <t xml:space="preserve">Mugni</t>
  </si>
  <si>
    <t xml:space="preserve">Lucas Andres Mugni</t>
  </si>
  <si>
    <t xml:space="preserve">Murilo Santos Nepomuceno</t>
  </si>
  <si>
    <t xml:space="preserve">Neto Pessoa</t>
  </si>
  <si>
    <t xml:space="preserve">Altemir Cordeiro Pessoa Neto</t>
  </si>
  <si>
    <t xml:space="preserve">Nicolas Oliveira da Costa</t>
  </si>
  <si>
    <t xml:space="preserve">Oliver</t>
  </si>
  <si>
    <t xml:space="preserve">Oliver Fricks Colodete</t>
  </si>
  <si>
    <t xml:space="preserve">Pablinho</t>
  </si>
  <si>
    <t xml:space="preserve">Pablo Henrique Lacereda Marques</t>
  </si>
  <si>
    <t xml:space="preserve">Patrick Reis</t>
  </si>
  <si>
    <t xml:space="preserve">Patrick Silva Reis</t>
  </si>
  <si>
    <t xml:space="preserve">Paulo Matheus</t>
  </si>
  <si>
    <t xml:space="preserve">Paulo Matheus da Costa Silva</t>
  </si>
  <si>
    <t xml:space="preserve">Paulo Vitor</t>
  </si>
  <si>
    <t xml:space="preserve">Paulo Vitor Monteiro</t>
  </si>
  <si>
    <t xml:space="preserve">Peçanha</t>
  </si>
  <si>
    <t xml:space="preserve">Pedro Henrique Peçanha</t>
  </si>
  <si>
    <t xml:space="preserve">Pedro Arthur</t>
  </si>
  <si>
    <t xml:space="preserve">Pedro Arthur Lopes de Jesus</t>
  </si>
  <si>
    <t xml:space="preserve">Pedro Carrerete</t>
  </si>
  <si>
    <t xml:space="preserve">Pedro Henrique Carrerette Lima</t>
  </si>
  <si>
    <t xml:space="preserve">Pedro Neto</t>
  </si>
  <si>
    <t xml:space="preserve">Pedro José Dorneles Santos</t>
  </si>
  <si>
    <t xml:space="preserve">PV</t>
  </si>
  <si>
    <t xml:space="preserve">Paulo Victor Cantuario Araujo</t>
  </si>
  <si>
    <t xml:space="preserve">Rafael Nogueira Miranda</t>
  </si>
  <si>
    <t xml:space="preserve">Reginaldo Lopes de Jesus</t>
  </si>
  <si>
    <t xml:space="preserve">Robson Ferreira de Azevedo</t>
  </si>
  <si>
    <t xml:space="preserve">Rochinha</t>
  </si>
  <si>
    <t xml:space="preserve">José Antonio da Rocha Santos</t>
  </si>
  <si>
    <t xml:space="preserve">Rodrigo Carioca</t>
  </si>
  <si>
    <t xml:space="preserve">Rodrigo Porto Bezerra</t>
  </si>
  <si>
    <t xml:space="preserve">Sammuel</t>
  </si>
  <si>
    <t xml:space="preserve">Sammuel Queiroz de Freitas</t>
  </si>
  <si>
    <t xml:space="preserve">Samuel Silva</t>
  </si>
  <si>
    <t xml:space="preserve">Samuel Expedito da Silva Sousa</t>
  </si>
  <si>
    <t xml:space="preserve">Saulo</t>
  </si>
  <si>
    <t xml:space="preserve">Saulo Portela de Aquino</t>
  </si>
  <si>
    <t xml:space="preserve">Sergio Antonio Borges Junior</t>
  </si>
  <si>
    <t xml:space="preserve">Tarzia</t>
  </si>
  <si>
    <t xml:space="preserve">Diego Tarzia</t>
  </si>
  <si>
    <t xml:space="preserve">Tche Tche</t>
  </si>
  <si>
    <t xml:space="preserve">Davi Luis Cunha Vilela</t>
  </si>
  <si>
    <t xml:space="preserve">Thalisson Souza Alves</t>
  </si>
  <si>
    <t xml:space="preserve">Thallyson Gabriel Lobo Seabra</t>
  </si>
  <si>
    <t xml:space="preserve">Thiago Alagoano</t>
  </si>
  <si>
    <t xml:space="preserve">Luiz Carlos Marques Lima</t>
  </si>
  <si>
    <t xml:space="preserve">Thiago Andre</t>
  </si>
  <si>
    <t xml:space="preserve">Thiago Saturnino André</t>
  </si>
  <si>
    <t xml:space="preserve">Thiago Freitas</t>
  </si>
  <si>
    <t xml:space="preserve">Thiago Figueira de Freitas</t>
  </si>
  <si>
    <t xml:space="preserve">Thiago Rubim</t>
  </si>
  <si>
    <t xml:space="preserve">Thiago Canavez Rubim</t>
  </si>
  <si>
    <t xml:space="preserve">Thiago Tinoco</t>
  </si>
  <si>
    <t xml:space="preserve">Thiago Souza dos Santos Tinoco</t>
  </si>
  <si>
    <t xml:space="preserve">Thiago Henrique Moraes</t>
  </si>
  <si>
    <t xml:space="preserve">Tiago Amazonense</t>
  </si>
  <si>
    <t xml:space="preserve">Tiago Costa da Silva</t>
  </si>
  <si>
    <t xml:space="preserve">1 saoraimundoam</t>
  </si>
  <si>
    <t xml:space="preserve">Valber</t>
  </si>
  <si>
    <t xml:space="preserve">Valber Badia dos Santos</t>
  </si>
  <si>
    <t xml:space="preserve">Victor Hugo Marcelino Marques</t>
  </si>
  <si>
    <t xml:space="preserve">Vilar</t>
  </si>
  <si>
    <t xml:space="preserve">Gustavo Vilar dos Santos</t>
  </si>
  <si>
    <t xml:space="preserve">Vinicius Tavares</t>
  </si>
  <si>
    <t xml:space="preserve">Vinicius de Oliveira Tavares</t>
  </si>
  <si>
    <t xml:space="preserve">Wagner Manaus</t>
  </si>
  <si>
    <t xml:space="preserve">Wagner Pinheiro Faria</t>
  </si>
  <si>
    <t xml:space="preserve">Wandinho</t>
  </si>
  <si>
    <t xml:space="preserve">Wanderson Barbosa da Silva</t>
  </si>
  <si>
    <t xml:space="preserve">Warley</t>
  </si>
  <si>
    <t xml:space="preserve">Warley Armentano dos Santos</t>
  </si>
  <si>
    <t xml:space="preserve">Weslley</t>
  </si>
  <si>
    <t xml:space="preserve">Weslley Geovanne Paixão</t>
  </si>
  <si>
    <t xml:space="preserve">Williams Bahia</t>
  </si>
  <si>
    <t xml:space="preserve">Williams Sivla dos Santos</t>
  </si>
  <si>
    <t xml:space="preserve">Xilu</t>
  </si>
  <si>
    <t xml:space="preserve">Felix Pontes da Silva</t>
  </si>
  <si>
    <t xml:space="preserve">Yann Benitez</t>
  </si>
  <si>
    <t xml:space="preserve">Yann David dos Santos Baldez</t>
  </si>
  <si>
    <t xml:space="preserve">Yuri Borges</t>
  </si>
  <si>
    <t xml:space="preserve">Yuri Borges Diogenes</t>
  </si>
  <si>
    <t xml:space="preserve">Ze Lucas</t>
  </si>
  <si>
    <t xml:space="preserve">José Lucas Herculino de Araujo</t>
  </si>
  <si>
    <t xml:space="preserve">Zé Rafael</t>
  </si>
  <si>
    <t xml:space="preserve">José Rafael Vivian</t>
  </si>
  <si>
    <t xml:space="preserve">Adryel Itaqui</t>
  </si>
  <si>
    <t xml:space="preserve">Adryel Silva de Almeida</t>
  </si>
  <si>
    <t xml:space="preserve">Alan Ferreira de Amorim</t>
  </si>
  <si>
    <t xml:space="preserve">Alexandre Pena</t>
  </si>
  <si>
    <t xml:space="preserve">Alexandre Cesar Santos Ribeiro</t>
  </si>
  <si>
    <t xml:space="preserve">1 pousoalegremg</t>
  </si>
  <si>
    <t xml:space="preserve">Andre dos Santos Rocha</t>
  </si>
  <si>
    <t xml:space="preserve">Andre Luis</t>
  </si>
  <si>
    <t xml:space="preserve">Andre Luis Silva de Aguiar</t>
  </si>
  <si>
    <t xml:space="preserve">Antonio Villa</t>
  </si>
  <si>
    <t xml:space="preserve">Antonio Carlos Villa Flor Brito Filho</t>
  </si>
  <si>
    <t xml:space="preserve">Araujo</t>
  </si>
  <si>
    <t xml:space="preserve">Teodoro Junio Barbosa de Araujo</t>
  </si>
  <si>
    <t xml:space="preserve">Bere</t>
  </si>
  <si>
    <t xml:space="preserve">Juan Batista Gonçalves Lemes</t>
  </si>
  <si>
    <t xml:space="preserve">Blanco</t>
  </si>
  <si>
    <t xml:space="preserve">Oswaldo Enrique Blanco Mancilla</t>
  </si>
  <si>
    <t xml:space="preserve">Bruno Jesus</t>
  </si>
  <si>
    <t xml:space="preserve">Bruno Wavzinkevicz Ribeiro</t>
  </si>
  <si>
    <t xml:space="preserve">Bruno Leite</t>
  </si>
  <si>
    <t xml:space="preserve">Bruno da Silva Costa Leite</t>
  </si>
  <si>
    <t xml:space="preserve">Bruno Vinicius</t>
  </si>
  <si>
    <t xml:space="preserve">Bruno Vinicius Simão Elesbão</t>
  </si>
  <si>
    <t xml:space="preserve">Cezar Juru</t>
  </si>
  <si>
    <t xml:space="preserve">Julio Cezar Elias Pereira dos Santos</t>
  </si>
  <si>
    <t xml:space="preserve">Cleriston</t>
  </si>
  <si>
    <t xml:space="preserve">Jose Cleriston de Jesus Santos</t>
  </si>
  <si>
    <t xml:space="preserve">Marcos Danilo Mendes Santos</t>
  </si>
  <si>
    <t xml:space="preserve">Dankler</t>
  </si>
  <si>
    <t xml:space="preserve">Dankler Luis de Jesus Pedreira</t>
  </si>
  <si>
    <t xml:space="preserve">Darlan</t>
  </si>
  <si>
    <t xml:space="preserve">Danlan Bispo Damasceno</t>
  </si>
  <si>
    <t xml:space="preserve">David Braga</t>
  </si>
  <si>
    <t xml:space="preserve">David Francisco Trindade Braga</t>
  </si>
  <si>
    <t xml:space="preserve">Vitor Hugo Oliveira Correia da Silva</t>
  </si>
  <si>
    <t xml:space="preserve">Denilson Santana Lemos dos Santos</t>
  </si>
  <si>
    <t xml:space="preserve">Diego Fracarolli</t>
  </si>
  <si>
    <t xml:space="preserve">Diego Fracarolli Pacheco</t>
  </si>
  <si>
    <t xml:space="preserve">Diguinho</t>
  </si>
  <si>
    <t xml:space="preserve">Francisco Rodrigo de Sousa Barbosa</t>
  </si>
  <si>
    <t xml:space="preserve">Diogo Silva</t>
  </si>
  <si>
    <t xml:space="preserve">Diogo Rodrigo de Morais da Silva</t>
  </si>
  <si>
    <t xml:space="preserve">Dioguinho</t>
  </si>
  <si>
    <t xml:space="preserve">Diogo Nicolau Nogueira</t>
  </si>
  <si>
    <t xml:space="preserve">Dyego Luis</t>
  </si>
  <si>
    <t xml:space="preserve">Dyego Luis da Paz Nascimento</t>
  </si>
  <si>
    <t xml:space="preserve">Eder Batista</t>
  </si>
  <si>
    <t xml:space="preserve">Eder Teixeira Batista</t>
  </si>
  <si>
    <t xml:space="preserve">Edson Kapa</t>
  </si>
  <si>
    <t xml:space="preserve">Edson Souza da Silva</t>
  </si>
  <si>
    <t xml:space="preserve">Eduardo Leite</t>
  </si>
  <si>
    <t xml:space="preserve">Eduardo Leite Oliveira</t>
  </si>
  <si>
    <t xml:space="preserve">Emerson de Carvalho Santos</t>
  </si>
  <si>
    <t xml:space="preserve">Enzo Faria</t>
  </si>
  <si>
    <t xml:space="preserve">Enzo Faria Chiquie Ali</t>
  </si>
  <si>
    <t xml:space="preserve">Everton</t>
  </si>
  <si>
    <t xml:space="preserve">Everton Sousa Ribeiro</t>
  </si>
  <si>
    <t xml:space="preserve">Everton Brito</t>
  </si>
  <si>
    <t xml:space="preserve">Everton Sidnei de Brito</t>
  </si>
  <si>
    <t xml:space="preserve">Everton Ribeiro</t>
  </si>
  <si>
    <t xml:space="preserve">Everton Augusto de Barros Ribeiro</t>
  </si>
  <si>
    <t xml:space="preserve">Evinho</t>
  </si>
  <si>
    <t xml:space="preserve">José Everton da Silva Batista</t>
  </si>
  <si>
    <t xml:space="preserve">Luiz Felipe Nazaré da Silva</t>
  </si>
  <si>
    <t xml:space="preserve">Fernando dos Santos Pedro</t>
  </si>
  <si>
    <t xml:space="preserve">Fernando Dias</t>
  </si>
  <si>
    <t xml:space="preserve">Fernando Dias Monteiro</t>
  </si>
  <si>
    <t xml:space="preserve">Fernando Neto</t>
  </si>
  <si>
    <t xml:space="preserve">Fernando José da Cunha Neto</t>
  </si>
  <si>
    <t xml:space="preserve">Fredi</t>
  </si>
  <si>
    <t xml:space="preserve">Frederico Lippert Neto Gomes</t>
  </si>
  <si>
    <t xml:space="preserve">Gabriel Masson</t>
  </si>
  <si>
    <t xml:space="preserve">Gabriel Luan Masson</t>
  </si>
  <si>
    <t xml:space="preserve">Gabriel Rocha</t>
  </si>
  <si>
    <t xml:space="preserve">Gabriel Santos Rocha</t>
  </si>
  <si>
    <t xml:space="preserve">Gabriel Santiago</t>
  </si>
  <si>
    <t xml:space="preserve">Gabriel Santiago Oliveira</t>
  </si>
  <si>
    <t xml:space="preserve">Gabriel Terra</t>
  </si>
  <si>
    <t xml:space="preserve">Gabriel Martins Terra</t>
  </si>
  <si>
    <t xml:space="preserve">João Victor Rodrigues Galdino</t>
  </si>
  <si>
    <t xml:space="preserve">Geovane do Rosário Barroso</t>
  </si>
  <si>
    <t xml:space="preserve">Grigor</t>
  </si>
  <si>
    <t xml:space="preserve">Grigor Fernandes da Silva</t>
  </si>
  <si>
    <t xml:space="preserve">Gui Nascimento</t>
  </si>
  <si>
    <t xml:space="preserve">Guilherme Rodrigues Nascimento</t>
  </si>
  <si>
    <t xml:space="preserve">Guilherme Escuro</t>
  </si>
  <si>
    <t xml:space="preserve">Guilherme Maximiano dos Santos</t>
  </si>
  <si>
    <t xml:space="preserve">Guilherme Parede</t>
  </si>
  <si>
    <t xml:space="preserve">Guilherme Parede Pinheiro</t>
  </si>
  <si>
    <t xml:space="preserve">Gustavo Furtado</t>
  </si>
  <si>
    <t xml:space="preserve">Gustavo Luiz Furtado</t>
  </si>
  <si>
    <t xml:space="preserve">Henrico</t>
  </si>
  <si>
    <t xml:space="preserve">Henrico Jabour Coura</t>
  </si>
  <si>
    <t xml:space="preserve">Ian Luccas</t>
  </si>
  <si>
    <t xml:space="preserve">Ian Luccas Baroni Boetto</t>
  </si>
  <si>
    <t xml:space="preserve">Iarley Brito Gonçalves</t>
  </si>
  <si>
    <t xml:space="preserve">Igor Nunes</t>
  </si>
  <si>
    <t xml:space="preserve">José Igor Nunes Lima</t>
  </si>
  <si>
    <t xml:space="preserve">Igor Rodrigues</t>
  </si>
  <si>
    <t xml:space="preserve">Igor Rodrigues dos Santos</t>
  </si>
  <si>
    <t xml:space="preserve">Pedro Inacio dos Santos Ferreira</t>
  </si>
  <si>
    <t xml:space="preserve">Ingro</t>
  </si>
  <si>
    <t xml:space="preserve">Ingro Marreiros da Cruz</t>
  </si>
  <si>
    <t xml:space="preserve">1 uberlandiamg</t>
  </si>
  <si>
    <t xml:space="preserve">Italo Caua</t>
  </si>
  <si>
    <t xml:space="preserve">Italo Caua Lima de Souza</t>
  </si>
  <si>
    <t xml:space="preserve">Jadson Jupi</t>
  </si>
  <si>
    <t xml:space="preserve">Jadson do Nascimento Jupi</t>
  </si>
  <si>
    <t xml:space="preserve">Jarles Baiano</t>
  </si>
  <si>
    <t xml:space="preserve">Jarles Pereira Santana</t>
  </si>
  <si>
    <t xml:space="preserve">Jean Cleber</t>
  </si>
  <si>
    <t xml:space="preserve">Jean Cleber Santos da Silva</t>
  </si>
  <si>
    <t xml:space="preserve">Jefferson Reis Soares</t>
  </si>
  <si>
    <t xml:space="preserve">Jeffin</t>
  </si>
  <si>
    <t xml:space="preserve">Jefferson da Silva Gregório</t>
  </si>
  <si>
    <t xml:space="preserve">Jhonata Varela</t>
  </si>
  <si>
    <t xml:space="preserve">Jhonata Varela da Silva</t>
  </si>
  <si>
    <t xml:space="preserve">Jhonata Araújo da Conceição</t>
  </si>
  <si>
    <t xml:space="preserve">Johnes Jararaca</t>
  </si>
  <si>
    <t xml:space="preserve">Johnes Santos Piedade</t>
  </si>
  <si>
    <t xml:space="preserve">Jonas Ferreira Moraes</t>
  </si>
  <si>
    <t xml:space="preserve">1 chapadamt</t>
  </si>
  <si>
    <t xml:space="preserve">Jonathan Costa</t>
  </si>
  <si>
    <t xml:space="preserve">Jonathan Aparecido de Oliveiraa</t>
  </si>
  <si>
    <t xml:space="preserve">Julio</t>
  </si>
  <si>
    <t xml:space="preserve">Júlio César Alves da Silva</t>
  </si>
  <si>
    <t xml:space="preserve">Kayk</t>
  </si>
  <si>
    <t xml:space="preserve">Kayk Alboes da Silva</t>
  </si>
  <si>
    <t xml:space="preserve">Kiko</t>
  </si>
  <si>
    <t xml:space="preserve">Renato Vinicius da Silva Souza</t>
  </si>
  <si>
    <t xml:space="preserve">Leandro Pinto Bernardo</t>
  </si>
  <si>
    <t xml:space="preserve">Lenon</t>
  </si>
  <si>
    <t xml:space="preserve">Lenon Fernandes Ribeiro</t>
  </si>
  <si>
    <t xml:space="preserve">Lua Niger</t>
  </si>
  <si>
    <t xml:space="preserve">Lua Niger Silva de Souza</t>
  </si>
  <si>
    <t xml:space="preserve">Luan de Sousa Barros</t>
  </si>
  <si>
    <t xml:space="preserve">Luan Capanni</t>
  </si>
  <si>
    <t xml:space="preserve">Luan David Capanni Dias</t>
  </si>
  <si>
    <t xml:space="preserve">Luan Souza</t>
  </si>
  <si>
    <t xml:space="preserve">Luan Andrade de Souza</t>
  </si>
  <si>
    <t xml:space="preserve">Lucas Rafael Gonçalves da Silva</t>
  </si>
  <si>
    <t xml:space="preserve">Lucas da Silva Izidoro</t>
  </si>
  <si>
    <t xml:space="preserve">Luis Felipe Cristino Brito da Silva</t>
  </si>
  <si>
    <t xml:space="preserve">Luis Gregorio</t>
  </si>
  <si>
    <t xml:space="preserve">Luis Felipe Dias Gregorio</t>
  </si>
  <si>
    <t xml:space="preserve">Luiz Fernando Sampaio</t>
  </si>
  <si>
    <t xml:space="preserve">Luiz Otavio Alves Marcolino</t>
  </si>
  <si>
    <t xml:space="preserve">1 veloclubesp</t>
  </si>
  <si>
    <t xml:space="preserve">Luis Henrique Alves Angelo</t>
  </si>
  <si>
    <t xml:space="preserve">Luan Chaves Morais Rodrigues</t>
  </si>
  <si>
    <t xml:space="preserve">Lucas Eduardo Gomes da Silva</t>
  </si>
  <si>
    <t xml:space="preserve">Marcio</t>
  </si>
  <si>
    <t xml:space="preserve">Marcio Vicente Barbosa</t>
  </si>
  <si>
    <t xml:space="preserve">Marcos Paulo da Conceição Couto</t>
  </si>
  <si>
    <t xml:space="preserve">Marcus Paulo Sousa Oliveira</t>
  </si>
  <si>
    <t xml:space="preserve">Marcus Vinicius Silva Santos</t>
  </si>
  <si>
    <t xml:space="preserve">Matheo</t>
  </si>
  <si>
    <t xml:space="preserve">Matheo Laselva Lima</t>
  </si>
  <si>
    <t xml:space="preserve">Matheus Arcado</t>
  </si>
  <si>
    <t xml:space="preserve">Matheus Alves da Hora</t>
  </si>
  <si>
    <t xml:space="preserve">Matheus Peloggia</t>
  </si>
  <si>
    <t xml:space="preserve">Mateus Cesare Moura Peloggia</t>
  </si>
  <si>
    <t xml:space="preserve">Mendes</t>
  </si>
  <si>
    <t xml:space="preserve">Eulanio Emilio Mendes Abrantes</t>
  </si>
  <si>
    <t xml:space="preserve">1 novamutummt</t>
  </si>
  <si>
    <t xml:space="preserve">Messias Eduardo Teixeira Felix</t>
  </si>
  <si>
    <t xml:space="preserve">Miguel</t>
  </si>
  <si>
    <t xml:space="preserve">Miguel Augusto Oliveira Mota</t>
  </si>
  <si>
    <t xml:space="preserve">José Natanael da Cruz Oliveira</t>
  </si>
  <si>
    <t xml:space="preserve">1 vitoriape</t>
  </si>
  <si>
    <t xml:space="preserve">Natanael</t>
  </si>
  <si>
    <t xml:space="preserve">Natanael de Sousa Bezerra</t>
  </si>
  <si>
    <t xml:space="preserve">Nattan</t>
  </si>
  <si>
    <t xml:space="preserve">Nattan Ivyrson Cardoso da Silva</t>
  </si>
  <si>
    <t xml:space="preserve">Nicholas</t>
  </si>
  <si>
    <t xml:space="preserve">Nicholas de Souza Ienczczak</t>
  </si>
  <si>
    <t xml:space="preserve">Osman</t>
  </si>
  <si>
    <t xml:space="preserve">Osman de Menezes Venancio Junior</t>
  </si>
  <si>
    <t xml:space="preserve">Osvaldo</t>
  </si>
  <si>
    <t xml:space="preserve">Osvaldo Lourenço Filho</t>
  </si>
  <si>
    <t xml:space="preserve">Otavio Alves da Silva e Silva</t>
  </si>
  <si>
    <t xml:space="preserve">Pablo Gabriel Sousa Alves</t>
  </si>
  <si>
    <t xml:space="preserve">Pacheco</t>
  </si>
  <si>
    <t xml:space="preserve">Guilherme Augusto Pacheco</t>
  </si>
  <si>
    <t xml:space="preserve">Paulo Victor Silva Monroe</t>
  </si>
  <si>
    <t xml:space="preserve">Pedro Gilmar</t>
  </si>
  <si>
    <t xml:space="preserve">Pedro Gilmar de Sousa Amorim Neto</t>
  </si>
  <si>
    <t xml:space="preserve">Pedro Lucas</t>
  </si>
  <si>
    <t xml:space="preserve">Pedro Lucas Silva Santos</t>
  </si>
  <si>
    <t xml:space="preserve">Petrocelli</t>
  </si>
  <si>
    <t xml:space="preserve">Gustavo Silva Petrocelli</t>
  </si>
  <si>
    <t xml:space="preserve">Carlos Henrique Bezerra da Silva</t>
  </si>
  <si>
    <t xml:space="preserve">Rafão</t>
  </si>
  <si>
    <t xml:space="preserve">Rafhael Vinicius Silva</t>
  </si>
  <si>
    <t xml:space="preserve">Rafel Moraes Lemmos</t>
  </si>
  <si>
    <t xml:space="preserve">Raphael </t>
  </si>
  <si>
    <t xml:space="preserve">Raphael Pereira Araújo</t>
  </si>
  <si>
    <t xml:space="preserve">Raphael Rodrigues</t>
  </si>
  <si>
    <t xml:space="preserve">Raphael Rodrigues Borges</t>
  </si>
  <si>
    <t xml:space="preserve">Rayan Poltronieri Pereira</t>
  </si>
  <si>
    <t xml:space="preserve">Rayo</t>
  </si>
  <si>
    <t xml:space="preserve">Rayandson Gonçalves Diniz</t>
  </si>
  <si>
    <t xml:space="preserve">Roberth</t>
  </si>
  <si>
    <t xml:space="preserve">Roberth da Silva Martins</t>
  </si>
  <si>
    <t xml:space="preserve">Robson Anizio da Silva</t>
  </si>
  <si>
    <t xml:space="preserve">Romailson</t>
  </si>
  <si>
    <t xml:space="preserve">Romailson da Silva de Jesus</t>
  </si>
  <si>
    <t xml:space="preserve">Ronan</t>
  </si>
  <si>
    <t xml:space="preserve">Ronan Nunes Freitas da Cruz</t>
  </si>
  <si>
    <t xml:space="preserve">Salvino</t>
  </si>
  <si>
    <t xml:space="preserve">William da Silva Salvino de Souza</t>
  </si>
  <si>
    <t xml:space="preserve">Sanabria</t>
  </si>
  <si>
    <t xml:space="preserve">Mateo Naim Sanabria Doracio</t>
  </si>
  <si>
    <t xml:space="preserve">Santiago Rodriguez</t>
  </si>
  <si>
    <t xml:space="preserve">Santiago Mariano Rodriguez Molina</t>
  </si>
  <si>
    <t xml:space="preserve">Tarcísio</t>
  </si>
  <si>
    <t xml:space="preserve">José Tarcísio Lima Martins</t>
  </si>
  <si>
    <t xml:space="preserve">Tcharles</t>
  </si>
  <si>
    <t xml:space="preserve">Tcharles Eduardo Martins Sieg</t>
  </si>
  <si>
    <t xml:space="preserve">Thiago Spice</t>
  </si>
  <si>
    <t xml:space="preserve">Thiago Fernandes Pessoa</t>
  </si>
  <si>
    <t xml:space="preserve">Tiago do Nascimento Silva</t>
  </si>
  <si>
    <t xml:space="preserve">1 oeirensepi</t>
  </si>
  <si>
    <t xml:space="preserve">Tiquinho</t>
  </si>
  <si>
    <t xml:space="preserve">Matheus Primo dos Santos</t>
  </si>
  <si>
    <t xml:space="preserve">Uesley Gaucho</t>
  </si>
  <si>
    <t xml:space="preserve">Uesley Moura Heinemann</t>
  </si>
  <si>
    <t xml:space="preserve">Valdeir</t>
  </si>
  <si>
    <t xml:space="preserve">Valdeir Batista de Souza</t>
  </si>
  <si>
    <t xml:space="preserve">Vaninho</t>
  </si>
  <si>
    <t xml:space="preserve">Edivanio dos Santos</t>
  </si>
  <si>
    <t xml:space="preserve">Victor Ferraz</t>
  </si>
  <si>
    <t xml:space="preserve">Victor Ferraz Macedo</t>
  </si>
  <si>
    <t xml:space="preserve">Victor Jesus</t>
  </si>
  <si>
    <t xml:space="preserve">Victor Cesar de Jesus dos Santos</t>
  </si>
  <si>
    <t xml:space="preserve">Victor Potiguar</t>
  </si>
  <si>
    <t xml:space="preserve">Victor Cavalcante Silva</t>
  </si>
  <si>
    <t xml:space="preserve">Vinicius Garcia</t>
  </si>
  <si>
    <t xml:space="preserve">Vinicius de Souza Garcia</t>
  </si>
  <si>
    <t xml:space="preserve">Vinicius Popo</t>
  </si>
  <si>
    <t xml:space="preserve">Vinicius Santana da Silva</t>
  </si>
  <si>
    <t xml:space="preserve">João Victor Schimith Righi</t>
  </si>
  <si>
    <t xml:space="preserve">Victor Santana dos Santos</t>
  </si>
  <si>
    <t xml:space="preserve">Wellington Reis</t>
  </si>
  <si>
    <t xml:space="preserve">Wellington Rodrigues dos Reis</t>
  </si>
  <si>
    <t xml:space="preserve">Welves</t>
  </si>
  <si>
    <t xml:space="preserve">Welves Santos Damacena</t>
  </si>
  <si>
    <t xml:space="preserve">Wembley</t>
  </si>
  <si>
    <t xml:space="preserve">Wembley Christian da Silva Cardozo</t>
  </si>
  <si>
    <t xml:space="preserve">Wendel Bahia</t>
  </si>
  <si>
    <t xml:space="preserve">Wendel Jan Almeida do Nascimento</t>
  </si>
  <si>
    <t xml:space="preserve">Wesley Aparecido Rodrigues</t>
  </si>
  <si>
    <t xml:space="preserve">Wesley Fraga</t>
  </si>
  <si>
    <t xml:space="preserve">Willian Bigode</t>
  </si>
  <si>
    <t xml:space="preserve">Willian Gomes de Siqueira</t>
  </si>
  <si>
    <t xml:space="preserve">Xexeu</t>
  </si>
  <si>
    <t xml:space="preserve">Danilo de Assis da Silva</t>
  </si>
  <si>
    <t xml:space="preserve">Ze Carlos</t>
  </si>
  <si>
    <t xml:space="preserve">José Carlos de Oliveira</t>
  </si>
  <si>
    <t xml:space="preserve">1 ituanosp</t>
  </si>
  <si>
    <t xml:space="preserve">Ze Eduardo</t>
  </si>
  <si>
    <t xml:space="preserve">José Eduardo de Andrade</t>
  </si>
  <si>
    <t xml:space="preserve">Ze Pagliarini</t>
  </si>
  <si>
    <t xml:space="preserve">Jose Gabriel Pagliarini Melo</t>
  </si>
  <si>
    <t xml:space="preserve">Juan Felipe Aguirre</t>
  </si>
  <si>
    <t xml:space="preserve">Aisley</t>
  </si>
  <si>
    <t xml:space="preserve">Aisley Victor Oliveira Santana</t>
  </si>
  <si>
    <t xml:space="preserve">Alvaro Henrique Severino Carvalho</t>
  </si>
  <si>
    <t xml:space="preserve">Antonio Carlos Ferreira da Paixao</t>
  </si>
  <si>
    <t xml:space="preserve">Augusto Potiguar</t>
  </si>
  <si>
    <t xml:space="preserve">José Augusto Soares de Lima</t>
  </si>
  <si>
    <t xml:space="preserve">Ben Hur</t>
  </si>
  <si>
    <t xml:space="preserve">Thomas Ben Hur Sena Rojo</t>
  </si>
  <si>
    <t xml:space="preserve">José Roberto Ramos da Silva</t>
  </si>
  <si>
    <t xml:space="preserve">Bletson</t>
  </si>
  <si>
    <t xml:space="preserve">Bletson Warley Guedes de Souza</t>
  </si>
  <si>
    <t xml:space="preserve">Breiner Camilo</t>
  </si>
  <si>
    <t xml:space="preserve">Breyner Camilo Barbosa Ospino</t>
  </si>
  <si>
    <t xml:space="preserve">Breno Mariano Ribeiro</t>
  </si>
  <si>
    <t xml:space="preserve">Bruno Silva Britto</t>
  </si>
  <si>
    <t xml:space="preserve">Bruno Kairon</t>
  </si>
  <si>
    <t xml:space="preserve">Bruno kairon Santos Silva</t>
  </si>
  <si>
    <t xml:space="preserve">Bruno Rodrigues</t>
  </si>
  <si>
    <t xml:space="preserve">Bruno Rafael Rodrigues do Nascimento</t>
  </si>
  <si>
    <t xml:space="preserve">Buba</t>
  </si>
  <si>
    <t xml:space="preserve">Wesley Danilo Morais dos santos</t>
  </si>
  <si>
    <t xml:space="preserve">Caio Rangel</t>
  </si>
  <si>
    <t xml:space="preserve">Caio Rangel da Silva</t>
  </si>
  <si>
    <t xml:space="preserve">Carlos Andre</t>
  </si>
  <si>
    <t xml:space="preserve">Carlos Andre Almeida Penha</t>
  </si>
  <si>
    <t xml:space="preserve">Cesar Velez da Silva</t>
  </si>
  <si>
    <t xml:space="preserve">Clayton</t>
  </si>
  <si>
    <t xml:space="preserve">Clayton da Rosa Peixoto</t>
  </si>
  <si>
    <t xml:space="preserve">Lucas Coutinho da Silva</t>
  </si>
  <si>
    <t xml:space="preserve">Cristiano Lohr</t>
  </si>
  <si>
    <t xml:space="preserve">Darlan Batista Cobo da Silva</t>
  </si>
  <si>
    <t xml:space="preserve">Darlan Quintiliano Machado</t>
  </si>
  <si>
    <t xml:space="preserve">Davi Menino</t>
  </si>
  <si>
    <t xml:space="preserve">Davi de Souza Lucas Menino</t>
  </si>
  <si>
    <t xml:space="preserve">David Henrique</t>
  </si>
  <si>
    <t xml:space="preserve">David Henrique Martins da Silva</t>
  </si>
  <si>
    <t xml:space="preserve">Diego Aragao</t>
  </si>
  <si>
    <t xml:space="preserve">Diego Aragao dos Santos</t>
  </si>
  <si>
    <t xml:space="preserve">Diego Vieira</t>
  </si>
  <si>
    <t xml:space="preserve">Diogo Vieira Santos Fonseca</t>
  </si>
  <si>
    <t xml:space="preserve">Dieyson</t>
  </si>
  <si>
    <t xml:space="preserve">Dieyson Anjos da Silva</t>
  </si>
  <si>
    <t xml:space="preserve">Digão</t>
  </si>
  <si>
    <t xml:space="preserve">Rodrigo Gomes de Souza</t>
  </si>
  <si>
    <t xml:space="preserve">Douglas Nathan Francisco Claudio</t>
  </si>
  <si>
    <t xml:space="preserve">Douglas Slva</t>
  </si>
  <si>
    <t xml:space="preserve">Douglas Alexandre Santos da Silva</t>
  </si>
  <si>
    <t xml:space="preserve">Eduardo Diniz</t>
  </si>
  <si>
    <t xml:space="preserve">Eduardo Jose Diniz Costa</t>
  </si>
  <si>
    <t xml:space="preserve">Eric</t>
  </si>
  <si>
    <t xml:space="preserve">Eric Francisco Pires da Silva</t>
  </si>
  <si>
    <t xml:space="preserve">Erick dos Santos Eleuterio</t>
  </si>
  <si>
    <t xml:space="preserve">Eurico</t>
  </si>
  <si>
    <t xml:space="preserve">Eurico Nicolau de Lima Neto</t>
  </si>
  <si>
    <t xml:space="preserve">Everton Galdino</t>
  </si>
  <si>
    <t xml:space="preserve">Everton Galdino Moreira</t>
  </si>
  <si>
    <t xml:space="preserve">Fabricio</t>
  </si>
  <si>
    <t xml:space="preserve">Fabricio Silva de Miranda</t>
  </si>
  <si>
    <t xml:space="preserve">Felipe Affonso</t>
  </si>
  <si>
    <t xml:space="preserve">Felipe Affonso Teixeira de Medeiros</t>
  </si>
  <si>
    <t xml:space="preserve">Flavinho</t>
  </si>
  <si>
    <t xml:space="preserve">Flávio da Silva Cabral</t>
  </si>
  <si>
    <t xml:space="preserve">1 santarosapa</t>
  </si>
  <si>
    <t xml:space="preserve">Franklin</t>
  </si>
  <si>
    <t xml:space="preserve">Franklin Rocha Gesteira</t>
  </si>
  <si>
    <t xml:space="preserve">Gabriel Cardoso Leite</t>
  </si>
  <si>
    <t xml:space="preserve">Gabriel Barros</t>
  </si>
  <si>
    <t xml:space="preserve">Gabriel de Sousa Barros</t>
  </si>
  <si>
    <t xml:space="preserve">Gabriel Chiari</t>
  </si>
  <si>
    <t xml:space="preserve">Gabriel Fernandes Chiari</t>
  </si>
  <si>
    <t xml:space="preserve">Gabriel Domingos</t>
  </si>
  <si>
    <t xml:space="preserve">Gabriel Domingos de Moura</t>
  </si>
  <si>
    <t xml:space="preserve">Gabriel Junior</t>
  </si>
  <si>
    <t xml:space="preserve">Gabriel Júnior de Oliveira Reis</t>
  </si>
  <si>
    <t xml:space="preserve">Gabriel de Lima Barros</t>
  </si>
  <si>
    <t xml:space="preserve">Gabriel Oliveira</t>
  </si>
  <si>
    <t xml:space="preserve">Gabriel Souza Lima de Oliveira</t>
  </si>
  <si>
    <t xml:space="preserve">Garrinsha</t>
  </si>
  <si>
    <t xml:space="preserve">Garrinsha Estinphile</t>
  </si>
  <si>
    <t xml:space="preserve">haiti</t>
  </si>
  <si>
    <t xml:space="preserve">Giovani Alvisi</t>
  </si>
  <si>
    <t xml:space="preserve">Giovani Bertolacini Alvisi</t>
  </si>
  <si>
    <t xml:space="preserve">Grecco</t>
  </si>
  <si>
    <t xml:space="preserve">Santiago Tomas Grecco</t>
  </si>
  <si>
    <t xml:space="preserve">Guilherme Truyts</t>
  </si>
  <si>
    <t xml:space="preserve">Guilherme Truyts Pereira de Faria</t>
  </si>
  <si>
    <t xml:space="preserve">Gustavo Henrique Oliveira Fonseca</t>
  </si>
  <si>
    <t xml:space="preserve">Gustavo Martins</t>
  </si>
  <si>
    <t xml:space="preserve">Gustavo Martins de Souza Santos</t>
  </si>
  <si>
    <t xml:space="preserve">Guthierres</t>
  </si>
  <si>
    <t xml:space="preserve">Guthierres Sales de Oliveira</t>
  </si>
  <si>
    <t xml:space="preserve">Hassen</t>
  </si>
  <si>
    <t xml:space="preserve">João Victor Malveira Brandão Hassen</t>
  </si>
  <si>
    <t xml:space="preserve">Hiago Accinelli da Roza Alves</t>
  </si>
  <si>
    <t xml:space="preserve">Igor Maduro</t>
  </si>
  <si>
    <t xml:space="preserve">Igor Maduro de Oliveira</t>
  </si>
  <si>
    <t xml:space="preserve">Israel Laudelino de Lima</t>
  </si>
  <si>
    <t xml:space="preserve">Israel Neeves de Souza</t>
  </si>
  <si>
    <t xml:space="preserve">Helber Italo dos Santos</t>
  </si>
  <si>
    <t xml:space="preserve">Italo Barbosa de Andrade</t>
  </si>
  <si>
    <t xml:space="preserve">Jader</t>
  </si>
  <si>
    <t xml:space="preserve">Jader Barbosa da Silva Gentil</t>
  </si>
  <si>
    <t xml:space="preserve">Jadson</t>
  </si>
  <si>
    <t xml:space="preserve">Wender Jadson Silva dos Santos</t>
  </si>
  <si>
    <t xml:space="preserve">Jean Roberto</t>
  </si>
  <si>
    <t xml:space="preserve">Jean Roberto Souza da Silva</t>
  </si>
  <si>
    <t xml:space="preserve">Jean Torres</t>
  </si>
  <si>
    <t xml:space="preserve">Jean Alberto Torres Munoz</t>
  </si>
  <si>
    <t xml:space="preserve">Jefferson Fellipe Santos Silva</t>
  </si>
  <si>
    <t xml:space="preserve">Jeferson Carneiro Tavares</t>
  </si>
  <si>
    <t xml:space="preserve">João Cardoso</t>
  </si>
  <si>
    <t xml:space="preserve">João Lucas da Silva Cardoso</t>
  </si>
  <si>
    <t xml:space="preserve">João Inacio</t>
  </si>
  <si>
    <t xml:space="preserve">João Victor Inácio Araújo</t>
  </si>
  <si>
    <t xml:space="preserve">João Paulo da Silva Alves</t>
  </si>
  <si>
    <t xml:space="preserve">1 saobernardosp</t>
  </si>
  <si>
    <t xml:space="preserve">João Prado</t>
  </si>
  <si>
    <t xml:space="preserve">João Vitor Cezar do Prado</t>
  </si>
  <si>
    <t xml:space="preserve">João Veras</t>
  </si>
  <si>
    <t xml:space="preserve">João Henrique Oliveira Veras</t>
  </si>
  <si>
    <t xml:space="preserve">Julio Rodrigues</t>
  </si>
  <si>
    <t xml:space="preserve">Julio Rodrigues de Albuquerque</t>
  </si>
  <si>
    <t xml:space="preserve">Robson Tosta Silva Junior</t>
  </si>
  <si>
    <t xml:space="preserve">Kaique Maciel</t>
  </si>
  <si>
    <t xml:space="preserve">Marcio Kaique Maciel Figueira</t>
  </si>
  <si>
    <t xml:space="preserve">Léo Pará</t>
  </si>
  <si>
    <t xml:space="preserve">Leonardo Ribeiro Fontenele</t>
  </si>
  <si>
    <t xml:space="preserve">1 itacoatiaraam</t>
  </si>
  <si>
    <t xml:space="preserve">Leonardo Carneiro Martins dos Santos</t>
  </si>
  <si>
    <t xml:space="preserve">Leonan</t>
  </si>
  <si>
    <t xml:space="preserve">Leonan José Valandro Gomes</t>
  </si>
  <si>
    <t xml:space="preserve">Lipe Gadol</t>
  </si>
  <si>
    <t xml:space="preserve">Luiz Felipe Soares Brandão</t>
  </si>
  <si>
    <t xml:space="preserve">Lucas Cunha</t>
  </si>
  <si>
    <t xml:space="preserve">Lucas Cunha Castilho</t>
  </si>
  <si>
    <t xml:space="preserve">Lucas Rafael Araujo Lima</t>
  </si>
  <si>
    <t xml:space="preserve">Lucas Peres</t>
  </si>
  <si>
    <t xml:space="preserve">Lucas Peres Ferreira de Campos</t>
  </si>
  <si>
    <t xml:space="preserve">Lucas Ramon</t>
  </si>
  <si>
    <t xml:space="preserve">Lucas Ramon Batista Silva</t>
  </si>
  <si>
    <t xml:space="preserve">Luighi</t>
  </si>
  <si>
    <t xml:space="preserve">Luighi Hanri Sousa Santos</t>
  </si>
  <si>
    <t xml:space="preserve">Marcio Silva</t>
  </si>
  <si>
    <t xml:space="preserve">Marcio Gleyson Leite da Silva</t>
  </si>
  <si>
    <t xml:space="preserve">Marcos Vinicius</t>
  </si>
  <si>
    <t xml:space="preserve">Marcos Vinicius Borges Gomieiro</t>
  </si>
  <si>
    <t xml:space="preserve">Marinho</t>
  </si>
  <si>
    <t xml:space="preserve">Mario Augusto da Silva Tristao</t>
  </si>
  <si>
    <t xml:space="preserve">Marlon Rodrigues Xavier</t>
  </si>
  <si>
    <t xml:space="preserve">Massilon</t>
  </si>
  <si>
    <t xml:space="preserve">Massilon Ferreira de Sousa Filho</t>
  </si>
  <si>
    <t xml:space="preserve">Mateus Magallanes</t>
  </si>
  <si>
    <t xml:space="preserve">Mateus Magallanes de Sousa Santos</t>
  </si>
  <si>
    <t xml:space="preserve">Mateus Santos</t>
  </si>
  <si>
    <t xml:space="preserve">Mateus Barbosa Santos</t>
  </si>
  <si>
    <t xml:space="preserve">Matheus Bidu</t>
  </si>
  <si>
    <t xml:space="preserve">Matheus Lima Beltrao Oliveira</t>
  </si>
  <si>
    <t xml:space="preserve">Matheus Iacovelli</t>
  </si>
  <si>
    <t xml:space="preserve">Matheus Felipe Camargo Iacovelli</t>
  </si>
  <si>
    <t xml:space="preserve">Murilo Henrique Cavalcante</t>
  </si>
  <si>
    <t xml:space="preserve">Natanael da Silva Militão</t>
  </si>
  <si>
    <t xml:space="preserve">Noriega</t>
  </si>
  <si>
    <t xml:space="preserve">Erick Carlos Noriega Loret de Mola</t>
  </si>
  <si>
    <t xml:space="preserve">peru</t>
  </si>
  <si>
    <t xml:space="preserve">Pablo Nereu</t>
  </si>
  <si>
    <t xml:space="preserve">Pablo Nereu Donizete dos Santos</t>
  </si>
  <si>
    <t xml:space="preserve">Pará</t>
  </si>
  <si>
    <t xml:space="preserve">Erinaldo Santos Rabelo</t>
  </si>
  <si>
    <t xml:space="preserve">Patrik</t>
  </si>
  <si>
    <t xml:space="preserve">Patrik Kaway Dias Pereira</t>
  </si>
  <si>
    <t xml:space="preserve">Paulo vinicius Silva Oliveira</t>
  </si>
  <si>
    <t xml:space="preserve">Rafael Dumas</t>
  </si>
  <si>
    <t xml:space="preserve">Rafael Dumas Ribeiro</t>
  </si>
  <si>
    <t xml:space="preserve">Ramon Menezes</t>
  </si>
  <si>
    <t xml:space="preserve">Ramon Menezes Roma</t>
  </si>
  <si>
    <t xml:space="preserve">Rayan Roque</t>
  </si>
  <si>
    <t xml:space="preserve">Reginaldo de Lima Nunes Junior</t>
  </si>
  <si>
    <t xml:space="preserve">Renzo</t>
  </si>
  <si>
    <t xml:space="preserve">Renzo Aazeedo Pimentel de Moura</t>
  </si>
  <si>
    <t xml:space="preserve">Ronaldo da Silva Souza Guerrero</t>
  </si>
  <si>
    <t xml:space="preserve">Ryan Henrique Antonio</t>
  </si>
  <si>
    <t xml:space="preserve">Ryan Santos</t>
  </si>
  <si>
    <t xml:space="preserve">Ryan Salles de Oliveira Santos</t>
  </si>
  <si>
    <t xml:space="preserve">1 trezepb</t>
  </si>
  <si>
    <t xml:space="preserve">Samuel dos Reis Pinto</t>
  </si>
  <si>
    <t xml:space="preserve">Sendenski</t>
  </si>
  <si>
    <t xml:space="preserve">Marcelo Claus Sendeski</t>
  </si>
  <si>
    <t xml:space="preserve">Thiago Magno</t>
  </si>
  <si>
    <t xml:space="preserve">Thiago Magno Barbosa de Castro</t>
  </si>
  <si>
    <t xml:space="preserve">Tiago Coelho</t>
  </si>
  <si>
    <t xml:space="preserve">Ueslei</t>
  </si>
  <si>
    <t xml:space="preserve">Ueslei Raimundo Pereira da Silva Junior</t>
  </si>
  <si>
    <t xml:space="preserve">Victor Mafra</t>
  </si>
  <si>
    <t xml:space="preserve">Victor Hugo Baptista Mafra</t>
  </si>
  <si>
    <t xml:space="preserve">Victor Reis</t>
  </si>
  <si>
    <t xml:space="preserve">Victor Silva dos Reis</t>
  </si>
  <si>
    <t xml:space="preserve">Victor Souza</t>
  </si>
  <si>
    <t xml:space="preserve">Victor Minervino Barbosa de Souza</t>
  </si>
  <si>
    <t xml:space="preserve">Pedro Victor da Silva Santos</t>
  </si>
  <si>
    <t xml:space="preserve">Walber</t>
  </si>
  <si>
    <t xml:space="preserve">Walber Correa de Barros</t>
  </si>
  <si>
    <t xml:space="preserve">1 bangurj</t>
  </si>
  <si>
    <t xml:space="preserve">Wallace Camilo dos Santos Leandro</t>
  </si>
  <si>
    <t xml:space="preserve">Wanderson Camelo Viana</t>
  </si>
  <si>
    <t xml:space="preserve">Welliton Leco</t>
  </si>
  <si>
    <t xml:space="preserve">Wellinton Correa Trindade</t>
  </si>
  <si>
    <t xml:space="preserve">William Wallace</t>
  </si>
  <si>
    <t xml:space="preserve">William Wallace Silva Fonseca</t>
  </si>
  <si>
    <t xml:space="preserve">Willian Rodrigues de Oliveira</t>
  </si>
  <si>
    <t xml:space="preserve">Xandão</t>
  </si>
  <si>
    <t xml:space="preserve">Alexandre Rodrigues Soares</t>
  </si>
  <si>
    <t xml:space="preserve">Yago Biro</t>
  </si>
  <si>
    <t xml:space="preserve">Yago Oliveira Xavier Armelau</t>
  </si>
  <si>
    <t xml:space="preserve">Yarlen</t>
  </si>
  <si>
    <t xml:space="preserve">Yarlen Faustino Augusto</t>
  </si>
  <si>
    <t xml:space="preserve">Zapelli</t>
  </si>
  <si>
    <t xml:space="preserve">Bruno Zapelli</t>
  </si>
  <si>
    <t xml:space="preserve">Alemão</t>
  </si>
  <si>
    <t xml:space="preserve">Kaycky Dalbert dos Santos Ramos</t>
  </si>
  <si>
    <t xml:space="preserve">Alisson Taddei</t>
  </si>
  <si>
    <t xml:space="preserve">Alisson Fabricio dos Santos Taddei</t>
  </si>
  <si>
    <t xml:space="preserve">Allan Marques</t>
  </si>
  <si>
    <t xml:space="preserve">Allan de Souza Marques</t>
  </si>
  <si>
    <t xml:space="preserve">Anderson Feijão</t>
  </si>
  <si>
    <t xml:space="preserve">Anderson Aires da Silva</t>
  </si>
  <si>
    <t xml:space="preserve">Anderson Tico</t>
  </si>
  <si>
    <t xml:space="preserve">Anderson Desiderio da Silva</t>
  </si>
  <si>
    <t xml:space="preserve">Andre Radija</t>
  </si>
  <si>
    <t xml:space="preserve">Andre Luiz da Conceição Araujo</t>
  </si>
  <si>
    <t xml:space="preserve">Ariel da Silva Marques</t>
  </si>
  <si>
    <t xml:space="preserve">Artur Potiguar</t>
  </si>
  <si>
    <t xml:space="preserve">Artur Carlos do Nascimento</t>
  </si>
  <si>
    <t xml:space="preserve">Augusto Belan Guse</t>
  </si>
  <si>
    <t xml:space="preserve">Biro Biro</t>
  </si>
  <si>
    <t xml:space="preserve">Pauliciano Oliveira de Jesus</t>
  </si>
  <si>
    <t xml:space="preserve">Brendon</t>
  </si>
  <si>
    <t xml:space="preserve">Brendon Lucas batista da Silva</t>
  </si>
  <si>
    <t xml:space="preserve">Brener</t>
  </si>
  <si>
    <t xml:space="preserve">Brener da Silva dos Santos</t>
  </si>
  <si>
    <t xml:space="preserve">Breno Roma</t>
  </si>
  <si>
    <t xml:space="preserve">Breno Pereira Roma</t>
  </si>
  <si>
    <t xml:space="preserve">Brito</t>
  </si>
  <si>
    <t xml:space="preserve">Paulo Roberto Santos de Brito</t>
  </si>
  <si>
    <t xml:space="preserve">Bruno Santos Martins de Souza</t>
  </si>
  <si>
    <t xml:space="preserve">Caio Bacarin</t>
  </si>
  <si>
    <t xml:space="preserve">Caio Henrique Bacarin dos Santos</t>
  </si>
  <si>
    <t xml:space="preserve">Calebe</t>
  </si>
  <si>
    <t xml:space="preserve">Calebe Oliveira Costa</t>
  </si>
  <si>
    <t xml:space="preserve">Carbonero</t>
  </si>
  <si>
    <t xml:space="preserve">Johan Stiven Carbonero Balanta</t>
  </si>
  <si>
    <t xml:space="preserve">Carlos Eduardo</t>
  </si>
  <si>
    <t xml:space="preserve">Carlos Eduardo Ferreira de Souza</t>
  </si>
  <si>
    <t xml:space="preserve">Carlos Junior</t>
  </si>
  <si>
    <t xml:space="preserve">Carlos Junio Rodrigues do Carmo</t>
  </si>
  <si>
    <t xml:space="preserve">Cauly</t>
  </si>
  <si>
    <t xml:space="preserve">Cauly Oliveira Souza</t>
  </si>
  <si>
    <t xml:space="preserve">Cleberson</t>
  </si>
  <si>
    <t xml:space="preserve">Cleberson Victor Souza de Oliveira</t>
  </si>
  <si>
    <t xml:space="preserve">Daniel Baiano</t>
  </si>
  <si>
    <t xml:space="preserve">Daniel Junio de Jesus nascimento</t>
  </si>
  <si>
    <t xml:space="preserve">Daniel Santos</t>
  </si>
  <si>
    <t xml:space="preserve">Daniel Alexandre Nascimento Santos</t>
  </si>
  <si>
    <t xml:space="preserve">David Nelson Lima dos Santos</t>
  </si>
  <si>
    <t xml:space="preserve">Derek</t>
  </si>
  <si>
    <t xml:space="preserve">Derek Freitas Ribeiro</t>
  </si>
  <si>
    <t xml:space="preserve">Raphael Guimaraes de Paula</t>
  </si>
  <si>
    <t xml:space="preserve">Carlos Eduardo Trajano dos Santos</t>
  </si>
  <si>
    <t xml:space="preserve">Dudu Miraima</t>
  </si>
  <si>
    <t xml:space="preserve">Eduardo da Silva Albuquerque</t>
  </si>
  <si>
    <t xml:space="preserve">Edson Evangelista de Carvalho</t>
  </si>
  <si>
    <t xml:space="preserve">Eduardo Henrique Silverio</t>
  </si>
  <si>
    <t xml:space="preserve">Erik Henrique Rosa de Oliveira</t>
  </si>
  <si>
    <t xml:space="preserve">Erlon</t>
  </si>
  <si>
    <t xml:space="preserve">Erlon Correa da Conceição</t>
  </si>
  <si>
    <t xml:space="preserve">Everton Alemão</t>
  </si>
  <si>
    <t xml:space="preserve">Everton Paulo Strieder</t>
  </si>
  <si>
    <t xml:space="preserve">Ewerthon</t>
  </si>
  <si>
    <t xml:space="preserve">Ewerthon Diogenes da Silva</t>
  </si>
  <si>
    <t xml:space="preserve">1 portuguesasp</t>
  </si>
  <si>
    <t xml:space="preserve">Ewerton Ageu</t>
  </si>
  <si>
    <t xml:space="preserve">Ewerton Ageu Bezerra da Silva</t>
  </si>
  <si>
    <t xml:space="preserve">Felipe Baiano</t>
  </si>
  <si>
    <t xml:space="preserve">Luis Felipe Carvalho Silva</t>
  </si>
  <si>
    <t xml:space="preserve">Felipe Dorneles</t>
  </si>
  <si>
    <t xml:space="preserve">Felipe Alberto Faria Dorneles</t>
  </si>
  <si>
    <t xml:space="preserve">Felipe Siedekum</t>
  </si>
  <si>
    <t xml:space="preserve">Luis Fernando da Silva</t>
  </si>
  <si>
    <t xml:space="preserve">1 costaricams</t>
  </si>
  <si>
    <t xml:space="preserve">Gabriel Biloca</t>
  </si>
  <si>
    <t xml:space="preserve">Gabriel Cardoso de Souza</t>
  </si>
  <si>
    <t xml:space="preserve">Gabriel Henrique Morais Cunha</t>
  </si>
  <si>
    <t xml:space="preserve">Gabriel Santos Queiroz Travassos</t>
  </si>
  <si>
    <t xml:space="preserve">Geovane Maranhão</t>
  </si>
  <si>
    <t xml:space="preserve">Geovane Diniz Silva</t>
  </si>
  <si>
    <t xml:space="preserve">Gilberto Bahia</t>
  </si>
  <si>
    <t xml:space="preserve">Gilberto Jesus dos Santos Junior</t>
  </si>
  <si>
    <t xml:space="preserve">Herrera</t>
  </si>
  <si>
    <t xml:space="preserve">Jose Maria Herrera Ares</t>
  </si>
  <si>
    <t xml:space="preserve">Iago Forte</t>
  </si>
  <si>
    <t xml:space="preserve">Iago Teixeira Forte</t>
  </si>
  <si>
    <t xml:space="preserve">Jean Lucca</t>
  </si>
  <si>
    <t xml:space="preserve">Jean Lucca Teixeira Ferreira</t>
  </si>
  <si>
    <t xml:space="preserve">Jefferson Freire</t>
  </si>
  <si>
    <t xml:space="preserve">Jefferson Freire do Nascimento</t>
  </si>
  <si>
    <t xml:space="preserve">Jefesson Vieira Eufrazio</t>
  </si>
  <si>
    <t xml:space="preserve">Jhony</t>
  </si>
  <si>
    <t xml:space="preserve">Jhonathan Mendes Lipe</t>
  </si>
  <si>
    <t xml:space="preserve">João Celeri</t>
  </si>
  <si>
    <t xml:space="preserve">João Pedro Celeri Machado</t>
  </si>
  <si>
    <t xml:space="preserve">João Pedro de Sá Mendonça</t>
  </si>
  <si>
    <t xml:space="preserve">João Silveira</t>
  </si>
  <si>
    <t xml:space="preserve">João Vitor da Silva Silveira</t>
  </si>
  <si>
    <t xml:space="preserve">Joao Victor</t>
  </si>
  <si>
    <t xml:space="preserve">João Victor Eliziário Valeriano</t>
  </si>
  <si>
    <t xml:space="preserve">Jorge Mendes</t>
  </si>
  <si>
    <t xml:space="preserve">Jorge Mendes da Silva Junior</t>
  </si>
  <si>
    <t xml:space="preserve">Jose Andrade</t>
  </si>
  <si>
    <t xml:space="preserve">José Eduardo Andrade Torres</t>
  </si>
  <si>
    <t xml:space="preserve">Josue</t>
  </si>
  <si>
    <t xml:space="preserve">Josué Filipe Soares Pesqueira</t>
  </si>
  <si>
    <t xml:space="preserve">Julio Cesar de Souza Brito</t>
  </si>
  <si>
    <t xml:space="preserve">Kaio Ellyson</t>
  </si>
  <si>
    <t xml:space="preserve">Kaio Ellyson Silva</t>
  </si>
  <si>
    <t xml:space="preserve">Kaio Wilker</t>
  </si>
  <si>
    <t xml:space="preserve">Kaio Wilker Afonso da Silva</t>
  </si>
  <si>
    <t xml:space="preserve">Kayo Chagas</t>
  </si>
  <si>
    <t xml:space="preserve">Kayo Soares Chagas</t>
  </si>
  <si>
    <t xml:space="preserve">Kevin Mercado</t>
  </si>
  <si>
    <t xml:space="preserve">Kevin Brayan Mercado Mina</t>
  </si>
  <si>
    <t xml:space="preserve">Kevyn</t>
  </si>
  <si>
    <t xml:space="preserve">Kevyn Lucas Ramos da Costa</t>
  </si>
  <si>
    <t xml:space="preserve">Klebert</t>
  </si>
  <si>
    <t xml:space="preserve">Klebert de Oliveira Pereira</t>
  </si>
  <si>
    <t xml:space="preserve">Lautaro Diaz</t>
  </si>
  <si>
    <t xml:space="preserve">Lautaro Ariel Diaz</t>
  </si>
  <si>
    <t xml:space="preserve">Leo Azevedo</t>
  </si>
  <si>
    <t xml:space="preserve">Leonardo Felipe de Oliveira Azevedo</t>
  </si>
  <si>
    <t xml:space="preserve">Leo Pereira</t>
  </si>
  <si>
    <t xml:space="preserve">Leonardo Pereira</t>
  </si>
  <si>
    <t xml:space="preserve">Francisco Luan dos Santos Clemente</t>
  </si>
  <si>
    <t xml:space="preserve">Luan Francisco de Oliveira</t>
  </si>
  <si>
    <t xml:space="preserve">Lucas Batatinha</t>
  </si>
  <si>
    <t xml:space="preserve">Lucas Rulian Lamoglia</t>
  </si>
  <si>
    <t xml:space="preserve">Lucas Black</t>
  </si>
  <si>
    <t xml:space="preserve">Lucas Gabriel Oliveira</t>
  </si>
  <si>
    <t xml:space="preserve">Lucas Costa</t>
  </si>
  <si>
    <t xml:space="preserve">Lucas Rodrigues Costa</t>
  </si>
  <si>
    <t xml:space="preserve">Lucas Lotto</t>
  </si>
  <si>
    <t xml:space="preserve">Lucas Eduardo Silva Lotto</t>
  </si>
  <si>
    <t xml:space="preserve">Lucas Marreta</t>
  </si>
  <si>
    <t xml:space="preserve">Lucas Araujo de Sousa</t>
  </si>
  <si>
    <t xml:space="preserve">Lucas Salvador da Silva</t>
  </si>
  <si>
    <t xml:space="preserve">Lucio Maranhão</t>
  </si>
  <si>
    <t xml:space="preserve">Lucielmo Palhano Soares</t>
  </si>
  <si>
    <t xml:space="preserve">1 luminensema</t>
  </si>
  <si>
    <t xml:space="preserve">Luis Otavio</t>
  </si>
  <si>
    <t xml:space="preserve">Luis Otavio dos Santos Netto</t>
  </si>
  <si>
    <t xml:space="preserve">Luiz Felipe Nascimento dos Santos</t>
  </si>
  <si>
    <t xml:space="preserve">Luiz Felipe de Souza</t>
  </si>
  <si>
    <t xml:space="preserve">Luiz Henrique Araujo Silva</t>
  </si>
  <si>
    <t xml:space="preserve">Marcos Eduardo Costa</t>
  </si>
  <si>
    <t xml:space="preserve">Marcelo Augusto</t>
  </si>
  <si>
    <t xml:space="preserve">Marcelo Augusto da Silva de Souza</t>
  </si>
  <si>
    <t xml:space="preserve">Mateus Botelho</t>
  </si>
  <si>
    <t xml:space="preserve">Mateus Duarte Botelho</t>
  </si>
  <si>
    <t xml:space="preserve">Matheus Fernandes</t>
  </si>
  <si>
    <t xml:space="preserve">Matheus Fernandes Siqueira</t>
  </si>
  <si>
    <t xml:space="preserve">Matheus Guedes</t>
  </si>
  <si>
    <t xml:space="preserve">Matheus Gabriel Guedes</t>
  </si>
  <si>
    <t xml:space="preserve">Mauricio Ribeiro</t>
  </si>
  <si>
    <t xml:space="preserve">Mauricio da Silva Dias Ribeiro</t>
  </si>
  <si>
    <t xml:space="preserve">Mauro</t>
  </si>
  <si>
    <t xml:space="preserve">Maurto Gabriel Malheiros Gonçalves</t>
  </si>
  <si>
    <t xml:space="preserve">Max Alves da Silva</t>
  </si>
  <si>
    <t xml:space="preserve">Memphis</t>
  </si>
  <si>
    <t xml:space="preserve">Memphis Depay</t>
  </si>
  <si>
    <t xml:space="preserve">países baixos</t>
  </si>
  <si>
    <t xml:space="preserve">Mercado</t>
  </si>
  <si>
    <t xml:space="preserve">Gabriel Ivan Mercado</t>
  </si>
  <si>
    <t xml:space="preserve">Michel Henrique de Oliveira</t>
  </si>
  <si>
    <t xml:space="preserve">Michel Araujo</t>
  </si>
  <si>
    <t xml:space="preserve">Michel Daryl Araujo Villar</t>
  </si>
  <si>
    <t xml:space="preserve">Miguel Alcantara</t>
  </si>
  <si>
    <t xml:space="preserve">Miguel de Alcantara</t>
  </si>
  <si>
    <t xml:space="preserve">Nadson</t>
  </si>
  <si>
    <t xml:space="preserve">Nadson da Silva Mesquita</t>
  </si>
  <si>
    <t xml:space="preserve">Nathan Miranda Oliveira</t>
  </si>
  <si>
    <t xml:space="preserve">Inacio Jose de Assis Neto</t>
  </si>
  <si>
    <t xml:space="preserve">Raimundo Nonato Lima</t>
  </si>
  <si>
    <t xml:space="preserve">Pedro Arthur Bitencourt Machado</t>
  </si>
  <si>
    <t xml:space="preserve">Pedro Mota</t>
  </si>
  <si>
    <t xml:space="preserve">Pedro Henrique do Nascimento Mota</t>
  </si>
  <si>
    <t xml:space="preserve">Wanderson Felipe Assunção Ivo</t>
  </si>
  <si>
    <t xml:space="preserve">Rafel Barbosa Silva</t>
  </si>
  <si>
    <t xml:space="preserve">Raphael Freitas</t>
  </si>
  <si>
    <t xml:space="preserve">Raphael Freitas Marcolino</t>
  </si>
  <si>
    <t xml:space="preserve">Ricardo </t>
  </si>
  <si>
    <t xml:space="preserve">Ricardo Felix Bezerra</t>
  </si>
  <si>
    <t xml:space="preserve">Riquelme Rodrigues Mendes</t>
  </si>
  <si>
    <t xml:space="preserve">Rollheiser</t>
  </si>
  <si>
    <t xml:space="preserve">Benjamin Rollheiser</t>
  </si>
  <si>
    <t xml:space="preserve">Ronald Makalysten Melo Costa</t>
  </si>
  <si>
    <t xml:space="preserve">Ronald Santanna Rodrigues</t>
  </si>
  <si>
    <t xml:space="preserve">Ryan Rizardi Saantos</t>
  </si>
  <si>
    <t xml:space="preserve">Segovia</t>
  </si>
  <si>
    <t xml:space="preserve">Matias Emanuel Segovia</t>
  </si>
  <si>
    <t xml:space="preserve">Thomas Kayck</t>
  </si>
  <si>
    <t xml:space="preserve">Thomas Kayck Martins de Lima</t>
  </si>
  <si>
    <t xml:space="preserve">Veraldo</t>
  </si>
  <si>
    <t xml:space="preserve">Veraldo de Jesus Reis</t>
  </si>
  <si>
    <t xml:space="preserve">Vilalba</t>
  </si>
  <si>
    <t xml:space="preserve">Lucas Martin Villalba Jaaume</t>
  </si>
  <si>
    <t xml:space="preserve">Vinicius Balotelli</t>
  </si>
  <si>
    <t xml:space="preserve">Vinicius Dias de Novais</t>
  </si>
  <si>
    <t xml:space="preserve">Vitor Hugo Manarin Leite</t>
  </si>
  <si>
    <t xml:space="preserve">Wesley Ceifador</t>
  </si>
  <si>
    <t xml:space="preserve">Wesley Sandro Lima de Jesus</t>
  </si>
  <si>
    <t xml:space="preserve">Wesley Marth</t>
  </si>
  <si>
    <t xml:space="preserve">Wesley Augusto Henn Marth</t>
  </si>
  <si>
    <t xml:space="preserve">Ygor Eduardo Meyer Guimarães</t>
  </si>
  <si>
    <t xml:space="preserve">Ze Vitor</t>
  </si>
  <si>
    <t xml:space="preserve">José Vitor Silva Neves</t>
  </si>
  <si>
    <t xml:space="preserve">Adriel Fernandes Aquino Schultz</t>
  </si>
  <si>
    <t xml:space="preserve">Andres Gomez</t>
  </si>
  <si>
    <t xml:space="preserve">Carlos Andres Gomez Hinestroza</t>
  </si>
  <si>
    <t xml:space="preserve">Weberth dos Santos</t>
  </si>
  <si>
    <t xml:space="preserve">Bravo</t>
  </si>
  <si>
    <t xml:space="preserve">Adailton Queiroz de Jesus</t>
  </si>
  <si>
    <t xml:space="preserve">Otavio Bruno dos Santos</t>
  </si>
  <si>
    <t xml:space="preserve">1 santacatarinasc</t>
  </si>
  <si>
    <t xml:space="preserve">Bruno Bispo</t>
  </si>
  <si>
    <t xml:space="preserve">Bruno Bispo dos Anjos</t>
  </si>
  <si>
    <t xml:space="preserve">1 northmg</t>
  </si>
  <si>
    <t xml:space="preserve">Bruno Ferreira</t>
  </si>
  <si>
    <t xml:space="preserve">Bruno Ferreira Santos</t>
  </si>
  <si>
    <t xml:space="preserve">Caio Callyman Muniz de Sousa</t>
  </si>
  <si>
    <t xml:space="preserve">Caio Rafael</t>
  </si>
  <si>
    <t xml:space="preserve">Caio Rafael Aquino Lima</t>
  </si>
  <si>
    <t xml:space="preserve">Caique da Silva Santos</t>
  </si>
  <si>
    <t xml:space="preserve">Calyson</t>
  </si>
  <si>
    <t xml:space="preserve">Calyson Rubens Santiago Rosa</t>
  </si>
  <si>
    <t xml:space="preserve">Choco</t>
  </si>
  <si>
    <t xml:space="preserve">João Manoel Tomé da Silva</t>
  </si>
  <si>
    <t xml:space="preserve">Dhiordan</t>
  </si>
  <si>
    <t xml:space="preserve">Dhiordan Rhuan Rodrigues</t>
  </si>
  <si>
    <t xml:space="preserve">Didinho</t>
  </si>
  <si>
    <t xml:space="preserve">Adrian Pereira dos Santos</t>
  </si>
  <si>
    <t xml:space="preserve">Diego Hoffman</t>
  </si>
  <si>
    <t xml:space="preserve">Diego Araujo Hoffman</t>
  </si>
  <si>
    <t xml:space="preserve">Diego Jussani</t>
  </si>
  <si>
    <t xml:space="preserve">Douglas Santos</t>
  </si>
  <si>
    <t xml:space="preserve">Douglas Santos Andrade</t>
  </si>
  <si>
    <t xml:space="preserve">Eder Lima</t>
  </si>
  <si>
    <t xml:space="preserve">Eder Lima dos Santos</t>
  </si>
  <si>
    <t xml:space="preserve">Edipo</t>
  </si>
  <si>
    <t xml:space="preserve">Edipo Guilhen Muniz</t>
  </si>
  <si>
    <t xml:space="preserve">Eduardo Nascimento da Silva</t>
  </si>
  <si>
    <t xml:space="preserve">Eduardo Rosado</t>
  </si>
  <si>
    <t xml:space="preserve">Eduardo Rosado Souza</t>
  </si>
  <si>
    <t xml:space="preserve">Edwin Torres</t>
  </si>
  <si>
    <t xml:space="preserve">Edwin Andres Torres Palacios</t>
  </si>
  <si>
    <t xml:space="preserve">Enzo Fernandes Freire</t>
  </si>
  <si>
    <t xml:space="preserve">Everson dos Santos silva</t>
  </si>
  <si>
    <t xml:space="preserve">Fabricio Moreira Rodrigues Carneiro</t>
  </si>
  <si>
    <t xml:space="preserve">Fabricio Bigode</t>
  </si>
  <si>
    <t xml:space="preserve">Fabricio Silva Costa</t>
  </si>
  <si>
    <t xml:space="preserve">Gabriel Pires</t>
  </si>
  <si>
    <t xml:space="preserve">Gabriel Appelt Pires</t>
  </si>
  <si>
    <t xml:space="preserve">Garro</t>
  </si>
  <si>
    <t xml:space="preserve">Rodrigo Garro</t>
  </si>
  <si>
    <t xml:space="preserve">Gugu Vieira</t>
  </si>
  <si>
    <t xml:space="preserve">Edgar Vieira Gomes</t>
  </si>
  <si>
    <t xml:space="preserve">Guilherme Arana</t>
  </si>
  <si>
    <t xml:space="preserve">Guilherme Antonio Arana Lopes</t>
  </si>
  <si>
    <t xml:space="preserve">Guilherme Lobo</t>
  </si>
  <si>
    <t xml:space="preserve">Guilherme Teixeira Lobo</t>
  </si>
  <si>
    <t xml:space="preserve">Gustavo Clarindo</t>
  </si>
  <si>
    <t xml:space="preserve">Gustavo Clarindo da Silva</t>
  </si>
  <si>
    <t xml:space="preserve">Henrique Freitas</t>
  </si>
  <si>
    <t xml:space="preserve">Henrique Freitas Alves</t>
  </si>
  <si>
    <t xml:space="preserve">Henry</t>
  </si>
  <si>
    <t xml:space="preserve">Henry Miyamoto Garcisa Silva</t>
  </si>
  <si>
    <t xml:space="preserve">Iago Silva</t>
  </si>
  <si>
    <t xml:space="preserve">Iago Antonio Silva Santos</t>
  </si>
  <si>
    <t xml:space="preserve">Icaro</t>
  </si>
  <si>
    <t xml:space="preserve">Icaro Cosmo da Rocha</t>
  </si>
  <si>
    <t xml:space="preserve">João Neto</t>
  </si>
  <si>
    <t xml:space="preserve">João Batista da Cruz Santos Neto</t>
  </si>
  <si>
    <t xml:space="preserve">João Ramos</t>
  </si>
  <si>
    <t xml:space="preserve">João Pedro Ramos Oliveira lIma</t>
  </si>
  <si>
    <t xml:space="preserve">João Sala</t>
  </si>
  <si>
    <t xml:space="preserve">Jooão Gabriel Sala de Melo</t>
  </si>
  <si>
    <t xml:space="preserve">Jorge Pedra</t>
  </si>
  <si>
    <t xml:space="preserve">Jorge Luiz Nogueira da Silva</t>
  </si>
  <si>
    <t xml:space="preserve">Juan Patrocinio</t>
  </si>
  <si>
    <t xml:space="preserve">Juan Silva do Patrocínio</t>
  </si>
  <si>
    <t xml:space="preserve">Junior Dinde</t>
  </si>
  <si>
    <t xml:space="preserve">José Elenilton de Freitas Junior</t>
  </si>
  <si>
    <t xml:space="preserve">Leo Gobo</t>
  </si>
  <si>
    <t xml:space="preserve">Leonardo Gobo dos Santos</t>
  </si>
  <si>
    <t xml:space="preserve">Leo Ortiz</t>
  </si>
  <si>
    <t xml:space="preserve">Leonardo Rech Ortiz</t>
  </si>
  <si>
    <t xml:space="preserve">Lorran David Ferreira Costa</t>
  </si>
  <si>
    <t xml:space="preserve">Lucas Piaui</t>
  </si>
  <si>
    <t xml:space="preserve">Lucas de Sousa Barbosa</t>
  </si>
  <si>
    <t xml:space="preserve">Lucas Schmidt</t>
  </si>
  <si>
    <t xml:space="preserve">Lucas Santos Schimidt</t>
  </si>
  <si>
    <t xml:space="preserve">Luiz Beserra</t>
  </si>
  <si>
    <t xml:space="preserve">Luiz Henrique Beserra dos Santos</t>
  </si>
  <si>
    <t xml:space="preserve">Luiz Paulo</t>
  </si>
  <si>
    <t xml:space="preserve">Luiz Paulo Santana de Lima</t>
  </si>
  <si>
    <t xml:space="preserve">Maikynho</t>
  </si>
  <si>
    <t xml:space="preserve">Maikon Joao Veiga da Silva</t>
  </si>
  <si>
    <t xml:space="preserve">Marco Antonio</t>
  </si>
  <si>
    <t xml:space="preserve">Marco Antonio Dutra Oliveira</t>
  </si>
  <si>
    <t xml:space="preserve">Marcos Paulo Brazion</t>
  </si>
  <si>
    <t xml:space="preserve">Marquinhos Bento</t>
  </si>
  <si>
    <t xml:space="preserve">Marcos Vinicius Bento</t>
  </si>
  <si>
    <t xml:space="preserve">Martinez</t>
  </si>
  <si>
    <t xml:space="preserve">Leandro Emmanuel Martinez</t>
  </si>
  <si>
    <t xml:space="preserve">Mateus Leandro da Silva Antunes</t>
  </si>
  <si>
    <t xml:space="preserve">Matheus Chaves</t>
  </si>
  <si>
    <t xml:space="preserve">Matheus Santos Chaves</t>
  </si>
  <si>
    <t xml:space="preserve">Mauricio Leal</t>
  </si>
  <si>
    <t xml:space="preserve">Mauricio Aparecido Maciel Leal</t>
  </si>
  <si>
    <t xml:space="preserve">Milhorim</t>
  </si>
  <si>
    <t xml:space="preserve">Rafael Henrique Milhorim</t>
  </si>
  <si>
    <t xml:space="preserve">Mosquito</t>
  </si>
  <si>
    <t xml:space="preserve">Matheus Edilson Bispo Duarte</t>
  </si>
  <si>
    <t xml:space="preserve">Moyses</t>
  </si>
  <si>
    <t xml:space="preserve">Moyses do Nascimento Moreira</t>
  </si>
  <si>
    <t xml:space="preserve">Mykael</t>
  </si>
  <si>
    <t xml:space="preserve">Mykael de Oliveira Sousa</t>
  </si>
  <si>
    <t xml:space="preserve">Nelsinho</t>
  </si>
  <si>
    <t xml:space="preserve">Nelson Costa Pinto Junior</t>
  </si>
  <si>
    <t xml:space="preserve">Pablo Ricardo Preza Adami de Oliveira</t>
  </si>
  <si>
    <t xml:space="preserve">Palacios</t>
  </si>
  <si>
    <t xml:space="preserve">Jeferson David Palacios Cantillo</t>
  </si>
  <si>
    <t xml:space="preserve">Anderson Ferreira da Silva</t>
  </si>
  <si>
    <t xml:space="preserve">Pedro Junqueira de Oliveira</t>
  </si>
  <si>
    <t xml:space="preserve">Pedro Henrique Ribeiro Gonçalves</t>
  </si>
  <si>
    <t xml:space="preserve">Pepeu</t>
  </si>
  <si>
    <t xml:space="preserve">Mateus Francisco Heitor Silva</t>
  </si>
  <si>
    <t xml:space="preserve">Rafael Lima Oliveiraa</t>
  </si>
  <si>
    <t xml:space="preserve">Renato Henrique Ferreira Silvestre</t>
  </si>
  <si>
    <t xml:space="preserve">Richardson</t>
  </si>
  <si>
    <t xml:space="preserve">Richardson Jussie</t>
  </si>
  <si>
    <t xml:space="preserve">Riquelmo</t>
  </si>
  <si>
    <t xml:space="preserve">Riquelmo Alves Lima</t>
  </si>
  <si>
    <t xml:space="preserve">Robert Renan</t>
  </si>
  <si>
    <t xml:space="preserve">Robert Renan Alves Barbosa</t>
  </si>
  <si>
    <t xml:space="preserve">Robson Pereira de Lima</t>
  </si>
  <si>
    <t xml:space="preserve">Rodrigo Henrique Oliveira Alves</t>
  </si>
  <si>
    <t xml:space="preserve">Russo</t>
  </si>
  <si>
    <t xml:space="preserve">Mauricio Alexandre Squalhera</t>
  </si>
  <si>
    <t xml:space="preserve">Thomaz Carvalho</t>
  </si>
  <si>
    <t xml:space="preserve">Thomaz Carvalho Costa</t>
  </si>
  <si>
    <t xml:space="preserve">Vander</t>
  </si>
  <si>
    <t xml:space="preserve">Vander Tavares Silva</t>
  </si>
  <si>
    <t xml:space="preserve">Victor Hugo Santos</t>
  </si>
  <si>
    <t xml:space="preserve">Victor Leonardo da Silva Oliveira</t>
  </si>
  <si>
    <t xml:space="preserve">Vytao</t>
  </si>
  <si>
    <t xml:space="preserve">Vytor da Silva Pereira dos Santos</t>
  </si>
  <si>
    <t xml:space="preserve">Willian Junior</t>
  </si>
  <si>
    <t xml:space="preserve">Willian Pontes de Araujo Junior</t>
  </si>
  <si>
    <t xml:space="preserve">Zé Romario</t>
  </si>
  <si>
    <t xml:space="preserve">José Romário Barbosa de Oliveira</t>
  </si>
  <si>
    <t xml:space="preserve">Alisson</t>
  </si>
  <si>
    <t xml:space="preserve">Alison Daniel Marques Ribeiro</t>
  </si>
  <si>
    <t xml:space="preserve">Alisson Safira</t>
  </si>
  <si>
    <t xml:space="preserve">Alisson Pelegrini Safira</t>
  </si>
  <si>
    <t xml:space="preserve">Bebe</t>
  </si>
  <si>
    <t xml:space="preserve">Elielson Cardoso dos Santos</t>
  </si>
  <si>
    <t xml:space="preserve">Breno Henrique dos Santos Chaves</t>
  </si>
  <si>
    <t xml:space="preserve">Bruno Baldini</t>
  </si>
  <si>
    <t xml:space="preserve">Bruno Gonçalves Baldini</t>
  </si>
  <si>
    <t xml:space="preserve">Bruno Barra</t>
  </si>
  <si>
    <t xml:space="preserve">Bruno Sergio Jaime</t>
  </si>
  <si>
    <t xml:space="preserve">Carlos Augusto da Silva Fonseca</t>
  </si>
  <si>
    <t xml:space="preserve">1 riobrancoes</t>
  </si>
  <si>
    <t xml:space="preserve">David Lazari</t>
  </si>
  <si>
    <t xml:space="preserve">David Rafael Lazari Zana</t>
  </si>
  <si>
    <t xml:space="preserve">Douglas de Souza Nascimento</t>
  </si>
  <si>
    <t xml:space="preserve">Dudu Kogtzki</t>
  </si>
  <si>
    <t xml:space="preserve">Eduardo Kogtzki</t>
  </si>
  <si>
    <t xml:space="preserve">Eduardo Sasha</t>
  </si>
  <si>
    <t xml:space="preserve">Eduardo Colcenti Antunes</t>
  </si>
  <si>
    <t xml:space="preserve">Eloir</t>
  </si>
  <si>
    <t xml:space="preserve">Eloir Silva Moreira</t>
  </si>
  <si>
    <t xml:space="preserve">Emanuel de Araujo Conceicao</t>
  </si>
  <si>
    <t xml:space="preserve">Evandro</t>
  </si>
  <si>
    <t xml:space="preserve">Evandro Lima de Oliveira Filho</t>
  </si>
  <si>
    <t xml:space="preserve">Fabio Aguiar</t>
  </si>
  <si>
    <t xml:space="preserve">Fabio Aguiar da Silva</t>
  </si>
  <si>
    <t xml:space="preserve">Felipe Mian</t>
  </si>
  <si>
    <t xml:space="preserve">Felipe Gabriel Silva Mian</t>
  </si>
  <si>
    <t xml:space="preserve">Felipe Pacajus</t>
  </si>
  <si>
    <t xml:space="preserve">Felipe Alysson Batista</t>
  </si>
  <si>
    <t xml:space="preserve">Fernando Junio Sousa da Silva</t>
  </si>
  <si>
    <t xml:space="preserve">Fogliato</t>
  </si>
  <si>
    <t xml:space="preserve">Diogo Fogliato de Andrade</t>
  </si>
  <si>
    <t xml:space="preserve">Foguinho</t>
  </si>
  <si>
    <t xml:space="preserve">Daniel Junio Soares Oliveira</t>
  </si>
  <si>
    <t xml:space="preserve">Gabriel Girotto Franco</t>
  </si>
  <si>
    <t xml:space="preserve">Guilherme Pato</t>
  </si>
  <si>
    <t xml:space="preserve">Guilherme Nunes Rodrigues</t>
  </si>
  <si>
    <t xml:space="preserve">Gustavo Crecci</t>
  </si>
  <si>
    <t xml:space="preserve">Gustavo Ferreira Crecci</t>
  </si>
  <si>
    <t xml:space="preserve">Gustavo Cutrim</t>
  </si>
  <si>
    <t xml:space="preserve">Gustavo Costa Cutrim</t>
  </si>
  <si>
    <t xml:space="preserve">Gustavo Henrique Alves Rodrigues</t>
  </si>
  <si>
    <t xml:space="preserve">Henrique Cayres</t>
  </si>
  <si>
    <t xml:space="preserve">Henrique Cayres Torelli</t>
  </si>
  <si>
    <t xml:space="preserve">Igor Souza</t>
  </si>
  <si>
    <t xml:space="preserve">Igor Mateus de Souza Wilhelm</t>
  </si>
  <si>
    <t xml:space="preserve">Juan Kelsen</t>
  </si>
  <si>
    <t xml:space="preserve">Juan Kelsen Ribeiro Xavier</t>
  </si>
  <si>
    <t xml:space="preserve">Junior Palmares</t>
  </si>
  <si>
    <t xml:space="preserve">José Ederaldo da Silva Júnior</t>
  </si>
  <si>
    <t xml:space="preserve">Kayo</t>
  </si>
  <si>
    <t xml:space="preserve">Kayo Gonçalves de Oliveira</t>
  </si>
  <si>
    <t xml:space="preserve">Gabriel Araujo Lima</t>
  </si>
  <si>
    <t xml:space="preserve">Daniel de Oliveira Lobato</t>
  </si>
  <si>
    <t xml:space="preserve">Luan Santos</t>
  </si>
  <si>
    <t xml:space="preserve">Kleyverton Luan Costa dos Santos</t>
  </si>
  <si>
    <t xml:space="preserve">Lucas Romero</t>
  </si>
  <si>
    <t xml:space="preserve">Lucas Daniel Romero</t>
  </si>
  <si>
    <t xml:space="preserve">Luiz Felipe de Oliveira Barroso</t>
  </si>
  <si>
    <t xml:space="preserve">Luiz Guilherme</t>
  </si>
  <si>
    <t xml:space="preserve">Luiz Guilherme Lucio e Freitags</t>
  </si>
  <si>
    <t xml:space="preserve">Luis Henrique Santos Domingo</t>
  </si>
  <si>
    <t xml:space="preserve">Marcus Vinicius Abreu Mendes Lorena</t>
  </si>
  <si>
    <t xml:space="preserve">Marcio Teixeira de Oliveira</t>
  </si>
  <si>
    <t xml:space="preserve">Mateus Guimaraes</t>
  </si>
  <si>
    <t xml:space="preserve">Mateus Guimarães do Nascimento</t>
  </si>
  <si>
    <t xml:space="preserve">Michael Douglas Maia Arruda</t>
  </si>
  <si>
    <t xml:space="preserve">Michel Pereira Chagas</t>
  </si>
  <si>
    <t xml:space="preserve">Miguel Ribeiro</t>
  </si>
  <si>
    <t xml:space="preserve">Miguel Gonçalves Ribeiro</t>
  </si>
  <si>
    <t xml:space="preserve">Mikael roque Sackvil</t>
  </si>
  <si>
    <t xml:space="preserve">Nicolas Maiorino de Camargo</t>
  </si>
  <si>
    <t xml:space="preserve">Paulinho Moccelin</t>
  </si>
  <si>
    <t xml:space="preserve">Paulo Roberto Moccelin</t>
  </si>
  <si>
    <t xml:space="preserve">Pedro Henrique Gomes Costa</t>
  </si>
  <si>
    <t xml:space="preserve">Pepe</t>
  </si>
  <si>
    <t xml:space="preserve">Cauan Souza de Araujo</t>
  </si>
  <si>
    <t xml:space="preserve">Rafael Baldini Massola</t>
  </si>
  <si>
    <t xml:space="preserve">Rafael Matheus Moraes Tiburcio</t>
  </si>
  <si>
    <t xml:space="preserve">Railon</t>
  </si>
  <si>
    <t xml:space="preserve">Railon Sousa Santos</t>
  </si>
  <si>
    <t xml:space="preserve">Renan Henrique</t>
  </si>
  <si>
    <t xml:space="preserve">Renan Henrique Gomes Neves</t>
  </si>
  <si>
    <t xml:space="preserve">Roberto Baggio</t>
  </si>
  <si>
    <t xml:space="preserve">Roberto Baggio Ribeiro da Costa</t>
  </si>
  <si>
    <t xml:space="preserve">Roque Junior</t>
  </si>
  <si>
    <t xml:space="preserve">Roque Santos de Jesus Junior</t>
  </si>
  <si>
    <t xml:space="preserve">Sanchez</t>
  </si>
  <si>
    <t xml:space="preserve">Sanchez Jose Vale Costa</t>
  </si>
  <si>
    <t xml:space="preserve">Shaylon</t>
  </si>
  <si>
    <t xml:space="preserve">Shaylon Kallyson Cardozo</t>
  </si>
  <si>
    <t xml:space="preserve">Thauan</t>
  </si>
  <si>
    <t xml:space="preserve">Thauan Willians Jesus Silva</t>
  </si>
  <si>
    <t xml:space="preserve">Thiago Magatão</t>
  </si>
  <si>
    <t xml:space="preserve">Tico</t>
  </si>
  <si>
    <t xml:space="preserve">Cesar Augusto Ferreira Ambrosio</t>
  </si>
  <si>
    <t xml:space="preserve">Vinicius Amaral</t>
  </si>
  <si>
    <t xml:space="preserve">Marcus Vinicius Vidal dos Santos</t>
  </si>
  <si>
    <t xml:space="preserve">Vinicius Nunes</t>
  </si>
  <si>
    <t xml:space="preserve">Luis Vinicius Nunes Cavalcante</t>
  </si>
  <si>
    <t xml:space="preserve">Vitor Hugo Goularte Silva</t>
  </si>
  <si>
    <t xml:space="preserve">William dos Anjos Nascimento</t>
  </si>
  <si>
    <t xml:space="preserve">Ze Mateus</t>
  </si>
  <si>
    <t xml:space="preserve">Jose Mateus Junior</t>
  </si>
  <si>
    <t xml:space="preserve">Alex da Silva</t>
  </si>
  <si>
    <t xml:space="preserve">Amorim</t>
  </si>
  <si>
    <t xml:space="preserve">Carlos Eduardo Silva Amorim</t>
  </si>
  <si>
    <t xml:space="preserve">Caio Alexandre</t>
  </si>
  <si>
    <t xml:space="preserve">Caio Alexandre Souza e Silva</t>
  </si>
  <si>
    <t xml:space="preserve">Carlos Manuel</t>
  </si>
  <si>
    <t xml:space="preserve">Carlos Manuel de Resende Teodoro</t>
  </si>
  <si>
    <t xml:space="preserve">Casagrande</t>
  </si>
  <si>
    <t xml:space="preserve">Pedro Henrique Casagrande Oliveira</t>
  </si>
  <si>
    <t xml:space="preserve">Dal Pian</t>
  </si>
  <si>
    <t xml:space="preserve">Guilherme Devitte Dal Pian</t>
  </si>
  <si>
    <t xml:space="preserve">Daniego</t>
  </si>
  <si>
    <t xml:space="preserve">Daniego de Matos Silva</t>
  </si>
  <si>
    <t xml:space="preserve">Daniel Felipe</t>
  </si>
  <si>
    <t xml:space="preserve">Daniel Felipe da Silva Rezende</t>
  </si>
  <si>
    <t xml:space="preserve">David Goiana</t>
  </si>
  <si>
    <t xml:space="preserve">David Albertino de Lima da Silva</t>
  </si>
  <si>
    <t xml:space="preserve">De Pena</t>
  </si>
  <si>
    <t xml:space="preserve">Carlos Maria de Pena</t>
  </si>
  <si>
    <t xml:space="preserve">Eduardo Porto</t>
  </si>
  <si>
    <t xml:space="preserve">Eduardo de Oliveira Porto Carvalho</t>
  </si>
  <si>
    <t xml:space="preserve">Elvis</t>
  </si>
  <si>
    <t xml:space="preserve">Elvis Garcia Carvalho</t>
  </si>
  <si>
    <t xml:space="preserve">Elyson</t>
  </si>
  <si>
    <t xml:space="preserve">Elyson Gustavo Minosso da Silva</t>
  </si>
  <si>
    <t xml:space="preserve">Erik Bessa</t>
  </si>
  <si>
    <t xml:space="preserve">Erik da Silva Bessa</t>
  </si>
  <si>
    <t xml:space="preserve">Fábio Bahia</t>
  </si>
  <si>
    <t xml:space="preserve">Fabio Junior Nascimento Santos</t>
  </si>
  <si>
    <t xml:space="preserve">André Felipe de Almeida Santos</t>
  </si>
  <si>
    <t xml:space="preserve">Flavio Henrique</t>
  </si>
  <si>
    <t xml:space="preserve">Flavio Henrique Aureliano Mendonça</t>
  </si>
  <si>
    <t xml:space="preserve">Fofão</t>
  </si>
  <si>
    <t xml:space="preserve">Weverton Silva do Nascimento</t>
  </si>
  <si>
    <t xml:space="preserve">Gabriel Davis</t>
  </si>
  <si>
    <t xml:space="preserve">Gabriel Davis dos Santos</t>
  </si>
  <si>
    <t xml:space="preserve">Gabriel Feliciano</t>
  </si>
  <si>
    <t xml:space="preserve">Gabriel Feliciano da Silva</t>
  </si>
  <si>
    <t xml:space="preserve">Guegue</t>
  </si>
  <si>
    <t xml:space="preserve">Gledson Gustavo Fernandes</t>
  </si>
  <si>
    <t xml:space="preserve">Gustavo Nunes</t>
  </si>
  <si>
    <t xml:space="preserve">Gustavo Nunes Migueis</t>
  </si>
  <si>
    <t xml:space="preserve">João Victor</t>
  </si>
  <si>
    <t xml:space="preserve">João Victor Gaspar da Sislva</t>
  </si>
  <si>
    <t xml:space="preserve">Josué Silva de Freitas</t>
  </si>
  <si>
    <t xml:space="preserve">Juliano</t>
  </si>
  <si>
    <t xml:space="preserve">Juliano Alexandre Borges</t>
  </si>
  <si>
    <t xml:space="preserve">1 joinvillesc</t>
  </si>
  <si>
    <t xml:space="preserve">Oswaldo da Silva Nascimento</t>
  </si>
  <si>
    <t xml:space="preserve">Keké</t>
  </si>
  <si>
    <t xml:space="preserve">Paulo de Souza Junior</t>
  </si>
  <si>
    <t xml:space="preserve">Leonardo Pereira dos Santos</t>
  </si>
  <si>
    <t xml:space="preserve">Lucas Sasha</t>
  </si>
  <si>
    <t xml:space="preserve">Lucas Pacheco Affini</t>
  </si>
  <si>
    <t xml:space="preserve">Lucas Silva Borges</t>
  </si>
  <si>
    <t xml:space="preserve">Marcelo Henrique Ferreira</t>
  </si>
  <si>
    <t xml:space="preserve">Marcelo Duarte</t>
  </si>
  <si>
    <t xml:space="preserve">Marcelo Duarte da Silva</t>
  </si>
  <si>
    <t xml:space="preserve">Matheus Lu</t>
  </si>
  <si>
    <t xml:space="preserve">Matheus Augusto Pinheiro Lu</t>
  </si>
  <si>
    <t xml:space="preserve">Matheus Taumaturgo</t>
  </si>
  <si>
    <t xml:space="preserve">Matheus Frederico Lima Taumaturgo</t>
  </si>
  <si>
    <t xml:space="preserve">Nata Felipe</t>
  </si>
  <si>
    <t xml:space="preserve">Nata Felipe de Amorim Santos</t>
  </si>
  <si>
    <t xml:space="preserve">Nuno Moreira</t>
  </si>
  <si>
    <t xml:space="preserve">Nuno Gonçalo Rocha Moreira</t>
  </si>
  <si>
    <t xml:space="preserve">Radsley</t>
  </si>
  <si>
    <t xml:space="preserve">Radsley Eduardo Gonçalves</t>
  </si>
  <si>
    <t xml:space="preserve">Renna</t>
  </si>
  <si>
    <t xml:space="preserve">Renna da Silva Mendes</t>
  </si>
  <si>
    <t xml:space="preserve">Ricardo Alexandre Ribeiro de Souza Junior</t>
  </si>
  <si>
    <t xml:space="preserve">Robson Lopes</t>
  </si>
  <si>
    <t xml:space="preserve">Robson Luis Lopes</t>
  </si>
  <si>
    <t xml:space="preserve">Roger Modesto</t>
  </si>
  <si>
    <t xml:space="preserve">Ronylo Roger Modesto Fagundes</t>
  </si>
  <si>
    <t xml:space="preserve">Romulo Chagas</t>
  </si>
  <si>
    <t xml:space="preserve">Romulo Matheus Chagas</t>
  </si>
  <si>
    <t xml:space="preserve">1 uniaomt</t>
  </si>
  <si>
    <t xml:space="preserve">Samuel Josias Sabino Pinheiro</t>
  </si>
  <si>
    <t xml:space="preserve">Tadeu Araújo da Costa</t>
  </si>
  <si>
    <t xml:space="preserve">Thainler</t>
  </si>
  <si>
    <t xml:space="preserve">Thainler Mariano Nascimento</t>
  </si>
  <si>
    <t xml:space="preserve">Thiago</t>
  </si>
  <si>
    <t xml:space="preserve">Thiago Sousa Lima</t>
  </si>
  <si>
    <t xml:space="preserve">Tiago Bagagem</t>
  </si>
  <si>
    <t xml:space="preserve">Tiago Rodolfo Ferraz</t>
  </si>
  <si>
    <t xml:space="preserve">Vinicius Baracioli</t>
  </si>
  <si>
    <t xml:space="preserve">Vinicius Henrique Baracioli</t>
  </si>
  <si>
    <t xml:space="preserve">Victor Vinicius Coelho dos Santos</t>
  </si>
  <si>
    <t xml:space="preserve">Vitor Leque</t>
  </si>
  <si>
    <t xml:space="preserve">Vitor Benedito Leque da Silva</t>
  </si>
  <si>
    <t xml:space="preserve">Vitor Mariano</t>
  </si>
  <si>
    <t xml:space="preserve">Vitor Mariano Severo</t>
  </si>
  <si>
    <t xml:space="preserve">Wallison</t>
  </si>
  <si>
    <t xml:space="preserve">Wallison Nunes Silva</t>
  </si>
  <si>
    <t xml:space="preserve">Wanderson Martins e Silva</t>
  </si>
  <si>
    <t xml:space="preserve">Ze Roberto</t>
  </si>
  <si>
    <t xml:space="preserve">José Roberto Assunçao de Araujo</t>
  </si>
  <si>
    <t xml:space="preserve">José Vitor Geminiano Cavalieri</t>
  </si>
  <si>
    <t xml:space="preserve">Aitor</t>
  </si>
  <si>
    <t xml:space="preserve">Aitor Cantalapiedra Fernandez</t>
  </si>
  <si>
    <t xml:space="preserve">espanha</t>
  </si>
  <si>
    <t xml:space="preserve">Alesson</t>
  </si>
  <si>
    <t xml:space="preserve">Alesson dos Santos Batista</t>
  </si>
  <si>
    <t xml:space="preserve">Andre Luis da Costa Alfredo</t>
  </si>
  <si>
    <t xml:space="preserve">Cleiton Schwengber</t>
  </si>
  <si>
    <t xml:space="preserve">Coppetti</t>
  </si>
  <si>
    <t xml:space="preserve">Carlos Afonso Coppetti</t>
  </si>
  <si>
    <t xml:space="preserve">Danilinho</t>
  </si>
  <si>
    <t xml:space="preserve">Danilo Ferreira Camargo Neves</t>
  </si>
  <si>
    <t xml:space="preserve">Eduardo dos Santos</t>
  </si>
  <si>
    <t xml:space="preserve">Dyego</t>
  </si>
  <si>
    <t xml:space="preserve">Dyego Cavalcante Pereira</t>
  </si>
  <si>
    <t xml:space="preserve">Foguete</t>
  </si>
  <si>
    <t xml:space="preserve">Pedro Paulo da Silva Barbosa</t>
  </si>
  <si>
    <t xml:space="preserve">Gabriel Pereira Justino</t>
  </si>
  <si>
    <t xml:space="preserve">Gonzalo Schnorr Fornari</t>
  </si>
  <si>
    <t xml:space="preserve">Gustavo Neves</t>
  </si>
  <si>
    <t xml:space="preserve">Gustavo Ribeiro Neves</t>
  </si>
  <si>
    <t xml:space="preserve">Jonatha Carlos</t>
  </si>
  <si>
    <t xml:space="preserve">Jonatha Carlos de Melo</t>
  </si>
  <si>
    <t xml:space="preserve">Khellven</t>
  </si>
  <si>
    <t xml:space="preserve">Khellven Douglas Silva Oliveira</t>
  </si>
  <si>
    <t xml:space="preserve">Lucas Rodrigues dos Santos</t>
  </si>
  <si>
    <t xml:space="preserve">Lucca Prior Pimenta</t>
  </si>
  <si>
    <t xml:space="preserve">Madison</t>
  </si>
  <si>
    <t xml:space="preserve">Madison Araujo Costa</t>
  </si>
  <si>
    <t xml:space="preserve">Maikon Aquino</t>
  </si>
  <si>
    <t xml:space="preserve">Maikon Alves de Aquino</t>
  </si>
  <si>
    <t xml:space="preserve">Manuel Castro</t>
  </si>
  <si>
    <t xml:space="preserve">Luis Manuel Castro Caceres</t>
  </si>
  <si>
    <t xml:space="preserve">Marcos Junior</t>
  </si>
  <si>
    <t xml:space="preserve">Marcos Antonio Augusto Junior</t>
  </si>
  <si>
    <t xml:space="preserve">Mauri</t>
  </si>
  <si>
    <t xml:space="preserve">Mauri Franco Barbosa da Silva</t>
  </si>
  <si>
    <t xml:space="preserve">Mayk</t>
  </si>
  <si>
    <t xml:space="preserve">Mayksilvan da Silva Ferreira</t>
  </si>
  <si>
    <t xml:space="preserve">1 novorizontinosp</t>
  </si>
  <si>
    <t xml:space="preserve">Orlando Junior</t>
  </si>
  <si>
    <t xml:space="preserve">Orlando Jose dos Santos Junior</t>
  </si>
  <si>
    <t xml:space="preserve">Rodrigo Nestor</t>
  </si>
  <si>
    <t xml:space="preserve">Rodrigo Nestor Bertalia</t>
  </si>
  <si>
    <t xml:space="preserve">Sabino</t>
  </si>
  <si>
    <t xml:space="preserve">José Sabino Chagas Monteiro</t>
  </si>
  <si>
    <t xml:space="preserve">Udson</t>
  </si>
  <si>
    <t xml:space="preserve">Udon Rodrigo Moreira daa Silva</t>
  </si>
  <si>
    <t xml:space="preserve">Vinicius Paiva</t>
  </si>
  <si>
    <t xml:space="preserve">Vinicius dos Santos de Oliveira</t>
  </si>
  <si>
    <t xml:space="preserve">Willian Barbosa</t>
  </si>
  <si>
    <t xml:space="preserve">Willian da Silva Vianna Ferreira Barbosa</t>
  </si>
  <si>
    <t xml:space="preserve">Yago Felipe</t>
  </si>
  <si>
    <t xml:space="preserve">Yago Felipe da Costa Rocha</t>
  </si>
  <si>
    <t xml:space="preserve">Alencar</t>
  </si>
  <si>
    <t xml:space="preserve">Rodrigo Souza Santos</t>
  </si>
  <si>
    <t xml:space="preserve">Arroyo</t>
  </si>
  <si>
    <t xml:space="preserve">Keny Alexander Arroyo Alvarado</t>
  </si>
  <si>
    <t xml:space="preserve">Brayan Damian</t>
  </si>
  <si>
    <t xml:space="preserve">Brayan Damian Lucumi Lucumi</t>
  </si>
  <si>
    <t xml:space="preserve">Caua Rocha</t>
  </si>
  <si>
    <t xml:space="preserve">Caua de Souza Rocha</t>
  </si>
  <si>
    <t xml:space="preserve">Dantas</t>
  </si>
  <si>
    <t xml:space="preserve">João Vitor Silva Dantas de Oliveira</t>
  </si>
  <si>
    <t xml:space="preserve">David Lopes</t>
  </si>
  <si>
    <t xml:space="preserve">David José Lopes do Couto</t>
  </si>
  <si>
    <t xml:space="preserve">Erick Pulga</t>
  </si>
  <si>
    <t xml:space="preserve">Erick da Costa Farias</t>
  </si>
  <si>
    <t xml:space="preserve">Everton Souza da Cruz</t>
  </si>
  <si>
    <t xml:space="preserve">Ignacio Sousa</t>
  </si>
  <si>
    <t xml:space="preserve">Ignacio Sosa Hospital</t>
  </si>
  <si>
    <t xml:space="preserve">João Victor Caroll Santana</t>
  </si>
  <si>
    <t xml:space="preserve">Jose Aldo</t>
  </si>
  <si>
    <t xml:space="preserve">Jose Aldo Soares de Oliveira Filho</t>
  </si>
  <si>
    <t xml:space="preserve">Kukri</t>
  </si>
  <si>
    <t xml:space="preserve">Krowakreti Viviane Kajipok</t>
  </si>
  <si>
    <t xml:space="preserve">Leo Naldi</t>
  </si>
  <si>
    <t xml:space="preserve">Leonardo Naldi de Matos</t>
  </si>
  <si>
    <t xml:space="preserve">Montoro</t>
  </si>
  <si>
    <t xml:space="preserve">Alvaro Montoro</t>
  </si>
  <si>
    <t xml:space="preserve">Moraes</t>
  </si>
  <si>
    <t xml:space="preserve">Onitlasi Junior de Moraes Rodrigues</t>
  </si>
  <si>
    <t xml:space="preserve">Henry David Mosquera Sanchez</t>
  </si>
  <si>
    <t xml:space="preserve">Rafael Ramos</t>
  </si>
  <si>
    <t xml:space="preserve">Rafael Antonio Figueiredo Ramos</t>
  </si>
  <si>
    <t xml:space="preserve">Sassa</t>
  </si>
  <si>
    <t xml:space="preserve">Luiz Ricardo Alves</t>
  </si>
  <si>
    <t xml:space="preserve">Wendell</t>
  </si>
  <si>
    <t xml:space="preserve">Wendel de Araujo Delfino</t>
  </si>
  <si>
    <t xml:space="preserve">Adriano Martins</t>
  </si>
  <si>
    <t xml:space="preserve">Adriano Martins da Fonseca</t>
  </si>
  <si>
    <t xml:space="preserve">Alison Jose da Silva</t>
  </si>
  <si>
    <t xml:space="preserve">Ariel Felipe Gomes da Rosa</t>
  </si>
  <si>
    <t xml:space="preserve">Augusto Pucci</t>
  </si>
  <si>
    <t xml:space="preserve">Augusto Pucci de Freitas</t>
  </si>
  <si>
    <t xml:space="preserve">Dada Belmonte</t>
  </si>
  <si>
    <t xml:space="preserve">Adailson Freire Pereira da Silva</t>
  </si>
  <si>
    <t xml:space="preserve">Daniel de Oliveira Sertanejo</t>
  </si>
  <si>
    <t xml:space="preserve">Diney Silva da Costa</t>
  </si>
  <si>
    <t xml:space="preserve">Eduardo Moura</t>
  </si>
  <si>
    <t xml:space="preserve">Eduardo Junho Gonçalves Moura</t>
  </si>
  <si>
    <t xml:space="preserve">Fabricio Oya</t>
  </si>
  <si>
    <t xml:space="preserve">Fabricio Keiske Rodrigues Oya</t>
  </si>
  <si>
    <t xml:space="preserve">Fernando </t>
  </si>
  <si>
    <t xml:space="preserve">Fernando Augusto Pereira</t>
  </si>
  <si>
    <t xml:space="preserve">Wellington Wildy Muni dos Santos</t>
  </si>
  <si>
    <t xml:space="preserve">Gharib</t>
  </si>
  <si>
    <t xml:space="preserve">João Vitor Gharib de Moraes</t>
  </si>
  <si>
    <t xml:space="preserve">Igor Henrique</t>
  </si>
  <si>
    <t xml:space="preserve">Igor Henrique Martins Machado</t>
  </si>
  <si>
    <t xml:space="preserve">Lucas Eduardo Lima da Silva</t>
  </si>
  <si>
    <t xml:space="preserve">Ramon Ramos Lima</t>
  </si>
  <si>
    <t xml:space="preserve">Thassio</t>
  </si>
  <si>
    <t xml:space="preserve">Thassio Marques Melo</t>
  </si>
  <si>
    <t xml:space="preserve">Victor Caetano</t>
  </si>
  <si>
    <t xml:space="preserve">Victor Henrique Carvalho Caetano</t>
  </si>
  <si>
    <t xml:space="preserve">Victor Feitosa</t>
  </si>
  <si>
    <t xml:space="preserve">Victor Feitosa de Freitas</t>
  </si>
  <si>
    <t xml:space="preserve">Weslley Santos</t>
  </si>
  <si>
    <t xml:space="preserve">Cicero Weslley Silva Santos</t>
  </si>
  <si>
    <t xml:space="preserve">Daniel de Carvalho</t>
  </si>
  <si>
    <t xml:space="preserve">Fernando Jose Marques Maciel</t>
  </si>
  <si>
    <t xml:space="preserve">Lucas Silva Rodrigues</t>
  </si>
  <si>
    <t xml:space="preserve">Nicolas Vichiatto da Silva</t>
  </si>
  <si>
    <t xml:space="preserve">Thiago Lopes</t>
  </si>
  <si>
    <t xml:space="preserve">Thiago Oliveira Lopes</t>
  </si>
  <si>
    <t xml:space="preserve">Valdir Junior</t>
  </si>
  <si>
    <t xml:space="preserve">Valdir Junior Botelho Correia</t>
  </si>
  <si>
    <t xml:space="preserve">Xavier</t>
  </si>
  <si>
    <t xml:space="preserve">Guilherme Xavier de Oliveira</t>
  </si>
  <si>
    <t xml:space="preserve">Daniel de Oliveira Felizardo</t>
  </si>
  <si>
    <t xml:space="preserve">Lourenço</t>
  </si>
  <si>
    <t xml:space="preserve">João Paulo Ferreira Lourenço</t>
  </si>
  <si>
    <t xml:space="preserve">Eduardo Doma</t>
  </si>
  <si>
    <t xml:space="preserve">Eduardo Vinicius Domachowski</t>
  </si>
  <si>
    <t xml:space="preserve">Italo de Vargas da Rosa</t>
  </si>
  <si>
    <t xml:space="preserve">Jamerson</t>
  </si>
  <si>
    <t xml:space="preserve">Jhosefer</t>
  </si>
  <si>
    <t xml:space="preserve">Jojo</t>
  </si>
  <si>
    <t xml:space="preserve">Junior Fialho</t>
  </si>
  <si>
    <t xml:space="preserve">Kayllan</t>
  </si>
  <si>
    <t xml:space="preserve">Lazaro</t>
  </si>
  <si>
    <t xml:space="preserve">Leo Maia</t>
  </si>
  <si>
    <t xml:space="preserve">Lessa</t>
  </si>
  <si>
    <t xml:space="preserve">Lucas Honorio</t>
  </si>
  <si>
    <t xml:space="preserve">Luciano Naninho</t>
  </si>
  <si>
    <t xml:space="preserve">Marcos Cruz</t>
  </si>
  <si>
    <t xml:space="preserve">Matheus Galdezani</t>
  </si>
  <si>
    <t xml:space="preserve">Mauricio Ferreira</t>
  </si>
  <si>
    <t xml:space="preserve">Max Miller</t>
  </si>
  <si>
    <t xml:space="preserve">Nalbert</t>
  </si>
  <si>
    <t xml:space="preserve">Pato</t>
  </si>
  <si>
    <t xml:space="preserve">Pavani</t>
  </si>
  <si>
    <t xml:space="preserve">Pedro Rodrigues</t>
  </si>
  <si>
    <t xml:space="preserve">Raimundinho</t>
  </si>
  <si>
    <t xml:space="preserve">Regino</t>
  </si>
  <si>
    <t xml:space="preserve">Renato Henrique</t>
  </si>
  <si>
    <t xml:space="preserve">Rhuann Patrick</t>
  </si>
  <si>
    <t xml:space="preserve">Richard Almeida</t>
  </si>
  <si>
    <t xml:space="preserve">Rigley</t>
  </si>
  <si>
    <t xml:space="preserve">Rodrigo Ferreira</t>
  </si>
  <si>
    <t xml:space="preserve">Ruan Ribeiro</t>
  </si>
  <si>
    <t xml:space="preserve">Tapioca</t>
  </si>
  <si>
    <t xml:space="preserve">Thiago Coser</t>
  </si>
  <si>
    <t xml:space="preserve">Tulio Eduardo</t>
  </si>
  <si>
    <t xml:space="preserve">Valtinho</t>
  </si>
  <si>
    <t xml:space="preserve">Vitinho Albanez</t>
  </si>
  <si>
    <t xml:space="preserve">Ze Hugo</t>
  </si>
  <si>
    <t xml:space="preserve">EQUIPE</t>
  </si>
  <si>
    <t xml:space="preserve">TIME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</si>
  <si>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</si>
  <si>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</si>
  <si>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</si>
  <si>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</si>
  <si>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</si>
  <si>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</si>
  <si>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GOL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</si>
  <si>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</si>
  <si>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</si>
  <si>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</si>
  <si>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</si>
  <si>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</si>
  <si>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INV</t>
  </si>
  <si>
    <t xml:space="preserve">VIT</t>
  </si>
  <si>
    <t xml:space="preserve">EMP</t>
  </si>
  <si>
    <t xml:space="preserve">DIVISÃO NACIONAL</t>
  </si>
  <si>
    <t xml:space="preserve">CIDADE</t>
  </si>
  <si>
    <t xml:space="preserve">UF</t>
  </si>
  <si>
    <t xml:space="preserve">Gama-DF</t>
  </si>
  <si>
    <t xml:space="preserve">Parnahyba</t>
  </si>
  <si>
    <t xml:space="preserve">PI</t>
  </si>
  <si>
    <t xml:space="preserve">Goiás-GO</t>
  </si>
  <si>
    <t xml:space="preserve">Natal</t>
  </si>
  <si>
    <t xml:space="preserve">RN</t>
  </si>
  <si>
    <t xml:space="preserve">Operário-PR</t>
  </si>
  <si>
    <t xml:space="preserve">Rio de Janeiro</t>
  </si>
  <si>
    <t xml:space="preserve">RJ</t>
  </si>
  <si>
    <t xml:space="preserve">Nacional-AM</t>
  </si>
  <si>
    <t xml:space="preserve">Serra Branca</t>
  </si>
  <si>
    <t xml:space="preserve">PB</t>
  </si>
  <si>
    <t xml:space="preserve">Manausam</t>
  </si>
  <si>
    <t xml:space="preserve">Manaus-AM</t>
  </si>
  <si>
    <t xml:space="preserve">Sertania</t>
  </si>
  <si>
    <t xml:space="preserve">PE</t>
  </si>
  <si>
    <t xml:space="preserve">Athletic-MG</t>
  </si>
  <si>
    <t xml:space="preserve">Aracaju</t>
  </si>
  <si>
    <t xml:space="preserve">SE</t>
  </si>
  <si>
    <t xml:space="preserve">CEOV Operário-MT</t>
  </si>
  <si>
    <t xml:space="preserve">C</t>
  </si>
  <si>
    <t xml:space="preserve">Manaus</t>
  </si>
  <si>
    <t xml:space="preserve">AM</t>
  </si>
  <si>
    <t xml:space="preserve">Palmeiras-SP</t>
  </si>
  <si>
    <t xml:space="preserve">Aparecida de Goiânia</t>
  </si>
  <si>
    <t xml:space="preserve">GO</t>
  </si>
  <si>
    <t xml:space="preserve">Sport-PE</t>
  </si>
  <si>
    <t xml:space="preserve">Boa Vista</t>
  </si>
  <si>
    <t xml:space="preserve">RR</t>
  </si>
  <si>
    <t xml:space="preserve">CSA-AL</t>
  </si>
  <si>
    <t xml:space="preserve">Sousa</t>
  </si>
  <si>
    <t xml:space="preserve">Sergipe-SE</t>
  </si>
  <si>
    <t xml:space="preserve">B</t>
  </si>
  <si>
    <t xml:space="preserve">Caxias do Sul</t>
  </si>
  <si>
    <t xml:space="preserve">RS</t>
  </si>
  <si>
    <t xml:space="preserve">Porto Velho-RO</t>
  </si>
  <si>
    <t xml:space="preserve">João Pessoa</t>
  </si>
  <si>
    <t xml:space="preserve">Águia de Marabá-PA</t>
  </si>
  <si>
    <t xml:space="preserve">Rolim de Moura</t>
  </si>
  <si>
    <t xml:space="preserve">RO</t>
  </si>
  <si>
    <t xml:space="preserve">Cascavel-PR</t>
  </si>
  <si>
    <t xml:space="preserve">Lucas do Rio Verde</t>
  </si>
  <si>
    <t xml:space="preserve">MT</t>
  </si>
  <si>
    <t xml:space="preserve">Internacional-RS</t>
  </si>
  <si>
    <t xml:space="preserve">Maringa</t>
  </si>
  <si>
    <t xml:space="preserve">PR</t>
  </si>
  <si>
    <t xml:space="preserve">Fluminense-RJ</t>
  </si>
  <si>
    <t xml:space="preserve">Belo Horizonte</t>
  </si>
  <si>
    <t xml:space="preserve">Novorizontino-SP</t>
  </si>
  <si>
    <t xml:space="preserve">Ouvidor</t>
  </si>
  <si>
    <t xml:space="preserve">Sampaio Correa-RJ</t>
  </si>
  <si>
    <t xml:space="preserve">A</t>
  </si>
  <si>
    <t xml:space="preserve">Porto Alegre</t>
  </si>
  <si>
    <t xml:space="preserve">Vila Nova-GO</t>
  </si>
  <si>
    <t xml:space="preserve">Araguaina-TO</t>
  </si>
  <si>
    <t xml:space="preserve">Saquarema</t>
  </si>
  <si>
    <t xml:space="preserve">Botafogo-RJ</t>
  </si>
  <si>
    <t xml:space="preserve">Belém</t>
  </si>
  <si>
    <t xml:space="preserve">PA</t>
  </si>
  <si>
    <t xml:space="preserve">Ceará-CE</t>
  </si>
  <si>
    <t xml:space="preserve">Campinas</t>
  </si>
  <si>
    <t xml:space="preserve">SP</t>
  </si>
  <si>
    <t xml:space="preserve">Ferroviário-CE</t>
  </si>
  <si>
    <t xml:space="preserve">Itajaí</t>
  </si>
  <si>
    <t xml:space="preserve">SC</t>
  </si>
  <si>
    <t xml:space="preserve">Remo-PA</t>
  </si>
  <si>
    <t xml:space="preserve">Cuiaba</t>
  </si>
  <si>
    <t xml:space="preserve">São Paulo-SP</t>
  </si>
  <si>
    <t xml:space="preserve">Riachão do Jacuipe</t>
  </si>
  <si>
    <t xml:space="preserve">BA</t>
  </si>
  <si>
    <t xml:space="preserve">Trem-AP</t>
  </si>
  <si>
    <t xml:space="preserve">Teresina</t>
  </si>
  <si>
    <t xml:space="preserve">Vitória-BA</t>
  </si>
  <si>
    <t xml:space="preserve">Ijui</t>
  </si>
  <si>
    <t xml:space="preserve">Capital-DF</t>
  </si>
  <si>
    <t xml:space="preserve">São Luis</t>
  </si>
  <si>
    <t xml:space="preserve">MA</t>
  </si>
  <si>
    <t xml:space="preserve">Cianorte-PR</t>
  </si>
  <si>
    <t xml:space="preserve">São José dos Pinhais</t>
  </si>
  <si>
    <t xml:space="preserve">IAPE-MA</t>
  </si>
  <si>
    <t xml:space="preserve">Luverdense-MT</t>
  </si>
  <si>
    <t xml:space="preserve">Taguatinga</t>
  </si>
  <si>
    <t xml:space="preserve">DF</t>
  </si>
  <si>
    <t xml:space="preserve">Operário-MS</t>
  </si>
  <si>
    <t xml:space="preserve">Diadema</t>
  </si>
  <si>
    <t xml:space="preserve">Tuna Luso-PA</t>
  </si>
  <si>
    <t xml:space="preserve">Aguia Branca</t>
  </si>
  <si>
    <t xml:space="preserve">ES</t>
  </si>
  <si>
    <t xml:space="preserve">Atlético-CE</t>
  </si>
  <si>
    <t xml:space="preserve">Cascavel</t>
  </si>
  <si>
    <t xml:space="preserve">Guarani-SP</t>
  </si>
  <si>
    <t xml:space="preserve">Brusque</t>
  </si>
  <si>
    <t xml:space="preserve">Imperatriz-MA</t>
  </si>
  <si>
    <t xml:space="preserve">Fortaleza</t>
  </si>
  <si>
    <t xml:space="preserve">CE</t>
  </si>
  <si>
    <t xml:space="preserve">Maranhão-MA</t>
  </si>
  <si>
    <t xml:space="preserve">Tibau do Sul</t>
  </si>
  <si>
    <t xml:space="preserve">Primavera-MT</t>
  </si>
  <si>
    <t xml:space="preserve">Criciuma</t>
  </si>
  <si>
    <t xml:space="preserve">São Joseense-PR</t>
  </si>
  <si>
    <t xml:space="preserve">Limeira</t>
  </si>
  <si>
    <t xml:space="preserve">Anápolis-GO</t>
  </si>
  <si>
    <t xml:space="preserve">Recife</t>
  </si>
  <si>
    <t xml:space="preserve">Caxias-RS</t>
  </si>
  <si>
    <t xml:space="preserve">Belem</t>
  </si>
  <si>
    <t xml:space="preserve">Ferroviária-SP</t>
  </si>
  <si>
    <t xml:space="preserve">Iguatu</t>
  </si>
  <si>
    <t xml:space="preserve">Flamengo-RJ</t>
  </si>
  <si>
    <t xml:space="preserve">Ivinhema-MS</t>
  </si>
  <si>
    <t xml:space="preserve">Pouso Alegre</t>
  </si>
  <si>
    <t xml:space="preserve">Mirassol-SP</t>
  </si>
  <si>
    <t xml:space="preserve">Náutico-PE</t>
  </si>
  <si>
    <t xml:space="preserve">Sousa-PB</t>
  </si>
  <si>
    <t xml:space="preserve">XV de Piracicaba-SP</t>
  </si>
  <si>
    <t xml:space="preserve">Rio Claro</t>
  </si>
  <si>
    <t xml:space="preserve">ASA-AL</t>
  </si>
  <si>
    <t xml:space="preserve">Goiania</t>
  </si>
  <si>
    <t xml:space="preserve">Chapecoense-SC</t>
  </si>
  <si>
    <t xml:space="preserve">Primavera do Leste</t>
  </si>
  <si>
    <t xml:space="preserve">Fluminense-PI</t>
  </si>
  <si>
    <t xml:space="preserve">TOMBOS</t>
  </si>
  <si>
    <t xml:space="preserve">Goiatuba-GO</t>
  </si>
  <si>
    <t xml:space="preserve">Iguatu-CE</t>
  </si>
  <si>
    <t xml:space="preserve">Governador Valadares</t>
  </si>
  <si>
    <t xml:space="preserve">Marcílio Dias-SC</t>
  </si>
  <si>
    <t xml:space="preserve">Sampaio Correa-MA</t>
  </si>
  <si>
    <t xml:space="preserve">Caracaraí</t>
  </si>
  <si>
    <t xml:space="preserve">Santa Cruz-PE</t>
  </si>
  <si>
    <t xml:space="preserve">Porto Acre</t>
  </si>
  <si>
    <t xml:space="preserve">AC</t>
  </si>
  <si>
    <t xml:space="preserve">São Bernardo-SP</t>
  </si>
  <si>
    <t xml:space="preserve">Inhumas</t>
  </si>
  <si>
    <t xml:space="preserve">Tombense-MG</t>
  </si>
  <si>
    <t xml:space="preserve">Macapa</t>
  </si>
  <si>
    <t xml:space="preserve">AP</t>
  </si>
  <si>
    <t xml:space="preserve">América-MG</t>
  </si>
  <si>
    <t xml:space="preserve">São João del Rey</t>
  </si>
  <si>
    <t xml:space="preserve">Coritiba-PR</t>
  </si>
  <si>
    <t xml:space="preserve">Araraquara</t>
  </si>
  <si>
    <t xml:space="preserve">Lagarto-SE</t>
  </si>
  <si>
    <t xml:space="preserve">Salvador</t>
  </si>
  <si>
    <t xml:space="preserve">Parnahyba-PI</t>
  </si>
  <si>
    <t xml:space="preserve">Curitiba</t>
  </si>
  <si>
    <t xml:space="preserve">Volta Redonda-RJ</t>
  </si>
  <si>
    <t xml:space="preserve">Rondonopolis</t>
  </si>
  <si>
    <t xml:space="preserve">ABC-RN</t>
  </si>
  <si>
    <t xml:space="preserve">Gama</t>
  </si>
  <si>
    <t xml:space="preserve">Atlético-GO</t>
  </si>
  <si>
    <t xml:space="preserve">Blumenaus-SC</t>
  </si>
  <si>
    <t xml:space="preserve">Chapeco</t>
  </si>
  <si>
    <t xml:space="preserve">Brasil de Pelotas-RS</t>
  </si>
  <si>
    <t xml:space="preserve">Brasilia</t>
  </si>
  <si>
    <t xml:space="preserve">Brusque-SC</t>
  </si>
  <si>
    <t xml:space="preserve">Cianorte</t>
  </si>
  <si>
    <t xml:space="preserve">Confiança-SE</t>
  </si>
  <si>
    <t xml:space="preserve">Anapolis</t>
  </si>
  <si>
    <t xml:space="preserve">Corinthians-SP</t>
  </si>
  <si>
    <t xml:space="preserve">Cruzeiro-MG</t>
  </si>
  <si>
    <t xml:space="preserve">Democrata GV-MG</t>
  </si>
  <si>
    <t xml:space="preserve">Goiatuba</t>
  </si>
  <si>
    <t xml:space="preserve">Floresta-CE</t>
  </si>
  <si>
    <t xml:space="preserve">GAS-RR</t>
  </si>
  <si>
    <t xml:space="preserve">Volta Redonda</t>
  </si>
  <si>
    <t xml:space="preserve">Joinville-SC</t>
  </si>
  <si>
    <t xml:space="preserve">Campina Grande</t>
  </si>
  <si>
    <t xml:space="preserve">Maguary-PE</t>
  </si>
  <si>
    <t xml:space="preserve">Caruaru</t>
  </si>
  <si>
    <t xml:space="preserve">Maricá-RJ</t>
  </si>
  <si>
    <t xml:space="preserve">Maracanau</t>
  </si>
  <si>
    <t xml:space="preserve">Maringá-PR</t>
  </si>
  <si>
    <t xml:space="preserve">Porto-BA</t>
  </si>
  <si>
    <t xml:space="preserve">Pato Branco</t>
  </si>
  <si>
    <t xml:space="preserve">Pouso Alegre-MG</t>
  </si>
  <si>
    <t xml:space="preserve">Catalao</t>
  </si>
  <si>
    <t xml:space="preserve">Treze-PB</t>
  </si>
  <si>
    <t xml:space="preserve">Uberlândia-MG</t>
  </si>
  <si>
    <t xml:space="preserve">Altos-PI</t>
  </si>
  <si>
    <t xml:space="preserve">Bahia-BA</t>
  </si>
  <si>
    <t xml:space="preserve">Barra-SC</t>
  </si>
  <si>
    <t xml:space="preserve">Betim-MG</t>
  </si>
  <si>
    <t xml:space="preserve">Brasiliense-DF</t>
  </si>
  <si>
    <t xml:space="preserve">Ceilândia-DF</t>
  </si>
  <si>
    <t xml:space="preserve">IMPERATRIZ</t>
  </si>
  <si>
    <t xml:space="preserve">Central-PE</t>
  </si>
  <si>
    <t xml:space="preserve">Decisão-PE</t>
  </si>
  <si>
    <t xml:space="preserve">Figueirense-SC</t>
  </si>
  <si>
    <t xml:space="preserve">Campo Grande</t>
  </si>
  <si>
    <t xml:space="preserve">MS</t>
  </si>
  <si>
    <t xml:space="preserve">Laguna-RN</t>
  </si>
  <si>
    <t xml:space="preserve">Balneario Camboriu</t>
  </si>
  <si>
    <t xml:space="preserve">Manauara-AM</t>
  </si>
  <si>
    <t xml:space="preserve">AL</t>
  </si>
  <si>
    <t xml:space="preserve">Maracanã-CE</t>
  </si>
  <si>
    <t xml:space="preserve">Florianopolis</t>
  </si>
  <si>
    <t xml:space="preserve">Mixto-MT</t>
  </si>
  <si>
    <t xml:space="preserve">Moto Club-MA</t>
  </si>
  <si>
    <t xml:space="preserve">Portuguesa-RJ</t>
  </si>
  <si>
    <t xml:space="preserve">Ribeirao Preto</t>
  </si>
  <si>
    <t xml:space="preserve">Portuguesa-SP</t>
  </si>
  <si>
    <t xml:space="preserve">Bragança Paulista</t>
  </si>
  <si>
    <t xml:space="preserve">Rio Branco-ES</t>
  </si>
  <si>
    <t xml:space="preserve">RIo Branco</t>
  </si>
  <si>
    <t xml:space="preserve">São Raimundo-RR</t>
  </si>
  <si>
    <t xml:space="preserve">Juazeiro</t>
  </si>
  <si>
    <t xml:space="preserve">Serra Branca-PB</t>
  </si>
  <si>
    <t xml:space="preserve">Londrina</t>
  </si>
  <si>
    <t xml:space="preserve">Tirol-CE</t>
  </si>
  <si>
    <t xml:space="preserve">Bauru</t>
  </si>
  <si>
    <t xml:space="preserve">Vasco-RJ</t>
  </si>
  <si>
    <t xml:space="preserve">Rio do Sul</t>
  </si>
  <si>
    <t xml:space="preserve">Ypiranga-RS</t>
  </si>
  <si>
    <t xml:space="preserve">Vitoria</t>
  </si>
  <si>
    <t xml:space="preserve">ABECAT-GO</t>
  </si>
  <si>
    <t xml:space="preserve">Àgua Santa-SP</t>
  </si>
  <si>
    <t xml:space="preserve">Ponta Grossa</t>
  </si>
  <si>
    <t xml:space="preserve">Amazonas-AM</t>
  </si>
  <si>
    <t xml:space="preserve">América-RJ</t>
  </si>
  <si>
    <t xml:space="preserve">Várzea Grande</t>
  </si>
  <si>
    <t xml:space="preserve">América-RN</t>
  </si>
  <si>
    <t xml:space="preserve">São Paulo</t>
  </si>
  <si>
    <t xml:space="preserve">Aparecidense-GO</t>
  </si>
  <si>
    <t xml:space="preserve">Athlético-PR</t>
  </si>
  <si>
    <t xml:space="preserve">Porto Velho</t>
  </si>
  <si>
    <t xml:space="preserve">Atlético Alagoinhas-BA</t>
  </si>
  <si>
    <t xml:space="preserve">Maraba</t>
  </si>
  <si>
    <t xml:space="preserve">Atlético-MG</t>
  </si>
  <si>
    <t xml:space="preserve">Araguaína</t>
  </si>
  <si>
    <t xml:space="preserve">TO</t>
  </si>
  <si>
    <t xml:space="preserve">Avaí-SC</t>
  </si>
  <si>
    <t xml:space="preserve">Azuriz-PR</t>
  </si>
  <si>
    <t xml:space="preserve">Novo Horizonte</t>
  </si>
  <si>
    <t xml:space="preserve">Botafogo-PB</t>
  </si>
  <si>
    <t xml:space="preserve">Botafogo-SP</t>
  </si>
  <si>
    <t xml:space="preserve">Bragantino-SP</t>
  </si>
  <si>
    <t xml:space="preserve">CRAC-GO</t>
  </si>
  <si>
    <t xml:space="preserve">CRB-AL</t>
  </si>
  <si>
    <t xml:space="preserve">Ivinhema</t>
  </si>
  <si>
    <t xml:space="preserve">Criciuma-SC</t>
  </si>
  <si>
    <t xml:space="preserve">Mirassol</t>
  </si>
  <si>
    <t xml:space="preserve">CSE-AL</t>
  </si>
  <si>
    <t xml:space="preserve">Piracicaba</t>
  </si>
  <si>
    <t xml:space="preserve">Cuiabamt</t>
  </si>
  <si>
    <t xml:space="preserve">Cuiabá-MT</t>
  </si>
  <si>
    <t xml:space="preserve">Arapiraca</t>
  </si>
  <si>
    <t xml:space="preserve">Fortaleza-CE</t>
  </si>
  <si>
    <t xml:space="preserve">Galvez-AC</t>
  </si>
  <si>
    <t xml:space="preserve">Lagarto</t>
  </si>
  <si>
    <t xml:space="preserve">Grêmio-RS</t>
  </si>
  <si>
    <t xml:space="preserve">Blumenaus</t>
  </si>
  <si>
    <t xml:space="preserve">Guaporé-RO</t>
  </si>
  <si>
    <t xml:space="preserve">Pelotas</t>
  </si>
  <si>
    <t xml:space="preserve">Guarany-RS</t>
  </si>
  <si>
    <t xml:space="preserve">Humaita-AC</t>
  </si>
  <si>
    <t xml:space="preserve">Independencia-AC</t>
  </si>
  <si>
    <t xml:space="preserve">Joinville</t>
  </si>
  <si>
    <t xml:space="preserve">Inhumas-GO</t>
  </si>
  <si>
    <t xml:space="preserve">Bonito</t>
  </si>
  <si>
    <t xml:space="preserve">Inter de Limeira-SP</t>
  </si>
  <si>
    <t xml:space="preserve">Maricá</t>
  </si>
  <si>
    <t xml:space="preserve">Itabaiana-SE</t>
  </si>
  <si>
    <t xml:space="preserve">Ituano-SP</t>
  </si>
  <si>
    <t xml:space="preserve">Porto Seguro</t>
  </si>
  <si>
    <t xml:space="preserve">Jacuipense-BA</t>
  </si>
  <si>
    <t xml:space="preserve">São Bernardo do Campo</t>
  </si>
  <si>
    <t xml:space="preserve">Juazeirense-BA</t>
  </si>
  <si>
    <t xml:space="preserve">Uberlândia</t>
  </si>
  <si>
    <t xml:space="preserve">Juventude-RS</t>
  </si>
  <si>
    <t xml:space="preserve">Altos</t>
  </si>
  <si>
    <t xml:space="preserve">Londrina-PR</t>
  </si>
  <si>
    <t xml:space="preserve">Betim</t>
  </si>
  <si>
    <t xml:space="preserve">Madureira-RJ</t>
  </si>
  <si>
    <t xml:space="preserve">Ceilandia</t>
  </si>
  <si>
    <t xml:space="preserve">Monte Roraima-RR</t>
  </si>
  <si>
    <t xml:space="preserve">Noroeste-SP</t>
  </si>
  <si>
    <t xml:space="preserve">Nova Iguaçu-RJ</t>
  </si>
  <si>
    <t xml:space="preserve">Erechim</t>
  </si>
  <si>
    <t xml:space="preserve">Oratório-AP</t>
  </si>
  <si>
    <t xml:space="preserve">Paysandu-PA</t>
  </si>
  <si>
    <t xml:space="preserve">Alagoinhas</t>
  </si>
  <si>
    <t xml:space="preserve">Piaui-PI</t>
  </si>
  <si>
    <t xml:space="preserve">Ponte Preta-SP</t>
  </si>
  <si>
    <t xml:space="preserve">Real Noroeste-ES</t>
  </si>
  <si>
    <t xml:space="preserve">Palmeira dos Indios</t>
  </si>
  <si>
    <t xml:space="preserve">Retrô-PE</t>
  </si>
  <si>
    <t xml:space="preserve">Santa Catarina-SC</t>
  </si>
  <si>
    <t xml:space="preserve">Bagé</t>
  </si>
  <si>
    <t xml:space="preserve">Santos-SP</t>
  </si>
  <si>
    <t xml:space="preserve">São José-RS</t>
  </si>
  <si>
    <t xml:space="preserve">Itabaiana</t>
  </si>
  <si>
    <t xml:space="preserve">São Luiz-RS</t>
  </si>
  <si>
    <t xml:space="preserve">Itu</t>
  </si>
  <si>
    <t xml:space="preserve">Tocaninópolis-TO</t>
  </si>
  <si>
    <t xml:space="preserve">Nova Iguaçu</t>
  </si>
  <si>
    <t xml:space="preserve">União Rondonópolis-MT</t>
  </si>
  <si>
    <t xml:space="preserve">Velo Clube-SP</t>
  </si>
  <si>
    <t xml:space="preserve">Santos</t>
  </si>
  <si>
    <t xml:space="preserve">Vitória-ES</t>
  </si>
  <si>
    <t xml:space="preserve">Tocantinópolis</t>
  </si>
  <si>
    <t xml:space="preserve">ADESG-AC</t>
  </si>
  <si>
    <t xml:space="preserve">Senador Guiomard</t>
  </si>
  <si>
    <t xml:space="preserve">Águia Negra-MS</t>
  </si>
  <si>
    <t xml:space="preserve">Rio Brilhante</t>
  </si>
  <si>
    <t xml:space="preserve">Amazonia-PA</t>
  </si>
  <si>
    <t xml:space="preserve">América de Propriá-SE</t>
  </si>
  <si>
    <t xml:space="preserve">Propria</t>
  </si>
  <si>
    <t xml:space="preserve">Anapolina-GO</t>
  </si>
  <si>
    <t xml:space="preserve">Andraus-PR</t>
  </si>
  <si>
    <t xml:space="preserve">Campo Largo</t>
  </si>
  <si>
    <t xml:space="preserve">Aquidauana-MS</t>
  </si>
  <si>
    <t xml:space="preserve">Aquidauana</t>
  </si>
  <si>
    <t xml:space="preserve">Araçatuba-SP</t>
  </si>
  <si>
    <t xml:space="preserve">Araçatuba</t>
  </si>
  <si>
    <t xml:space="preserve">Araucária-PR</t>
  </si>
  <si>
    <t xml:space="preserve">Araucária</t>
  </si>
  <si>
    <t xml:space="preserve">ARUC-DF</t>
  </si>
  <si>
    <t xml:space="preserve">Cruzeiro</t>
  </si>
  <si>
    <t xml:space="preserve">Atlético Cajazeiras-PB</t>
  </si>
  <si>
    <t xml:space="preserve">Cajazeiras</t>
  </si>
  <si>
    <t xml:space="preserve">Atlético-PI</t>
  </si>
  <si>
    <t xml:space="preserve">Atlético-RR</t>
  </si>
  <si>
    <t xml:space="preserve">Avenida-RS</t>
  </si>
  <si>
    <t xml:space="preserve">Santa Cruz do Sul</t>
  </si>
  <si>
    <t xml:space="preserve">Bahia de Feira-BA</t>
  </si>
  <si>
    <t xml:space="preserve">Feira de Santana</t>
  </si>
  <si>
    <t xml:space="preserve">Bandeirante-SP</t>
  </si>
  <si>
    <t xml:space="preserve">Birigui</t>
  </si>
  <si>
    <t xml:space="preserve">Bangu-RJ</t>
  </si>
  <si>
    <t xml:space="preserve">Barbalha-CE</t>
  </si>
  <si>
    <t xml:space="preserve">Sobral</t>
  </si>
  <si>
    <t xml:space="preserve">Barcelona de Ilheus-BA</t>
  </si>
  <si>
    <t xml:space="preserve">Ilheus</t>
  </si>
  <si>
    <t xml:space="preserve">Barcelona-RO</t>
  </si>
  <si>
    <t xml:space="preserve">Vilhena</t>
  </si>
  <si>
    <t xml:space="preserve">Baré-RR</t>
  </si>
  <si>
    <t xml:space="preserve">Barretos-SP</t>
  </si>
  <si>
    <t xml:space="preserve">Barretos</t>
  </si>
  <si>
    <t xml:space="preserve">Bataguassu-MS</t>
  </si>
  <si>
    <t xml:space="preserve">Bataguassu</t>
  </si>
  <si>
    <t xml:space="preserve">Batel-PR</t>
  </si>
  <si>
    <t xml:space="preserve">Guarapuava</t>
  </si>
  <si>
    <t xml:space="preserve">Bela Vista-TO</t>
  </si>
  <si>
    <t xml:space="preserve">Cachoeirinha</t>
  </si>
  <si>
    <t xml:space="preserve">Boavista-RJ</t>
  </si>
  <si>
    <t xml:space="preserve">Bragantino-PA</t>
  </si>
  <si>
    <t xml:space="preserve">Bragança</t>
  </si>
  <si>
    <t xml:space="preserve">Brasiliadf</t>
  </si>
  <si>
    <t xml:space="preserve">Brasília-DF</t>
  </si>
  <si>
    <t xml:space="preserve">Camboriu-SC</t>
  </si>
  <si>
    <t xml:space="preserve">Camboriu</t>
  </si>
  <si>
    <t xml:space="preserve">Cametá-PA</t>
  </si>
  <si>
    <t xml:space="preserve">Cameta</t>
  </si>
  <si>
    <t xml:space="preserve">Campinense-PB</t>
  </si>
  <si>
    <t xml:space="preserve">Capital-TO</t>
  </si>
  <si>
    <t xml:space="preserve">Palmas</t>
  </si>
  <si>
    <t xml:space="preserve">Capitão Poço-PA</t>
  </si>
  <si>
    <t xml:space="preserve">Capitao Poço</t>
  </si>
  <si>
    <t xml:space="preserve">Capivariano-SP</t>
  </si>
  <si>
    <t xml:space="preserve">Capivari</t>
  </si>
  <si>
    <t xml:space="preserve">Capixaba-ES</t>
  </si>
  <si>
    <t xml:space="preserve">Guacui</t>
  </si>
  <si>
    <t xml:space="preserve">Cariri-CE</t>
  </si>
  <si>
    <t xml:space="preserve">Juazeiro do Norte</t>
  </si>
  <si>
    <t xml:space="preserve">Carlos Renaux-SC</t>
  </si>
  <si>
    <t xml:space="preserve">Castanhal-PA</t>
  </si>
  <si>
    <t xml:space="preserve">Castanhal</t>
  </si>
  <si>
    <t xml:space="preserve">Catanduva-SP</t>
  </si>
  <si>
    <t xml:space="preserve">Catanduva</t>
  </si>
  <si>
    <t xml:space="preserve">Caucaia-CE</t>
  </si>
  <si>
    <t xml:space="preserve">Centro Oeste-GO</t>
  </si>
  <si>
    <t xml:space="preserve">Neropolis</t>
  </si>
  <si>
    <t xml:space="preserve">Chapada-MT</t>
  </si>
  <si>
    <t xml:space="preserve">Pocone</t>
  </si>
  <si>
    <t xml:space="preserve">Colorado-SP</t>
  </si>
  <si>
    <t xml:space="preserve">Caieiras</t>
  </si>
  <si>
    <t xml:space="preserve">Comercial-SP</t>
  </si>
  <si>
    <t xml:space="preserve">Concórdia-SC</t>
  </si>
  <si>
    <t xml:space="preserve">Concordia</t>
  </si>
  <si>
    <t xml:space="preserve">Confiança-PB</t>
  </si>
  <si>
    <t xml:space="preserve">Sape</t>
  </si>
  <si>
    <t xml:space="preserve">Corisabba-PI</t>
  </si>
  <si>
    <t xml:space="preserve">Floriano</t>
  </si>
  <si>
    <t xml:space="preserve">Corumbaense-MS</t>
  </si>
  <si>
    <t xml:space="preserve">Corumba</t>
  </si>
  <si>
    <t xml:space="preserve">Coruripe-AL</t>
  </si>
  <si>
    <t xml:space="preserve">Coruripe</t>
  </si>
  <si>
    <t xml:space="preserve">Costa Rica-MS</t>
  </si>
  <si>
    <t xml:space="preserve">Costa Rica</t>
  </si>
  <si>
    <t xml:space="preserve">Crateús-CE</t>
  </si>
  <si>
    <t xml:space="preserve">Crateús</t>
  </si>
  <si>
    <t xml:space="preserve">Crato-CE</t>
  </si>
  <si>
    <t xml:space="preserve">Crato</t>
  </si>
  <si>
    <t xml:space="preserve">Cristal-AP</t>
  </si>
  <si>
    <t xml:space="preserve">Cruzeiro-AL</t>
  </si>
  <si>
    <t xml:space="preserve">Desportiva Aracaju-SE</t>
  </si>
  <si>
    <t xml:space="preserve">Desportiva-ES</t>
  </si>
  <si>
    <t xml:space="preserve">Cariacica</t>
  </si>
  <si>
    <t xml:space="preserve">Desportivo Brasil-SP</t>
  </si>
  <si>
    <t xml:space="preserve">Porto Feliz</t>
  </si>
  <si>
    <t xml:space="preserve">Dorense-SE</t>
  </si>
  <si>
    <t xml:space="preserve">Nossa Senhora das Dores</t>
  </si>
  <si>
    <t xml:space="preserve">Dourados-MS</t>
  </si>
  <si>
    <t xml:space="preserve">Dourados</t>
  </si>
  <si>
    <t xml:space="preserve">EC São Bernardo-SP</t>
  </si>
  <si>
    <t xml:space="preserve">ECUS-SP</t>
  </si>
  <si>
    <t xml:space="preserve">Suzano</t>
  </si>
  <si>
    <t xml:space="preserve">Esporte de Patos-PB</t>
  </si>
  <si>
    <t xml:space="preserve">Patos</t>
  </si>
  <si>
    <t xml:space="preserve">Falcon-SE</t>
  </si>
  <si>
    <t xml:space="preserve">Barra dos Coqueiros</t>
  </si>
  <si>
    <t xml:space="preserve">Forte-ES</t>
  </si>
  <si>
    <t xml:space="preserve">Castelo</t>
  </si>
  <si>
    <t xml:space="preserve">Foz do Iguaçu-PR</t>
  </si>
  <si>
    <t xml:space="preserve">Foz do Iguacu</t>
  </si>
  <si>
    <t xml:space="preserve">Francana-SP</t>
  </si>
  <si>
    <t xml:space="preserve">Franca</t>
  </si>
  <si>
    <t xml:space="preserve">Galícia-BA</t>
  </si>
  <si>
    <t xml:space="preserve">Galo Maringá-PR</t>
  </si>
  <si>
    <t xml:space="preserve">Maringá</t>
  </si>
  <si>
    <t xml:space="preserve">Genus-RO</t>
  </si>
  <si>
    <t xml:space="preserve">Globo-RN</t>
  </si>
  <si>
    <t xml:space="preserve">Ceará Mirim</t>
  </si>
  <si>
    <t xml:space="preserve">Gloriense-SE</t>
  </si>
  <si>
    <t xml:space="preserve">Nossa Senhora da Glória</t>
  </si>
  <si>
    <t xml:space="preserve">Grêmio Prudente-SP</t>
  </si>
  <si>
    <t xml:space="preserve">Presidente Prudente</t>
  </si>
  <si>
    <t xml:space="preserve">Guaraí-TO</t>
  </si>
  <si>
    <t xml:space="preserve">Guarai</t>
  </si>
  <si>
    <t xml:space="preserve">Guarani de Juazeiro-CE</t>
  </si>
  <si>
    <t xml:space="preserve">Guarany de Sobral-CE</t>
  </si>
  <si>
    <t xml:space="preserve">Barbalha</t>
  </si>
  <si>
    <t xml:space="preserve">Guarany-SE</t>
  </si>
  <si>
    <t xml:space="preserve">Porto da Folha</t>
  </si>
  <si>
    <t xml:space="preserve">Gurupi-TO</t>
  </si>
  <si>
    <t xml:space="preserve">Gurupi</t>
  </si>
  <si>
    <t xml:space="preserve">Horizonte-CE</t>
  </si>
  <si>
    <t xml:space="preserve">Horizonte</t>
  </si>
  <si>
    <t xml:space="preserve">ICASA-CE</t>
  </si>
  <si>
    <t xml:space="preserve">Indepentende-AP</t>
  </si>
  <si>
    <t xml:space="preserve">Santana</t>
  </si>
  <si>
    <t xml:space="preserve">Inter de Bebedouro-SP</t>
  </si>
  <si>
    <t xml:space="preserve">Bebedouro</t>
  </si>
  <si>
    <t xml:space="preserve">Inter de Santa Maria-RS</t>
  </si>
  <si>
    <t xml:space="preserve">Santa Maria</t>
  </si>
  <si>
    <t xml:space="preserve">Itabirito-MG</t>
  </si>
  <si>
    <t xml:space="preserve">Itabirito</t>
  </si>
  <si>
    <t xml:space="preserve">Itacoatiara-AM</t>
  </si>
  <si>
    <t xml:space="preserve">Itacoariara</t>
  </si>
  <si>
    <t xml:space="preserve">Itapipoca-CE</t>
  </si>
  <si>
    <t xml:space="preserve">Itapirense-SP</t>
  </si>
  <si>
    <t xml:space="preserve">Itapira</t>
  </si>
  <si>
    <t xml:space="preserve">ITZ Sport-MA</t>
  </si>
  <si>
    <t xml:space="preserve">Imperatriz</t>
  </si>
  <si>
    <t xml:space="preserve">Jabaquara-SP</t>
  </si>
  <si>
    <t xml:space="preserve">Jaguar-PE</t>
  </si>
  <si>
    <t xml:space="preserve">Jaboatão dos Guararapes</t>
  </si>
  <si>
    <t xml:space="preserve">Jataiense-GO</t>
  </si>
  <si>
    <t xml:space="preserve">Jatai</t>
  </si>
  <si>
    <t xml:space="preserve">Jequié-BA</t>
  </si>
  <si>
    <t xml:space="preserve">Jequié</t>
  </si>
  <si>
    <t xml:space="preserve">Ji-Paraná-RO</t>
  </si>
  <si>
    <t xml:space="preserve">Ji Paraná</t>
  </si>
  <si>
    <t xml:space="preserve">Juventus-SP</t>
  </si>
  <si>
    <t xml:space="preserve">Laranja Mecânica-PR</t>
  </si>
  <si>
    <t xml:space="preserve">Arapongas</t>
  </si>
  <si>
    <t xml:space="preserve">Lemense-SP</t>
  </si>
  <si>
    <t xml:space="preserve">Leme</t>
  </si>
  <si>
    <t xml:space="preserve">LInense-SP</t>
  </si>
  <si>
    <t xml:space="preserve">Lins</t>
  </si>
  <si>
    <t xml:space="preserve">Luminense-MA</t>
  </si>
  <si>
    <t xml:space="preserve">Santa Quitéria do Maranhão</t>
  </si>
  <si>
    <t xml:space="preserve">Macapaap</t>
  </si>
  <si>
    <t xml:space="preserve">Macapá-AP</t>
  </si>
  <si>
    <t xml:space="preserve">Maranguape-CE</t>
  </si>
  <si>
    <t xml:space="preserve">Maranguape</t>
  </si>
  <si>
    <t xml:space="preserve">Marília-SP</t>
  </si>
  <si>
    <t xml:space="preserve">Maríla</t>
  </si>
  <si>
    <t xml:space="preserve">Miguelense-AL</t>
  </si>
  <si>
    <t xml:space="preserve">São Miguel dos Campos</t>
  </si>
  <si>
    <t xml:space="preserve">Monsoon-RS</t>
  </si>
  <si>
    <t xml:space="preserve">Monte Azul-SP</t>
  </si>
  <si>
    <t xml:space="preserve">Monte Azul Paulista</t>
  </si>
  <si>
    <t xml:space="preserve">Murici-AL</t>
  </si>
  <si>
    <t xml:space="preserve">Murici</t>
  </si>
  <si>
    <t xml:space="preserve">Nacional de Patos-PB</t>
  </si>
  <si>
    <t xml:space="preserve">Nacional-PR</t>
  </si>
  <si>
    <t xml:space="preserve">Rolândia</t>
  </si>
  <si>
    <t xml:space="preserve">Nacional-SP</t>
  </si>
  <si>
    <t xml:space="preserve">Náutico-RR</t>
  </si>
  <si>
    <t xml:space="preserve">Naviraiense-MS</t>
  </si>
  <si>
    <t xml:space="preserve">Naviraí</t>
  </si>
  <si>
    <t xml:space="preserve">North-MG</t>
  </si>
  <si>
    <t xml:space="preserve">Montes Claros</t>
  </si>
  <si>
    <t xml:space="preserve">Nova Mutum-MT</t>
  </si>
  <si>
    <t xml:space="preserve">Nova Mutum</t>
  </si>
  <si>
    <t xml:space="preserve">Novo Hamburgo-RS</t>
  </si>
  <si>
    <t xml:space="preserve">Novo Hamburgo</t>
  </si>
  <si>
    <t xml:space="preserve">Oeirense-PI</t>
  </si>
  <si>
    <t xml:space="preserve">Oeiras</t>
  </si>
  <si>
    <t xml:space="preserve">Osasco-SP</t>
  </si>
  <si>
    <t xml:space="preserve">Osasco</t>
  </si>
  <si>
    <t xml:space="preserve">Palmasto</t>
  </si>
  <si>
    <t xml:space="preserve">Palmas-TO</t>
  </si>
  <si>
    <t xml:space="preserve">Pantanal-MS</t>
  </si>
  <si>
    <t xml:space="preserve">Paraná-PR</t>
  </si>
  <si>
    <t xml:space="preserve">Paranavai-PR</t>
  </si>
  <si>
    <t xml:space="preserve">Paranavaí</t>
  </si>
  <si>
    <t xml:space="preserve">Paranoá-DF</t>
  </si>
  <si>
    <t xml:space="preserve">Parintins-AM</t>
  </si>
  <si>
    <t xml:space="preserve">Rio Preto da Eva</t>
  </si>
  <si>
    <t xml:space="preserve">Patriotas-PR</t>
  </si>
  <si>
    <t xml:space="preserve">Paulista-SP</t>
  </si>
  <si>
    <t xml:space="preserve">Jundiai</t>
  </si>
  <si>
    <t xml:space="preserve">Penapolense-SP</t>
  </si>
  <si>
    <t xml:space="preserve">Penápolis</t>
  </si>
  <si>
    <t xml:space="preserve">Penedense-AL</t>
  </si>
  <si>
    <t xml:space="preserve">Penedo</t>
  </si>
  <si>
    <t xml:space="preserve">Pombal-PB</t>
  </si>
  <si>
    <t xml:space="preserve">Pombal</t>
  </si>
  <si>
    <t xml:space="preserve">Porto Vitória-ES</t>
  </si>
  <si>
    <t xml:space="preserve">Portuguesa Santista-SP</t>
  </si>
  <si>
    <t xml:space="preserve">Potiguar-RN</t>
  </si>
  <si>
    <t xml:space="preserve">Mossoró</t>
  </si>
  <si>
    <t xml:space="preserve">Potyguar Seridoense-RN</t>
  </si>
  <si>
    <t xml:space="preserve">Currais Novos</t>
  </si>
  <si>
    <t xml:space="preserve">Primavera-SP</t>
  </si>
  <si>
    <t xml:space="preserve">Indaiatuba</t>
  </si>
  <si>
    <t xml:space="preserve">Princesa-AM</t>
  </si>
  <si>
    <t xml:space="preserve">Manacapuru</t>
  </si>
  <si>
    <t xml:space="preserve">Progresso-RR</t>
  </si>
  <si>
    <t xml:space="preserve">Mucajai</t>
  </si>
  <si>
    <t xml:space="preserve">Prudentópolis-PR</t>
  </si>
  <si>
    <t xml:space="preserve">Prudentópolis</t>
  </si>
  <si>
    <t xml:space="preserve">QFC-RN</t>
  </si>
  <si>
    <t xml:space="preserve">Quixadá-CE</t>
  </si>
  <si>
    <t xml:space="preserve">Quixada</t>
  </si>
  <si>
    <t xml:space="preserve">realBrasiliadf</t>
  </si>
  <si>
    <t xml:space="preserve">Real Brasília-DF</t>
  </si>
  <si>
    <t xml:space="preserve">Núcleo Bandeirante</t>
  </si>
  <si>
    <t xml:space="preserve">Rio Branco VN-ES</t>
  </si>
  <si>
    <t xml:space="preserve">Venda Nova do Imigrante</t>
  </si>
  <si>
    <t xml:space="preserve">Rio Branco-AC</t>
  </si>
  <si>
    <t xml:space="preserve">Rio Branco-PR</t>
  </si>
  <si>
    <t xml:space="preserve">Paranaguá</t>
  </si>
  <si>
    <t xml:space="preserve">Rio Branco-SP</t>
  </si>
  <si>
    <t xml:space="preserve">Americana</t>
  </si>
  <si>
    <t xml:space="preserve">Rio Claro-SP</t>
  </si>
  <si>
    <t xml:space="preserve">Rio Negro-RR</t>
  </si>
  <si>
    <t xml:space="preserve">Rio Preto-SP</t>
  </si>
  <si>
    <t xml:space="preserve">São José do Rio Preto</t>
  </si>
  <si>
    <t xml:space="preserve">River-RR</t>
  </si>
  <si>
    <t xml:space="preserve">Rondoniense-RO</t>
  </si>
  <si>
    <t xml:space="preserve">Samambaia-DF</t>
  </si>
  <si>
    <t xml:space="preserve">Samambaia</t>
  </si>
  <si>
    <t xml:space="preserve">Santa Cruz-AC</t>
  </si>
  <si>
    <t xml:space="preserve">Santa Cruz-RN</t>
  </si>
  <si>
    <t xml:space="preserve">Santa Rosa-PA</t>
  </si>
  <si>
    <t xml:space="preserve">Santo André-SP</t>
  </si>
  <si>
    <t xml:space="preserve">Santo André</t>
  </si>
  <si>
    <t xml:space="preserve">Santos-AP</t>
  </si>
  <si>
    <t xml:space="preserve">São Bento-SP</t>
  </si>
  <si>
    <t xml:space="preserve">Sorocaba</t>
  </si>
  <si>
    <t xml:space="preserve">São Caetano-SP</t>
  </si>
  <si>
    <t xml:space="preserve">São Caetano do Sul</t>
  </si>
  <si>
    <t xml:space="preserve">São Carlense-SP</t>
  </si>
  <si>
    <t xml:space="preserve">São Carlos</t>
  </si>
  <si>
    <t xml:space="preserve">São Francisco-AC</t>
  </si>
  <si>
    <t xml:space="preserve">São Francisco-PA</t>
  </si>
  <si>
    <t xml:space="preserve">São José-AP</t>
  </si>
  <si>
    <t xml:space="preserve">São José-SP</t>
  </si>
  <si>
    <t xml:space="preserve">São José dos Campos</t>
  </si>
  <si>
    <t xml:space="preserve">São Raimundo-AM</t>
  </si>
  <si>
    <t xml:space="preserve">São Raimundo-PA</t>
  </si>
  <si>
    <t xml:space="preserve">Serra-ES</t>
  </si>
  <si>
    <t xml:space="preserve">Serra</t>
  </si>
  <si>
    <t xml:space="preserve">Sertãozinho-SP</t>
  </si>
  <si>
    <t xml:space="preserve">Sertãozinho</t>
  </si>
  <si>
    <t xml:space="preserve">Sobradinho-DF</t>
  </si>
  <si>
    <t xml:space="preserve">Sobradinho</t>
  </si>
  <si>
    <t xml:space="preserve">Sport Sinop-MT</t>
  </si>
  <si>
    <t xml:space="preserve">Sinop</t>
  </si>
  <si>
    <t xml:space="preserve">Tanabi-SP</t>
  </si>
  <si>
    <t xml:space="preserve">Tanabi</t>
  </si>
  <si>
    <t xml:space="preserve">Taquaritinga-SP</t>
  </si>
  <si>
    <t xml:space="preserve">Taquaritinga</t>
  </si>
  <si>
    <t xml:space="preserve">Taubaté-SP</t>
  </si>
  <si>
    <t xml:space="preserve">Taubaté</t>
  </si>
  <si>
    <t xml:space="preserve">Teresina-PI</t>
  </si>
  <si>
    <t xml:space="preserve">Toledo-PR</t>
  </si>
  <si>
    <t xml:space="preserve">Toledo</t>
  </si>
  <si>
    <t xml:space="preserve">Tuntum-MA</t>
  </si>
  <si>
    <t xml:space="preserve">Tuntum</t>
  </si>
  <si>
    <t xml:space="preserve">União Araguainense-TO</t>
  </si>
  <si>
    <t xml:space="preserve">Carmolândia</t>
  </si>
  <si>
    <t xml:space="preserve">União Barbarense-SP</t>
  </si>
  <si>
    <t xml:space="preserve">Santa Bárbara do Oeste</t>
  </si>
  <si>
    <t xml:space="preserve">União Cacoalense-RO</t>
  </si>
  <si>
    <t xml:space="preserve">Cacoal</t>
  </si>
  <si>
    <t xml:space="preserve">União São João-SP</t>
  </si>
  <si>
    <t xml:space="preserve">Araras</t>
  </si>
  <si>
    <t xml:space="preserve">União Suzano-SP</t>
  </si>
  <si>
    <t xml:space="preserve">URT-MG</t>
  </si>
  <si>
    <t xml:space="preserve">Patos de Minas</t>
  </si>
  <si>
    <t xml:space="preserve">Várzea Grande-MT</t>
  </si>
  <si>
    <t xml:space="preserve">Varzea Grande</t>
  </si>
  <si>
    <t xml:space="preserve">Vasco-AC</t>
  </si>
  <si>
    <t xml:space="preserve">Vilavelhense-ES</t>
  </si>
  <si>
    <t xml:space="preserve">Vila Velha</t>
  </si>
  <si>
    <t xml:space="preserve">Vitória-PE</t>
  </si>
  <si>
    <t xml:space="preserve">Vitória de Santo Antão</t>
  </si>
  <si>
    <t xml:space="preserve">VOCEM-SP</t>
  </si>
  <si>
    <t xml:space="preserve">Votuporanguense-SP</t>
  </si>
  <si>
    <t xml:space="preserve">Votuporanga</t>
  </si>
  <si>
    <t xml:space="preserve">XV de Jaú-SP</t>
  </si>
  <si>
    <t xml:space="preserve">Jaú</t>
  </si>
  <si>
    <t xml:space="preserve">Ypiranga-AP</t>
  </si>
  <si>
    <t xml:space="preserve">Zumbi-AL</t>
  </si>
  <si>
    <t xml:space="preserve">União dos Palmares</t>
  </si>
  <si>
    <t xml:space="preserve">PAIS</t>
  </si>
  <si>
    <t xml:space="preserve">Argentina</t>
  </si>
  <si>
    <t xml:space="preserve">Colombia</t>
  </si>
  <si>
    <t xml:space="preserve">Uruguai</t>
  </si>
  <si>
    <t xml:space="preserve">Paraguai</t>
  </si>
  <si>
    <t xml:space="preserve">Equador</t>
  </si>
  <si>
    <t xml:space="preserve">Portugal</t>
  </si>
  <si>
    <t xml:space="preserve">Venezuela</t>
  </si>
  <si>
    <t xml:space="preserve">Nigeria</t>
  </si>
  <si>
    <t xml:space="preserve">Chile</t>
  </si>
  <si>
    <t xml:space="preserve">Camaroes</t>
  </si>
  <si>
    <t xml:space="preserve">Gana</t>
  </si>
  <si>
    <t xml:space="preserve">Belgica</t>
  </si>
  <si>
    <t xml:space="preserve">Togo</t>
  </si>
  <si>
    <t xml:space="preserve">Angola</t>
  </si>
  <si>
    <t xml:space="preserve">Bolivia</t>
  </si>
  <si>
    <t xml:space="preserve">Espanha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</si>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</sst>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b val="true"/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theme="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19"/>
  <sheetViews>
    <sheetView showFormulas="false" showGridLines="true" showRowColHeaders="true" showZeros="true" rightToLeft="false" tabSelected="false" showOutlineSymbols="true" defaultGridColor="true" view="normal" topLeftCell="A2091" colorId="64" zoomScale="100" zoomScaleNormal="100" zoomScalePageLayoutView="100" workbookViewId="0">
      <selection pane="topLeft" activeCell="W2120" activeCellId="0" sqref="W2120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</row>
    <row r="2" customFormat="false" ht="15.75" hidden="false" customHeight="true" outlineLevel="0" collapsed="false">
      <c r="A2" s="4" t="n">
        <v>46028</v>
      </c>
      <c r="B2" s="2" t="s">
        <v>32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33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34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35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36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37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38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39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40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41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42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40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43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44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34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45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46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34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47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48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37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49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50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37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51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52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37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53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54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40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55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56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40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57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58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40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59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60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61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62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63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34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64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65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37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66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67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37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68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69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40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70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71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72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73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74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72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75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76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77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78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79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80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81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82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80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83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84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80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85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86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87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88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89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90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91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92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90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44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93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34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46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32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34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94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95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96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97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98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96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99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100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96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101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102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96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103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104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105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106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107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105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108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109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105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110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111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112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113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114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115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116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117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115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118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119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115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120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121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115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122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123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124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125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126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124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127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128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124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129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130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124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131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132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124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133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134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72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135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136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137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138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139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137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48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50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37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51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47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37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140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141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142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143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144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145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146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147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145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148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149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145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56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53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40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58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55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40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150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151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152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153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154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152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155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156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157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158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159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157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160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161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157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162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163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157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164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165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77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166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167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77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168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169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77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170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171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80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172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173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87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174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175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87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176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177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90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178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179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90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180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181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90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63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43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34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33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182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34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183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184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96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185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186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105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187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188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105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189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190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105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191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192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112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193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194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112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195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196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112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197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198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115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199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200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115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201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202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72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203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204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137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205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206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137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52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65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37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66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35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37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49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67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37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36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64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37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207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208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209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210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211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142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212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213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142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214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215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142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216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217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145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218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219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145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220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221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145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69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41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40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42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38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40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54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57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40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39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68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40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222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223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152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224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225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152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226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227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152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228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229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157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230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231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157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232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233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157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234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235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157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236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237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77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238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239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77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240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241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77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242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243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77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244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245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87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92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88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90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32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45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34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60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246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247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248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249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247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126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127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124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71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133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72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50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51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37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159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160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157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156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162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157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171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79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80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170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81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80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82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83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80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181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178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90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179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176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90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89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180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90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62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43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34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93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63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34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59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250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247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251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252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247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188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103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105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107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185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105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109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189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105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192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110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112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196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194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112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193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191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112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111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195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112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119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199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115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198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113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115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200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120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115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121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197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115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117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118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115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114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116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115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132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129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124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128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122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124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123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125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124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130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131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124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74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201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72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202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73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72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134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70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72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36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52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37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65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47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37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64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66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37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67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48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37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253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254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209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255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256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209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257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207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209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215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211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142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141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212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142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213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214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142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221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216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145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219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143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145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149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220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145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217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148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145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42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58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40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69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38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40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57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68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40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39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56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40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161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234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157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163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158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157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229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230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157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167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164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77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165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240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77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237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242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77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239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236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77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169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75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77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243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168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77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76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238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77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241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166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77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258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259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260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261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262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260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78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84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80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177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91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90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182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46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34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263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264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247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190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108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105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104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187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105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186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106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105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35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49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37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265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266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209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208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267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209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268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269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209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210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140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142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144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146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145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147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218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145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55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54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40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53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41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40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231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232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157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233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228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157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235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155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157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33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45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34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246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248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247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154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226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152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270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60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260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260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83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170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80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245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175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87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173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86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87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172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85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87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176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181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90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180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92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90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93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62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34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63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44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34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95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183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96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100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94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96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102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273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96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98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101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96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59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251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247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250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60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247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185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103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105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107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109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105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188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189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105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196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110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112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121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198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115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119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200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115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116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113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115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120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117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115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128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125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124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126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132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124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123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131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124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274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275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276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277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278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276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202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133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72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201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71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72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135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204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137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136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138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137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67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51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37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52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66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37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47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36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37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50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65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37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254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255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209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257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256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209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253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207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209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211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213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142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214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212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142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279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280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281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282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283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281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219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220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145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221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143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145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149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216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145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68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42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40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58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39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40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225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222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152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223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224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152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161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159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157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162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230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157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156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229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157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163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234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157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155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232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157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237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169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77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165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242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77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166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75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77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167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76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77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168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164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77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241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238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77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284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285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286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287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288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286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289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290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286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79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82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80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84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171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80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81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78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80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244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174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87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291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88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90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89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179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90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178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177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90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182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32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34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184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99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96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249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263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247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264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252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247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186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190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105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106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187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105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104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108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105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191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195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112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192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194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112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111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193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112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118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199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115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197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114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115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292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293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294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122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129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124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127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130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124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295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296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276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297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298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276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299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300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276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74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70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72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73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134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72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206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139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137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205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203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137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49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64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37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35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48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37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268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266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209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265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267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209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208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269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209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141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210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142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140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215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142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301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302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281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217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146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145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144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218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145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147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148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145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41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55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40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56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57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40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38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53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40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303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304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305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227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150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152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151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153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152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228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235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157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233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231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157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160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158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157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236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240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77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239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243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77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306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307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286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54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69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40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176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180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90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248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250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247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132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128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124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66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47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37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65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67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37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36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50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37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159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163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157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81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79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80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84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170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80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78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82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80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83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171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80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88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178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90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43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93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34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44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62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34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94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98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96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273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100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96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99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95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96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183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102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96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101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184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96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251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264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247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60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59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247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189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104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105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103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106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105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108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188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105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191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110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112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193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196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112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194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111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112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198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120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115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114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121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115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117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200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115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113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118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115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199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197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115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129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127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124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131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126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124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130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123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124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275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295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276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278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296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276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299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274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276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71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74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72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134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202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72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70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201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72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52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49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37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48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64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37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51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35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37</v>
      </c>
      <c r="S367" s="2" t="n">
        <f aca="false">C367</f>
        <v>0</v>
      </c>
      <c r="T367" s="2" t="n">
        <f aca="false">D367</f>
        <v>1</v>
      </c>
      <c r="U367" s="3" t="n">
        <v>9999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269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257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209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267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253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209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207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268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209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283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279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281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302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282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281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280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308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281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218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221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145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216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219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145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148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144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145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146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149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145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55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68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40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39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41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40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57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38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40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222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227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152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153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224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152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226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223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152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151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154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152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232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156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157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235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162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157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234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233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157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229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155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157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238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169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77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168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166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77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240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167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77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164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239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77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242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236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77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243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165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77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76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237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77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75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241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77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259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260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309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261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260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179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91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90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177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89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90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46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33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34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45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182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34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263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246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247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252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249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247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187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185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105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190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107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105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109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186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105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192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195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112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116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119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115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125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122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124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277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297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276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298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300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276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133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73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72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256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265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209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254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208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209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266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255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209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143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217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145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220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147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145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53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58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40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69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56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40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42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54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40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150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225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152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158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228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157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231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161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157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230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160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157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85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244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87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206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135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137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310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311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312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313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314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312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258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262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260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170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78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80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82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84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80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174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172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87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175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173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87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92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181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90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102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184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96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94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183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96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60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251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247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59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248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247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108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103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105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189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187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105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140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214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112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110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193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112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121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117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115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120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118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115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113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199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115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315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316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294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293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317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294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318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292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294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319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320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294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321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322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294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126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130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124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128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123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124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303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323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324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295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274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276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296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299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276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134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71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72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139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136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137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50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66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37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47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49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37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48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52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37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64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51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37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65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35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37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67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36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37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267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257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209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308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282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281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325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326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327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328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329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327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216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144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145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148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219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145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146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221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145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227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151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152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154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223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152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155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234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157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229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232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157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163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235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157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169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76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77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237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239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77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165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168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77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164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240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77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243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75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77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166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238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77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241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236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77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330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331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312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332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333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312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334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335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312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336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337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312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338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339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312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290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306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286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307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284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286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288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340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286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285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287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286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171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81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80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79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83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80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86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245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87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88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176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90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33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93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34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100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95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96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273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101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96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98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99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96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249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264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247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246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252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247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190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185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105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186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188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105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109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106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105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107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104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105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111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192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112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195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194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112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196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191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112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197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116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115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200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198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115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114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119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115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127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132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124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131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122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124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125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129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124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341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342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324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343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344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324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304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345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324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297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275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276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298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277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276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300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278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276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74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346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72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70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133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72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201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73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72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204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205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137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255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207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209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254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268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209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215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210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142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212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211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142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213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141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142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301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279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281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280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283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281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143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147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145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218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149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145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56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42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40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54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39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40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41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57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40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38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55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40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68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53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40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58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69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40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224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222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152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225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153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152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226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150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152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158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233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157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156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161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157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159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231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157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230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228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157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167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242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77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347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348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312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270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260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182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44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34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250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263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247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138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203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137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256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208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209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266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253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209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220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217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145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162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160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157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181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89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90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62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45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34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248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60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247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130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128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124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349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350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324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269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265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209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351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352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327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353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354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327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258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260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245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172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87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173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244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87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175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85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87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86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174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87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291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180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90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178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92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90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197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163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355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218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67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355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51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233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355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88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303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355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255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149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355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228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176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355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38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158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355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235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207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355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84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83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356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82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357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356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63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32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34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264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246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247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251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249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247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104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186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105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103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189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105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106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190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105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191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111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112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196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192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112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194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110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112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195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193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112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322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293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294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316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321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294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320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318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294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317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319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294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292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315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294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122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126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124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131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127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124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125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132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124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123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129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124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358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359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324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275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277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276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274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300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276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295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298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276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74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134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72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201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133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72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202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71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72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73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70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72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282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280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281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283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301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281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308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302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281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236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164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77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238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167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77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240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169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77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242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241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77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166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243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77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237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165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77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75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168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77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239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76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77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331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332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312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335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310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312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337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313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312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314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347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312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333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338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312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348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334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312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311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336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312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262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309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260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79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81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80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179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177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90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234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268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355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267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116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355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46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43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34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252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250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247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263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59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247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185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109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105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188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107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105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187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108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105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299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278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276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296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297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276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339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330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157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265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254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209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266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257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209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360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361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362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259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270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260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261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260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78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83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80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82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171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80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173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174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87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182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62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34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184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273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96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99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102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96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183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100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96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95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98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96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101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94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96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248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251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247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246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249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247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106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104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105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117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197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115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119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121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115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200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113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115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199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120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115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322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317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294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315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320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294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318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319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294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130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122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124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129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126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124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127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125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124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128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131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124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323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341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324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349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303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324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342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345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324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277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295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276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134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201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72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70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202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72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71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73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72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133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74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72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135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205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137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203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139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137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204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138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137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363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51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37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215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213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142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211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140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142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141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214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142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283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302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281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351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353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327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326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364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327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144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220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145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147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216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145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149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143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145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217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218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145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221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148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145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219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146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145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42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57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40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58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41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40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224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227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152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225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154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152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222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150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152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153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226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152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223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151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152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160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229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157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161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162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157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235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158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157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164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166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77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168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240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77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241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237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77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331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338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312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311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337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312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348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314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312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336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334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312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333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313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312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310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347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312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365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366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362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367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368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362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369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370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362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371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372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362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373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374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362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375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376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362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377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378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362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290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307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286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287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340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286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285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288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286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81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84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80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79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170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80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175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244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87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180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88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90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176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291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90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93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45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34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250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264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247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59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252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247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60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263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247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103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190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105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185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188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105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187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109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105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110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195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112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111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196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112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193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192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112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194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191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112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118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114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115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198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116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115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293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316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294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321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292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294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132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123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124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359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304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324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344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358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324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343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350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324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298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299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276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300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275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276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278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297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276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274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296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276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136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206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137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35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47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37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36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50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37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48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65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37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267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255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209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210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212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142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301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280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281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279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308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281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69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39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40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54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38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40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207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228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379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233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155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157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232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230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157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231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163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157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239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165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77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169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167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77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75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238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77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76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242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77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332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330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312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339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335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312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306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284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286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309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258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260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44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33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34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108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107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105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189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186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105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269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253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209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256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268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209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68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56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40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234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159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157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243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236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77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85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173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87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89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178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90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181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179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90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63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43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34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249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250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247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251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246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247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67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52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37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352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325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327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364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329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327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55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53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40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154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227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152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366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375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362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270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260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172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175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87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92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177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90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207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218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355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233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197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355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158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235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355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303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234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355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163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88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355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149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267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355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380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171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356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170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82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356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79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381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356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81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84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356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83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382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356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32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46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34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252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60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247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264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59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247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319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315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294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316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322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294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320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321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294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293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318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294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126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128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124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129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131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124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345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349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324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359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343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324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344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342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324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341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358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324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299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275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276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296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298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276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74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70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72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66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64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37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212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215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142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211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141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142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213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140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142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214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210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142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302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279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281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283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383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281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282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301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281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226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225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152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150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223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152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153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222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152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337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335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312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334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311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312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330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348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312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314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333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312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347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331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312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310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332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312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338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336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312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313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339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312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262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260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176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255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355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268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38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355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263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248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247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292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317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294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132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122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124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127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123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124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125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130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124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350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323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324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303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304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324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297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295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276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202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201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72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116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51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37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221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148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145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151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224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152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228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156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157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198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118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115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146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147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145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217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144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145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56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55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40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169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241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77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259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261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260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170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82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80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84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79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80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83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81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80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171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78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80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384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385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386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177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88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90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91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181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90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45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44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34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33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62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34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102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94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96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100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101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96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99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183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96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184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98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96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60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264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247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59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249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247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190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187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105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104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185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105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188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106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105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186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108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105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111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193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112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195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194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112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110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191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112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117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119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115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121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113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115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197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200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115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114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120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115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315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318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294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293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320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294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342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359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324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274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278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276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70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74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72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205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136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137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139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204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137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52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67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37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47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35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37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50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36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37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253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256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209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207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265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209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257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254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209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208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266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209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213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210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142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214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211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142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308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301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281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328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364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327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351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325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327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149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219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145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41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58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40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39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69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40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222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154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152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223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225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152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227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153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152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162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229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157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160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231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157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159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155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157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235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161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157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242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166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77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237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164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77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165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238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77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76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243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77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331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339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312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332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334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312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335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313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312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311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338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312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348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337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312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333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336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312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361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377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362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378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365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362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368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373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362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372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367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362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374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369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362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370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360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362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290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285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286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307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288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286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387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306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286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284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287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286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85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172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87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178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176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90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93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182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34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273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95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96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248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252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247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263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251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247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109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103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105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107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189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105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116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199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115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316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317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294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322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292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294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321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319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294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130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132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124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122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127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124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131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125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124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123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126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124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128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129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124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345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323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324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349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341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324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304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344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324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343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303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324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275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296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276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300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277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276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201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202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72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203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135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137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206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138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137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51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49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37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65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48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37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268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267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209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255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269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209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215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141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142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140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212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142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280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302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281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282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279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281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218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216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145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57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42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40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38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54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40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224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150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152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151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226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152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232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158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157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156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234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157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230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233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157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228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163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157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240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75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77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167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239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77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314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310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312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347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330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312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376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371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362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174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245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87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46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63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34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43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32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34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250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246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247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358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350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324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299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297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276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147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221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145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143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220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145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148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146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145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53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68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40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270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258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260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309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260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244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175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87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92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89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90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88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207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209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354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326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327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329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351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327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223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227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152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365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373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362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172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86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87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388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389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386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268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176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90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179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180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90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181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177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90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234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116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355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38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51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355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380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357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356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382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79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356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62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45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34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102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100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96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94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273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96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101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99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96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104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187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105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189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103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105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191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110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112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193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111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112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194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195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112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319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293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294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318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321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294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292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316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294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317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315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294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320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322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294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131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122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124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197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303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324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359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349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324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341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343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324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278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295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276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201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73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72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204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206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137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64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66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37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208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266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209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302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180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281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308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279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281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235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149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145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225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151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152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224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154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152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222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226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152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150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153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152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238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240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77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165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76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77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167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237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77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168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242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77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164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169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77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166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236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77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75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239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77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243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241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77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335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311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312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334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333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312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330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314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312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332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348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312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336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347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312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338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310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312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313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331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312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339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337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312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369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375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362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367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376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362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372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368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362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374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370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362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360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377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362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366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378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362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371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361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362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259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262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260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85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173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87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390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391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386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67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158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355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255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267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355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228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233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355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218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163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355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171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170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356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98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183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96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95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184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96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252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263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247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264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248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247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251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250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247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249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60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247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246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59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247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108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106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105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107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109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105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123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130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124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350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304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324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323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344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324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358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345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324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342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303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324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297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274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276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70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134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72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139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205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137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269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265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209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280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301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281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69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54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40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392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393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386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300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296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276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138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135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137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256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254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209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53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56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40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55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68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40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261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260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84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83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80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389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384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386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176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92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90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33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182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34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185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186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105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187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104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105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113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117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115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118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197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115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119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198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115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199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121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115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200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114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115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120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116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115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131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127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124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277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299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276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298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278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276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48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51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37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268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253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209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279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283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281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282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302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281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325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364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327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352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328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327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148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147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145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219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220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145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39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38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40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41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57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40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154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150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152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227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225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152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153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223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152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151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222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152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226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224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152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238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164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77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239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166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77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169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236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77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242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75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77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237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240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77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243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167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77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76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168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77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241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165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77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331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335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312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337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334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312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347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332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312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311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330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312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348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336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312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333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339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312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361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367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362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376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372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362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378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374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362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360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369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362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373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366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362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370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371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362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377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368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362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375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365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362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284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340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286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287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306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286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285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307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286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385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391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386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44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93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34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103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189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105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106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108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105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316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320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294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322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319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294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321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315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294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394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318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294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123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129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124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304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341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324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323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359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324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303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358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324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350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342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324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345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343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324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344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349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324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47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67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37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267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207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209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308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280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281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149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143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145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144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218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145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42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58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40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89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291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40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231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156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157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161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232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157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234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162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157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163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160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157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229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235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157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233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159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157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158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230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157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155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228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157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314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338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312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310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313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312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288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290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286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109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107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105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266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269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209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255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257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209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354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351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327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353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329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327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146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221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145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216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217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145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265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248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395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396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176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397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398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267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397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91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299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395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74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215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395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326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256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395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285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161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395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222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43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395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41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195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395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101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325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395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198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138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395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321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393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395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301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293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395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261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302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395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186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185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105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88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179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90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78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170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80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304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303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324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85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174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87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275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298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276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277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274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276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295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300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276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136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203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137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283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282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281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280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279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281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236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75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77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167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165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77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168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238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77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240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243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77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164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242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77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166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399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77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169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239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77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241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76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77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400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207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401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67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228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355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125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323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395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270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230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395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68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55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40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180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178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90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350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342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324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341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345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324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343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359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324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172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244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87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390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392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386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265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208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209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257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253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209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114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120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115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56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53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40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226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154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152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263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246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247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391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384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386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313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332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312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233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235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157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163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156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157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254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267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209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217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216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145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218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144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145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221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146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145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113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121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115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117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116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115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51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48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37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182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33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34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189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187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105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104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103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105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57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41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40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58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42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40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89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176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90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134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70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72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170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78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80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381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81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356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127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131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124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245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87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86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175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87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151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224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152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183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273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96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99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94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96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101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95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96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251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60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247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287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290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286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284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288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286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325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353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327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351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364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327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280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282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281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318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322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294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403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316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294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393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389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386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165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169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77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167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168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77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335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348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312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334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330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312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311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333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312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336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310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312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338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347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312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366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360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362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365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377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362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368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376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362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372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375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362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369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367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362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374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361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362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371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373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362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370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378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362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159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158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157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162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228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157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268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255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209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207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256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209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143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149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145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220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219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145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197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199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115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67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47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37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93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44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34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107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108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105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106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109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105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38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39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40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54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69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40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92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179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90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88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181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90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91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178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90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177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180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90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73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201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72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83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84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80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129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123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124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341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303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324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343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342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324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350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359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404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304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345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404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193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195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112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278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275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276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296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277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276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274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298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276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295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299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276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300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297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276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153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222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152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135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139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137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205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138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137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203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206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137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136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204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137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98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102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96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184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100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96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248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250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247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340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307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286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306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285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286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301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283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281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302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308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281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405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293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294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406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292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294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321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317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294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392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385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386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238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242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77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240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166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77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239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241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77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75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164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77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243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237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77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76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236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77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337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331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312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339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314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312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269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208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209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265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266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209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147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148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145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264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59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247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309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259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260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388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390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386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254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50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395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55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170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395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140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328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395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182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74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395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262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260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364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354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327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176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396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397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267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398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397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233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67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355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303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218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355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51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235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355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116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228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355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163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255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355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149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197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355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342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160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395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178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183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395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106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125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395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256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214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395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159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172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395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114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389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395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47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81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395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216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193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395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70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113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395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110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85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395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107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49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395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99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92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395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217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146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395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144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301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395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83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292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395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304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407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395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155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89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395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101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187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395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127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295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395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244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86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87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174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173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87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151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226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152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283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280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281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282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308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281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236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238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77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239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168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77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165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166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77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242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240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77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169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243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77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76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164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77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241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167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77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237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75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77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331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311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312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332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336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312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334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313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312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330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338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312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348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333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312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347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335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312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310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339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312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367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360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362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368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370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362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372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365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362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361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366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362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378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375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362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376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374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362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373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369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362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377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371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362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207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400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401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158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268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355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93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408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395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131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279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395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162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139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395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266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208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209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265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269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209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33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44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34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68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53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40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222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223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152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246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263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247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384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393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386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314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337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312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159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228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157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267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254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209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146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148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145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221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147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145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116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117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115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120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114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115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48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47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37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187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189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105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103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104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105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108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107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105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42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57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40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39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54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40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176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178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90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78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83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80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341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350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324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342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304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324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212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211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142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215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213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142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274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277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276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226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151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152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136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138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137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94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184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96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95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102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96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100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98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96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183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101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96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273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99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96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60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251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247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261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270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260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352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353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327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326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329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327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308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283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281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292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319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294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389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390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386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242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169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77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164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241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77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166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76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77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168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237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77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330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310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312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335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336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312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333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331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312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338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334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312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361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373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362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378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376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362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366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370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362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367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371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362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369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368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362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374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372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362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360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365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362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375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377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362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409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410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411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163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235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157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269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266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209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255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268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209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149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218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145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121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113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115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199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197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115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182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93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34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109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106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105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58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38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40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88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92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90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134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73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72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84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381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356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127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129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124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303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343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324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195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193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112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245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85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87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175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172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87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299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295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276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223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222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152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59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264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247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328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351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327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301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282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281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279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302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281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316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318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294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293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321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294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317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320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294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322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315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294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385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388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386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236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165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77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238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243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77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240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239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77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75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167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77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314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311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312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339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348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312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337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332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312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313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347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312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412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413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411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414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415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411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416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417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411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208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265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209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256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207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209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216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219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145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81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83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80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139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204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137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258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260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384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392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386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253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257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209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55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56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40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250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248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247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391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392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386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418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419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37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420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267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397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78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91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395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56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65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395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359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290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395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266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153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395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230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109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395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284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244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395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198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48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395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57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251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395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41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130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395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60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200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395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321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253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395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174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226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395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199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43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395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163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159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157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120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121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115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108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103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105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42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54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40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211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212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142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213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215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142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245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175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87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353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328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327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354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325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327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279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301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281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236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168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77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331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314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312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332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335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312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333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337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312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347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334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312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336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330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312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311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339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312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310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348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312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313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338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312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376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361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362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365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369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362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368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378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362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372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366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362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373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360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362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370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375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362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377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367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362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371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374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362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384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136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395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248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134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395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208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32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395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201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274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395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143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302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395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170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380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356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172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85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87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262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270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260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258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261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260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393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390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386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219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216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145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53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55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40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56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68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40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352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329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327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389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385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386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267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257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209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148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221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145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147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146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145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121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120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115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47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48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37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106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187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105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54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42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40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176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88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90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83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78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80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342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350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324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213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140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142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244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245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87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295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299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276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151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223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152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204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139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137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250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246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247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309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260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259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260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285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340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286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288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306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286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307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287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286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290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284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286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326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351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327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328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354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327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279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282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281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388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391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386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237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238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77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421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422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77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169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166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77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243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164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77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165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75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77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76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240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77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167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236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77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241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168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77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330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313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77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331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336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312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335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333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312</v>
      </c>
      <c r="S1626" s="2" t="n">
        <f aca="false">C1626</f>
        <v>0</v>
      </c>
      <c r="T1626" s="2" t="n">
        <f aca="false">D1626</f>
        <v>2</v>
      </c>
      <c r="U1626" s="3" t="n">
        <v>3349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334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310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312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348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311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312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378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372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312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366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368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312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369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376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312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360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374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312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370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361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312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373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377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312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375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371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312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415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413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411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414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419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411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159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163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157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208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269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209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266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265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209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255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207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209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218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149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145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116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197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115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93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182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34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103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108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105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38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58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40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73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134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72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381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382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356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129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127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124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343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303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324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211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214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142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174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172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87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277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274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276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226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222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152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100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184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96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99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101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96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251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59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247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319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321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294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322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318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294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390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384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386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314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332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312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339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347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312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337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338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312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365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367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362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410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416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411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417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418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411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409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412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411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302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301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281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385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393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386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267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420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397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234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158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355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162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57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395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55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155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395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229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395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82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380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356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329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325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327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353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326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327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392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388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386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197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218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355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176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88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355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207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116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355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228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51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355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253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140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395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200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144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395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174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182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395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50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113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395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187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136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395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151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114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395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342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266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395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41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92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395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279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106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395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244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47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395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343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208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395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364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352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327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321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319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294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3187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318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322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294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391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389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386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335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314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312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337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310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312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333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330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312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348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331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312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336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313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312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311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347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312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338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332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312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339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334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312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303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255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355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268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163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355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235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38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355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149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233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355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256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304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395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109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292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395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193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93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395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48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183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395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274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78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395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85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56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395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127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159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395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58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199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395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134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107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395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359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143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395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302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280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281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301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308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281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393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388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386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377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369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362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88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197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355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267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207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355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382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84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356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357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171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356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83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79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356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214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211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142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172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245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87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223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151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152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138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136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137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101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99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96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59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251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247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309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261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260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259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260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287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340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286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284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290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286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326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352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327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325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328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327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389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392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386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243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165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77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164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167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77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168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241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77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330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335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312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313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311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312</v>
      </c>
      <c r="S1746" s="2" t="n">
        <f aca="false">C1746</f>
        <v>3</v>
      </c>
      <c r="T1746" s="2" t="n">
        <f aca="false">D1746</f>
        <v>0</v>
      </c>
      <c r="U1746" s="3" t="n">
        <v>9999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334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331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312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336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314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312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361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378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362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376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360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362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367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373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362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368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375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362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372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370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362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374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366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362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371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365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362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418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412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411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413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417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411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255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67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355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158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228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355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218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176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355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163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234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355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51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303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355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233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235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355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116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268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355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187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106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105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57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56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40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140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213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142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274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295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276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184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100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96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246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250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247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329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354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327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280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301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281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302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279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281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318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292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294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319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320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294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390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385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386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238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76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77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332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339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312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347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337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312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310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333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312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338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348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312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419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410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411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415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409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411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416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414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411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430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38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149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355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384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388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386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266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182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395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155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93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395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134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200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395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47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48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395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162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343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395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328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326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327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393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391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386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163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267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355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176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233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355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67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116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355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234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51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355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197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235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355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268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255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355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158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218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355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109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151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395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106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229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395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78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56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395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92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159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395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357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170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356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171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82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356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81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382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356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83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381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356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79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84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356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140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214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142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138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204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137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261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309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260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259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260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354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352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327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364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353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327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301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280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281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279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302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281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292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318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294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406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319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294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165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164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77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167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243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77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241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238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77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76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168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77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378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373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362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361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365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362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369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372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362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370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376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362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375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367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362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374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368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362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360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371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362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366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377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362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149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88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355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207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303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355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38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228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355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50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187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395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143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304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395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253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58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395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393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391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386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233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267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355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255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197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355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235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163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355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109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78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93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155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48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106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231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182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130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134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170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79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356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83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357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356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214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140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142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172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85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87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295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274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276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204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138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137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101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100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96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251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246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247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261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260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309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259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260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290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284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286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340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287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286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351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326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327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325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328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327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280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302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281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319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292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294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390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389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386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348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313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312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331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310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312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314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334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312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333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347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312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339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336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312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335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338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312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337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330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312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311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332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312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376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366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362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365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374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362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367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378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362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368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361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362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372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360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362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371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369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362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373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375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362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377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370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362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416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418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411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414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413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411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417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409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411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430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268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149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355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116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158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355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67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51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355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303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176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355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218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38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355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88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234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355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228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207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355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73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54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57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143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187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199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200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229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159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47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238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168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77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412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410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411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419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415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411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391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393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386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110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70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83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138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134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92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33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182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436</v>
      </c>
      <c r="S1909" s="2" t="n">
        <f aca="false">C1909</f>
        <v>0</v>
      </c>
      <c r="T1909" s="2" t="n">
        <f aca="false">D1909</f>
        <v>1</v>
      </c>
      <c r="U1909" s="3" t="n">
        <v>3276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60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109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343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328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217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48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49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253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389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390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386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140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193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93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214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88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295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226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78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136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178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183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125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285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292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251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101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325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304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130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290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258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302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265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143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114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57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159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199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38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155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167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165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77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241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76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77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243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164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77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376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373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362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378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369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362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361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372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362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368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365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362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370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367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362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375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360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362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374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377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362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366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371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362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274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151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261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85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172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384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279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303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106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107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78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88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70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93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193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33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182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110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101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130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109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292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48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114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253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38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143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159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246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251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247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302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280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281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391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390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386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165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167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77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164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243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77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168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238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77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332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333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312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337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310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312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336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334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312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313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339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312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365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370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362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367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366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362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369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361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362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371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378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362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360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368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362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373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372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362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375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374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362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377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376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362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409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414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411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67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267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355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178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226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151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136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214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134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138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274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295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83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183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60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303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325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279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261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125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285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251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106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107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290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258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172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57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49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199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217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155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265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76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241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77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413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416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411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415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417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411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410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418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411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412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419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411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430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92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140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384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328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85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304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143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159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182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130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302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343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267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234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355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218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235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355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116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88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355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176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67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355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51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268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355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255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228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355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199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231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47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187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134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109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106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73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229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93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78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57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54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200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83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170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356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328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326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327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158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303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355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38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197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355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163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149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355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233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207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355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155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48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340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290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286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292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319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294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235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116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355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51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255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355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268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267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355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182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143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73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229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130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93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109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106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47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134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193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160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39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217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50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76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295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58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439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195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32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440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178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79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440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186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101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440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62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111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440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136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33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440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43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138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440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74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214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440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3665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140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274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440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108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113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440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59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114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440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91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60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440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165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440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117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256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440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55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216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440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304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384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440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302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258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440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128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183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440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300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70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440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83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92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440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269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230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440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220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440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244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328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440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325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172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440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243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266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440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190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129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440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208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162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440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265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232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440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261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285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440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334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336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312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333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332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312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374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367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362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376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365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362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378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360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362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361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375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362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366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369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362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370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373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362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443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371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362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372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377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362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413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409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411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419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417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411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38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88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355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207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158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355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197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67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355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228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218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355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176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163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355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234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233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355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149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303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355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57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48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159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78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200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199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231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155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167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107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237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44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253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343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151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85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215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444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440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3601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445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65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440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273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125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440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99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127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440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359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110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440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139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440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202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153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440</v>
      </c>
      <c r="S2103" s="2" t="n">
        <f aca="false">C2103</f>
        <v>1</v>
      </c>
      <c r="T2103" s="2" t="n">
        <f aca="false">D2103</f>
        <v>1</v>
      </c>
      <c r="U2103" s="3" t="n">
        <v>3606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170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89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440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64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41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440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49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146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440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53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35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440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299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223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440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131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188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440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194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203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440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292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198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440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351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174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440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279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440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321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104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440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290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340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286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339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313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312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310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337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312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410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415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411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418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414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411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416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412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411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433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425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411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427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432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411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187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54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144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56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201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226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119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263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440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446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255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397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447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116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397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448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268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449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450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235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449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140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214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33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92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304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261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106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130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234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400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397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451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207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397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452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163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397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453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158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449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454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149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449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455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197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449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274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295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88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178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136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138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110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193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93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182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134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70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125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109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384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258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285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183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290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101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107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251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325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279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303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85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217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143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265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253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38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57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114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199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49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48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168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76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77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164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165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77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243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167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77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456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228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397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267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457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449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458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233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449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226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151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83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78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328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302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172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343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292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60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159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155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54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231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360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373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362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418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415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411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/>
      <c r="B2175" s="2"/>
      <c r="C2175" s="2"/>
      <c r="D2175" s="2"/>
      <c r="E2175" s="2" t="str">
        <f aca="false">IF(C2175="","",IF(C2175&gt;D2175,3,IF(C2175=D2175,1,0)))</f>
        <v/>
      </c>
      <c r="F2175" s="2" t="str">
        <f aca="false">IF(C2175="","",IF(C2175&gt;D2175,1,0))</f>
        <v/>
      </c>
      <c r="G2175" s="2" t="str">
        <f aca="false">IF(C2175="","",IF(C2175=D2175,1,0))</f>
        <v/>
      </c>
      <c r="H2175" s="2" t="str">
        <f aca="false">IF(C2175="","",IF(C2175&lt;D2175,1,0))</f>
        <v/>
      </c>
      <c r="I2175" s="2" t="n">
        <f aca="false">IF(D2175=0,1,0)</f>
        <v>1</v>
      </c>
      <c r="J2175" s="2"/>
      <c r="K2175" s="2" t="n">
        <f aca="false">C2175</f>
        <v>0</v>
      </c>
      <c r="L2175" s="2" t="n">
        <f aca="false">D2175</f>
        <v>0</v>
      </c>
      <c r="M2175" s="2" t="str">
        <f aca="false">IF(D2175="","",IF(D2175&gt;C2175,3,IF(D2175=C2175,1,0)))</f>
        <v/>
      </c>
      <c r="N2175" s="2" t="str">
        <f aca="false">IF(D2175="","",IF(D2175&gt;C2175,1,0))</f>
        <v/>
      </c>
      <c r="O2175" s="2" t="str">
        <f aca="false">IF(D2175="","",IF(D2175=C2175,1,0))</f>
        <v/>
      </c>
      <c r="P2175" s="2" t="str">
        <f aca="false">IF(D2175="","",IF(D2175&lt;C2175,1,0))</f>
        <v/>
      </c>
      <c r="Q2175" s="2" t="n">
        <f aca="false">IF(K2175=0,1,0)</f>
        <v>1</v>
      </c>
      <c r="R2175" s="2"/>
      <c r="S2175" s="2" t="n">
        <f aca="false">C2175</f>
        <v>0</v>
      </c>
      <c r="T2175" s="2" t="n">
        <f aca="false">D2175</f>
        <v>0</v>
      </c>
      <c r="U2175" s="3"/>
      <c r="V2175" s="3"/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/>
      <c r="B2176" s="2"/>
      <c r="C2176" s="2"/>
      <c r="D2176" s="2"/>
      <c r="E2176" s="2" t="str">
        <f aca="false">IF(C2176="","",IF(C2176&gt;D2176,3,IF(C2176=D2176,1,0)))</f>
        <v/>
      </c>
      <c r="F2176" s="2" t="str">
        <f aca="false">IF(C2176="","",IF(C2176&gt;D2176,1,0))</f>
        <v/>
      </c>
      <c r="G2176" s="2" t="str">
        <f aca="false">IF(C2176="","",IF(C2176=D2176,1,0))</f>
        <v/>
      </c>
      <c r="H2176" s="2" t="str">
        <f aca="false">IF(C2176="","",IF(C2176&lt;D2176,1,0))</f>
        <v/>
      </c>
      <c r="I2176" s="2" t="n">
        <f aca="false">IF(D2176=0,1,0)</f>
        <v>1</v>
      </c>
      <c r="J2176" s="2"/>
      <c r="K2176" s="2" t="n">
        <f aca="false">C2176</f>
        <v>0</v>
      </c>
      <c r="L2176" s="2" t="n">
        <f aca="false">D2176</f>
        <v>0</v>
      </c>
      <c r="M2176" s="2" t="str">
        <f aca="false">IF(D2176="","",IF(D2176&gt;C2176,3,IF(D2176=C2176,1,0)))</f>
        <v/>
      </c>
      <c r="N2176" s="2" t="str">
        <f aca="false">IF(D2176="","",IF(D2176&gt;C2176,1,0))</f>
        <v/>
      </c>
      <c r="O2176" s="2" t="str">
        <f aca="false">IF(D2176="","",IF(D2176=C2176,1,0))</f>
        <v/>
      </c>
      <c r="P2176" s="2" t="str">
        <f aca="false">IF(D2176="","",IF(D2176&lt;C2176,1,0))</f>
        <v/>
      </c>
      <c r="Q2176" s="2" t="n">
        <f aca="false">IF(K2176=0,1,0)</f>
        <v>1</v>
      </c>
      <c r="R2176" s="2"/>
      <c r="S2176" s="2" t="n">
        <f aca="false">C2176</f>
        <v>0</v>
      </c>
      <c r="T2176" s="2" t="n">
        <f aca="false">D2176</f>
        <v>0</v>
      </c>
      <c r="U2176" s="3"/>
      <c r="V2176" s="3"/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/>
      <c r="B2177" s="2"/>
      <c r="C2177" s="2"/>
      <c r="D2177" s="2"/>
      <c r="E2177" s="2" t="str">
        <f aca="false">IF(C2177="","",IF(C2177&gt;D2177,3,IF(C2177=D2177,1,0)))</f>
        <v/>
      </c>
      <c r="F2177" s="2" t="str">
        <f aca="false">IF(C2177="","",IF(C2177&gt;D2177,1,0))</f>
        <v/>
      </c>
      <c r="G2177" s="2" t="str">
        <f aca="false">IF(C2177="","",IF(C2177=D2177,1,0))</f>
        <v/>
      </c>
      <c r="H2177" s="2" t="str">
        <f aca="false">IF(C2177="","",IF(C2177&lt;D2177,1,0))</f>
        <v/>
      </c>
      <c r="I2177" s="2" t="n">
        <f aca="false">IF(D2177=0,1,0)</f>
        <v>1</v>
      </c>
      <c r="J2177" s="2"/>
      <c r="K2177" s="2" t="n">
        <f aca="false">C2177</f>
        <v>0</v>
      </c>
      <c r="L2177" s="2" t="n">
        <f aca="false">D2177</f>
        <v>0</v>
      </c>
      <c r="M2177" s="2" t="str">
        <f aca="false">IF(D2177="","",IF(D2177&gt;C2177,3,IF(D2177=C2177,1,0)))</f>
        <v/>
      </c>
      <c r="N2177" s="2" t="str">
        <f aca="false">IF(D2177="","",IF(D2177&gt;C2177,1,0))</f>
        <v/>
      </c>
      <c r="O2177" s="2" t="str">
        <f aca="false">IF(D2177="","",IF(D2177=C2177,1,0))</f>
        <v/>
      </c>
      <c r="P2177" s="2" t="str">
        <f aca="false">IF(D2177="","",IF(D2177&lt;C2177,1,0))</f>
        <v/>
      </c>
      <c r="Q2177" s="2" t="n">
        <f aca="false">IF(K2177=0,1,0)</f>
        <v>1</v>
      </c>
      <c r="R2177" s="2"/>
      <c r="S2177" s="2" t="n">
        <f aca="false">C2177</f>
        <v>0</v>
      </c>
      <c r="T2177" s="2" t="n">
        <f aca="false">D2177</f>
        <v>0</v>
      </c>
      <c r="U2177" s="3"/>
      <c r="V2177" s="3"/>
      <c r="W2177" s="3"/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/>
      <c r="B2178" s="2"/>
      <c r="C2178" s="2"/>
      <c r="D2178" s="2"/>
      <c r="E2178" s="2" t="str">
        <f aca="false">IF(C2178="","",IF(C2178&gt;D2178,3,IF(C2178=D2178,1,0)))</f>
        <v/>
      </c>
      <c r="F2178" s="2" t="str">
        <f aca="false">IF(C2178="","",IF(C2178&gt;D2178,1,0))</f>
        <v/>
      </c>
      <c r="G2178" s="2" t="str">
        <f aca="false">IF(C2178="","",IF(C2178=D2178,1,0))</f>
        <v/>
      </c>
      <c r="H2178" s="2" t="str">
        <f aca="false">IF(C2178="","",IF(C2178&lt;D2178,1,0))</f>
        <v/>
      </c>
      <c r="I2178" s="2" t="n">
        <f aca="false">IF(D2178=0,1,0)</f>
        <v>1</v>
      </c>
      <c r="J2178" s="2"/>
      <c r="K2178" s="2" t="n">
        <f aca="false">C2178</f>
        <v>0</v>
      </c>
      <c r="L2178" s="2" t="n">
        <f aca="false">D2178</f>
        <v>0</v>
      </c>
      <c r="M2178" s="2" t="str">
        <f aca="false">IF(D2178="","",IF(D2178&gt;C2178,3,IF(D2178=C2178,1,0)))</f>
        <v/>
      </c>
      <c r="N2178" s="2" t="str">
        <f aca="false">IF(D2178="","",IF(D2178&gt;C2178,1,0))</f>
        <v/>
      </c>
      <c r="O2178" s="2" t="str">
        <f aca="false">IF(D2178="","",IF(D2178=C2178,1,0))</f>
        <v/>
      </c>
      <c r="P2178" s="2" t="str">
        <f aca="false">IF(D2178="","",IF(D2178&lt;C2178,1,0))</f>
        <v/>
      </c>
      <c r="Q2178" s="2" t="n">
        <f aca="false">IF(K2178=0,1,0)</f>
        <v>1</v>
      </c>
      <c r="R2178" s="2"/>
      <c r="S2178" s="2" t="n">
        <f aca="false">C2178</f>
        <v>0</v>
      </c>
      <c r="T2178" s="2" t="n">
        <f aca="false">D2178</f>
        <v>0</v>
      </c>
      <c r="U2178" s="3"/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/>
      <c r="B2179" s="2"/>
      <c r="C2179" s="2"/>
      <c r="D2179" s="2"/>
      <c r="E2179" s="2" t="str">
        <f aca="false">IF(C2179="","",IF(C2179&gt;D2179,3,IF(C2179=D2179,1,0)))</f>
        <v/>
      </c>
      <c r="F2179" s="2" t="str">
        <f aca="false">IF(C2179="","",IF(C2179&gt;D2179,1,0))</f>
        <v/>
      </c>
      <c r="G2179" s="2" t="str">
        <f aca="false">IF(C2179="","",IF(C2179=D2179,1,0))</f>
        <v/>
      </c>
      <c r="H2179" s="2" t="str">
        <f aca="false">IF(C2179="","",IF(C2179&lt;D2179,1,0))</f>
        <v/>
      </c>
      <c r="I2179" s="2" t="n">
        <f aca="false">IF(D2179=0,1,0)</f>
        <v>1</v>
      </c>
      <c r="J2179" s="2"/>
      <c r="K2179" s="2" t="n">
        <f aca="false">C2179</f>
        <v>0</v>
      </c>
      <c r="L2179" s="2" t="n">
        <f aca="false">D2179</f>
        <v>0</v>
      </c>
      <c r="M2179" s="2" t="str">
        <f aca="false">IF(D2179="","",IF(D2179&gt;C2179,3,IF(D2179=C2179,1,0)))</f>
        <v/>
      </c>
      <c r="N2179" s="2" t="str">
        <f aca="false">IF(D2179="","",IF(D2179&gt;C2179,1,0))</f>
        <v/>
      </c>
      <c r="O2179" s="2" t="str">
        <f aca="false">IF(D2179="","",IF(D2179=C2179,1,0))</f>
        <v/>
      </c>
      <c r="P2179" s="2" t="str">
        <f aca="false">IF(D2179="","",IF(D2179&lt;C2179,1,0))</f>
        <v/>
      </c>
      <c r="Q2179" s="2" t="n">
        <f aca="false">IF(K2179=0,1,0)</f>
        <v>1</v>
      </c>
      <c r="R2179" s="2"/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/>
      <c r="B2180" s="2"/>
      <c r="C2180" s="2"/>
      <c r="D2180" s="2"/>
      <c r="E2180" s="2" t="str">
        <f aca="false">IF(C2180="","",IF(C2180&gt;D2180,3,IF(C2180=D2180,1,0)))</f>
        <v/>
      </c>
      <c r="F2180" s="2" t="str">
        <f aca="false">IF(C2180="","",IF(C2180&gt;D2180,1,0))</f>
        <v/>
      </c>
      <c r="G2180" s="2" t="str">
        <f aca="false">IF(C2180="","",IF(C2180=D2180,1,0))</f>
        <v/>
      </c>
      <c r="H2180" s="2" t="str">
        <f aca="false">IF(C2180="","",IF(C2180&lt;D2180,1,0))</f>
        <v/>
      </c>
      <c r="I2180" s="2" t="n">
        <f aca="false">IF(D2180=0,1,0)</f>
        <v>1</v>
      </c>
      <c r="J2180" s="2"/>
      <c r="K2180" s="2" t="n">
        <f aca="false">C2180</f>
        <v>0</v>
      </c>
      <c r="L2180" s="2" t="n">
        <f aca="false">D2180</f>
        <v>0</v>
      </c>
      <c r="M2180" s="2" t="str">
        <f aca="false">IF(D2180="","",IF(D2180&gt;C2180,3,IF(D2180=C2180,1,0)))</f>
        <v/>
      </c>
      <c r="N2180" s="2" t="str">
        <f aca="false">IF(D2180="","",IF(D2180&gt;C2180,1,0))</f>
        <v/>
      </c>
      <c r="O2180" s="2" t="str">
        <f aca="false">IF(D2180="","",IF(D2180=C2180,1,0))</f>
        <v/>
      </c>
      <c r="P2180" s="2" t="str">
        <f aca="false">IF(D2180="","",IF(D2180&lt;C2180,1,0))</f>
        <v/>
      </c>
      <c r="Q2180" s="2" t="n">
        <f aca="false">IF(K2180=0,1,0)</f>
        <v>1</v>
      </c>
      <c r="R2180" s="2"/>
      <c r="S2180" s="2" t="n">
        <f aca="false">C2180</f>
        <v>0</v>
      </c>
      <c r="T2180" s="2" t="n">
        <f aca="false">D2180</f>
        <v>0</v>
      </c>
      <c r="U2180" s="3"/>
      <c r="V2180" s="3"/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/>
      <c r="B2181" s="2"/>
      <c r="C2181" s="2"/>
      <c r="D2181" s="2"/>
      <c r="E2181" s="2" t="str">
        <f aca="false">IF(C2181="","",IF(C2181&gt;D2181,3,IF(C2181=D2181,1,0)))</f>
        <v/>
      </c>
      <c r="F2181" s="2" t="str">
        <f aca="false">IF(C2181="","",IF(C2181&gt;D2181,1,0))</f>
        <v/>
      </c>
      <c r="G2181" s="2" t="str">
        <f aca="false">IF(C2181="","",IF(C2181=D2181,1,0))</f>
        <v/>
      </c>
      <c r="H2181" s="2" t="str">
        <f aca="false">IF(C2181="","",IF(C2181&lt;D2181,1,0))</f>
        <v/>
      </c>
      <c r="I2181" s="2" t="n">
        <f aca="false">IF(D2181=0,1,0)</f>
        <v>1</v>
      </c>
      <c r="J2181" s="2"/>
      <c r="K2181" s="2" t="n">
        <f aca="false">C2181</f>
        <v>0</v>
      </c>
      <c r="L2181" s="2" t="n">
        <f aca="false">D2181</f>
        <v>0</v>
      </c>
      <c r="M2181" s="2" t="str">
        <f aca="false">IF(D2181="","",IF(D2181&gt;C2181,3,IF(D2181=C2181,1,0)))</f>
        <v/>
      </c>
      <c r="N2181" s="2" t="str">
        <f aca="false">IF(D2181="","",IF(D2181&gt;C2181,1,0))</f>
        <v/>
      </c>
      <c r="O2181" s="2" t="str">
        <f aca="false">IF(D2181="","",IF(D2181=C2181,1,0))</f>
        <v/>
      </c>
      <c r="P2181" s="2" t="str">
        <f aca="false">IF(D2181="","",IF(D2181&lt;C2181,1,0))</f>
        <v/>
      </c>
      <c r="Q2181" s="2" t="n">
        <f aca="false">IF(K2181=0,1,0)</f>
        <v>1</v>
      </c>
      <c r="R2181" s="2"/>
      <c r="S2181" s="2" t="n">
        <f aca="false">C2181</f>
        <v>0</v>
      </c>
      <c r="T2181" s="2" t="n">
        <f aca="false">D2181</f>
        <v>0</v>
      </c>
      <c r="U2181" s="3"/>
      <c r="V2181" s="3"/>
      <c r="W2181" s="3"/>
      <c r="X2181" s="3"/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/>
      <c r="B2182" s="2"/>
      <c r="C2182" s="2"/>
      <c r="D2182" s="2"/>
      <c r="E2182" s="2" t="str">
        <f aca="false">IF(C2182="","",IF(C2182&gt;D2182,3,IF(C2182=D2182,1,0)))</f>
        <v/>
      </c>
      <c r="F2182" s="2" t="str">
        <f aca="false">IF(C2182="","",IF(C2182&gt;D2182,1,0))</f>
        <v/>
      </c>
      <c r="G2182" s="2" t="str">
        <f aca="false">IF(C2182="","",IF(C2182=D2182,1,0))</f>
        <v/>
      </c>
      <c r="H2182" s="2" t="str">
        <f aca="false">IF(C2182="","",IF(C2182&lt;D2182,1,0))</f>
        <v/>
      </c>
      <c r="I2182" s="2" t="n">
        <f aca="false">IF(D2182=0,1,0)</f>
        <v>1</v>
      </c>
      <c r="J2182" s="2"/>
      <c r="K2182" s="2" t="n">
        <f aca="false">C2182</f>
        <v>0</v>
      </c>
      <c r="L2182" s="2" t="n">
        <f aca="false">D2182</f>
        <v>0</v>
      </c>
      <c r="M2182" s="2" t="str">
        <f aca="false">IF(D2182="","",IF(D2182&gt;C2182,3,IF(D2182=C2182,1,0)))</f>
        <v/>
      </c>
      <c r="N2182" s="2" t="str">
        <f aca="false">IF(D2182="","",IF(D2182&gt;C2182,1,0))</f>
        <v/>
      </c>
      <c r="O2182" s="2" t="str">
        <f aca="false">IF(D2182="","",IF(D2182=C2182,1,0))</f>
        <v/>
      </c>
      <c r="P2182" s="2" t="str">
        <f aca="false">IF(D2182="","",IF(D2182&lt;C2182,1,0))</f>
        <v/>
      </c>
      <c r="Q2182" s="2" t="n">
        <f aca="false">IF(K2182=0,1,0)</f>
        <v>1</v>
      </c>
      <c r="R2182" s="2"/>
      <c r="S2182" s="2" t="n">
        <f aca="false">C2182</f>
        <v>0</v>
      </c>
      <c r="T2182" s="2" t="n">
        <f aca="false">D2182</f>
        <v>0</v>
      </c>
      <c r="U2182" s="3"/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/>
      <c r="B2183" s="2"/>
      <c r="C2183" s="2"/>
      <c r="D2183" s="2"/>
      <c r="E2183" s="2" t="str">
        <f aca="false">IF(C2183="","",IF(C2183&gt;D2183,3,IF(C2183=D2183,1,0)))</f>
        <v/>
      </c>
      <c r="F2183" s="2" t="str">
        <f aca="false">IF(C2183="","",IF(C2183&gt;D2183,1,0))</f>
        <v/>
      </c>
      <c r="G2183" s="2" t="str">
        <f aca="false">IF(C2183="","",IF(C2183=D2183,1,0))</f>
        <v/>
      </c>
      <c r="H2183" s="2" t="str">
        <f aca="false">IF(C2183="","",IF(C2183&lt;D2183,1,0))</f>
        <v/>
      </c>
      <c r="I2183" s="2" t="n">
        <f aca="false">IF(D2183=0,1,0)</f>
        <v>1</v>
      </c>
      <c r="J2183" s="2"/>
      <c r="K2183" s="2" t="n">
        <f aca="false">C2183</f>
        <v>0</v>
      </c>
      <c r="L2183" s="2" t="n">
        <f aca="false">D2183</f>
        <v>0</v>
      </c>
      <c r="M2183" s="2" t="str">
        <f aca="false">IF(D2183="","",IF(D2183&gt;C2183,3,IF(D2183=C2183,1,0)))</f>
        <v/>
      </c>
      <c r="N2183" s="2" t="str">
        <f aca="false">IF(D2183="","",IF(D2183&gt;C2183,1,0))</f>
        <v/>
      </c>
      <c r="O2183" s="2" t="str">
        <f aca="false">IF(D2183="","",IF(D2183=C2183,1,0))</f>
        <v/>
      </c>
      <c r="P2183" s="2" t="str">
        <f aca="false">IF(D2183="","",IF(D2183&lt;C2183,1,0))</f>
        <v/>
      </c>
      <c r="Q2183" s="2" t="n">
        <f aca="false">IF(K2183=0,1,0)</f>
        <v>1</v>
      </c>
      <c r="R2183" s="2"/>
      <c r="S2183" s="2" t="n">
        <f aca="false">C2183</f>
        <v>0</v>
      </c>
      <c r="T2183" s="2" t="n">
        <f aca="false">D2183</f>
        <v>0</v>
      </c>
      <c r="U2183" s="3"/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/>
      <c r="B2184" s="2"/>
      <c r="C2184" s="2"/>
      <c r="D2184" s="2"/>
      <c r="E2184" s="2" t="str">
        <f aca="false">IF(C2184="","",IF(C2184&gt;D2184,3,IF(C2184=D2184,1,0)))</f>
        <v/>
      </c>
      <c r="F2184" s="2" t="str">
        <f aca="false">IF(C2184="","",IF(C2184&gt;D2184,1,0))</f>
        <v/>
      </c>
      <c r="G2184" s="2" t="str">
        <f aca="false">IF(C2184="","",IF(C2184=D2184,1,0))</f>
        <v/>
      </c>
      <c r="H2184" s="2" t="str">
        <f aca="false">IF(C2184="","",IF(C2184&lt;D2184,1,0))</f>
        <v/>
      </c>
      <c r="I2184" s="2" t="n">
        <f aca="false">IF(D2184=0,1,0)</f>
        <v>1</v>
      </c>
      <c r="J2184" s="2"/>
      <c r="K2184" s="2" t="n">
        <f aca="false">C2184</f>
        <v>0</v>
      </c>
      <c r="L2184" s="2" t="n">
        <f aca="false">D2184</f>
        <v>0</v>
      </c>
      <c r="M2184" s="2" t="str">
        <f aca="false">IF(D2184="","",IF(D2184&gt;C2184,3,IF(D2184=C2184,1,0)))</f>
        <v/>
      </c>
      <c r="N2184" s="2" t="str">
        <f aca="false">IF(D2184="","",IF(D2184&gt;C2184,1,0))</f>
        <v/>
      </c>
      <c r="O2184" s="2" t="str">
        <f aca="false">IF(D2184="","",IF(D2184=C2184,1,0))</f>
        <v/>
      </c>
      <c r="P2184" s="2" t="str">
        <f aca="false">IF(D2184="","",IF(D2184&lt;C2184,1,0))</f>
        <v/>
      </c>
      <c r="Q2184" s="2" t="n">
        <f aca="false">IF(K2184=0,1,0)</f>
        <v>1</v>
      </c>
      <c r="R2184" s="2"/>
      <c r="S2184" s="2" t="n">
        <f aca="false">C2184</f>
        <v>0</v>
      </c>
      <c r="T2184" s="2" t="n">
        <f aca="false">D2184</f>
        <v>0</v>
      </c>
      <c r="U2184" s="3"/>
      <c r="V2184" s="3"/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/>
      <c r="B2185" s="2"/>
      <c r="C2185" s="2"/>
      <c r="D2185" s="2"/>
      <c r="E2185" s="2" t="str">
        <f aca="false">IF(C2185="","",IF(C2185&gt;D2185,3,IF(C2185=D2185,1,0)))</f>
        <v/>
      </c>
      <c r="F2185" s="2" t="str">
        <f aca="false">IF(C2185="","",IF(C2185&gt;D2185,1,0))</f>
        <v/>
      </c>
      <c r="G2185" s="2" t="str">
        <f aca="false">IF(C2185="","",IF(C2185=D2185,1,0))</f>
        <v/>
      </c>
      <c r="H2185" s="2" t="str">
        <f aca="false">IF(C2185="","",IF(C2185&lt;D2185,1,0))</f>
        <v/>
      </c>
      <c r="I2185" s="2" t="n">
        <f aca="false">IF(D2185=0,1,0)</f>
        <v>1</v>
      </c>
      <c r="J2185" s="2"/>
      <c r="K2185" s="2" t="n">
        <f aca="false">C2185</f>
        <v>0</v>
      </c>
      <c r="L2185" s="2" t="n">
        <f aca="false">D2185</f>
        <v>0</v>
      </c>
      <c r="M2185" s="2" t="str">
        <f aca="false">IF(D2185="","",IF(D2185&gt;C2185,3,IF(D2185=C2185,1,0)))</f>
        <v/>
      </c>
      <c r="N2185" s="2" t="str">
        <f aca="false">IF(D2185="","",IF(D2185&gt;C2185,1,0))</f>
        <v/>
      </c>
      <c r="O2185" s="2" t="str">
        <f aca="false">IF(D2185="","",IF(D2185=C2185,1,0))</f>
        <v/>
      </c>
      <c r="P2185" s="2" t="str">
        <f aca="false">IF(D2185="","",IF(D2185&lt;C2185,1,0))</f>
        <v/>
      </c>
      <c r="Q2185" s="2" t="n">
        <f aca="false">IF(K2185=0,1,0)</f>
        <v>1</v>
      </c>
      <c r="R2185" s="2"/>
      <c r="S2185" s="2" t="n">
        <f aca="false">C2185</f>
        <v>0</v>
      </c>
      <c r="T2185" s="2" t="n">
        <f aca="false">D2185</f>
        <v>0</v>
      </c>
      <c r="U2185" s="3"/>
      <c r="V2185" s="3"/>
      <c r="W2185" s="3"/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/>
      <c r="B2186" s="2"/>
      <c r="C2186" s="2"/>
      <c r="D2186" s="2"/>
      <c r="E2186" s="2" t="str">
        <f aca="false">IF(C2186="","",IF(C2186&gt;D2186,3,IF(C2186=D2186,1,0)))</f>
        <v/>
      </c>
      <c r="F2186" s="2" t="str">
        <f aca="false">IF(C2186="","",IF(C2186&gt;D2186,1,0))</f>
        <v/>
      </c>
      <c r="G2186" s="2" t="str">
        <f aca="false">IF(C2186="","",IF(C2186=D2186,1,0))</f>
        <v/>
      </c>
      <c r="H2186" s="2" t="str">
        <f aca="false">IF(C2186="","",IF(C2186&lt;D2186,1,0))</f>
        <v/>
      </c>
      <c r="I2186" s="2" t="n">
        <f aca="false">IF(D2186=0,1,0)</f>
        <v>1</v>
      </c>
      <c r="J2186" s="2"/>
      <c r="K2186" s="2" t="n">
        <f aca="false">C2186</f>
        <v>0</v>
      </c>
      <c r="L2186" s="2" t="n">
        <f aca="false">D2186</f>
        <v>0</v>
      </c>
      <c r="M2186" s="2" t="str">
        <f aca="false">IF(D2186="","",IF(D2186&gt;C2186,3,IF(D2186=C2186,1,0)))</f>
        <v/>
      </c>
      <c r="N2186" s="2" t="str">
        <f aca="false">IF(D2186="","",IF(D2186&gt;C2186,1,0))</f>
        <v/>
      </c>
      <c r="O2186" s="2" t="str">
        <f aca="false">IF(D2186="","",IF(D2186=C2186,1,0))</f>
        <v/>
      </c>
      <c r="P2186" s="2" t="str">
        <f aca="false">IF(D2186="","",IF(D2186&lt;C2186,1,0))</f>
        <v/>
      </c>
      <c r="Q2186" s="2" t="n">
        <f aca="false">IF(K2186=0,1,0)</f>
        <v>1</v>
      </c>
      <c r="R2186" s="2"/>
      <c r="S2186" s="2" t="n">
        <f aca="false">C2186</f>
        <v>0</v>
      </c>
      <c r="T2186" s="2" t="n">
        <f aca="false">D2186</f>
        <v>0</v>
      </c>
      <c r="U2186" s="3"/>
      <c r="V2186" s="3"/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/>
      <c r="B2187" s="2"/>
      <c r="C2187" s="2"/>
      <c r="D2187" s="2"/>
      <c r="E2187" s="2" t="str">
        <f aca="false">IF(C2187="","",IF(C2187&gt;D2187,3,IF(C2187=D2187,1,0)))</f>
        <v/>
      </c>
      <c r="F2187" s="2" t="str">
        <f aca="false">IF(C2187="","",IF(C2187&gt;D2187,1,0))</f>
        <v/>
      </c>
      <c r="G2187" s="2" t="str">
        <f aca="false">IF(C2187="","",IF(C2187=D2187,1,0))</f>
        <v/>
      </c>
      <c r="H2187" s="2" t="str">
        <f aca="false">IF(C2187="","",IF(C2187&lt;D2187,1,0))</f>
        <v/>
      </c>
      <c r="I2187" s="2" t="n">
        <f aca="false">IF(D2187=0,1,0)</f>
        <v>1</v>
      </c>
      <c r="J2187" s="2"/>
      <c r="K2187" s="2" t="n">
        <f aca="false">C2187</f>
        <v>0</v>
      </c>
      <c r="L2187" s="2" t="n">
        <f aca="false">D2187</f>
        <v>0</v>
      </c>
      <c r="M2187" s="2" t="str">
        <f aca="false">IF(D2187="","",IF(D2187&gt;C2187,3,IF(D2187=C2187,1,0)))</f>
        <v/>
      </c>
      <c r="N2187" s="2" t="str">
        <f aca="false">IF(D2187="","",IF(D2187&gt;C2187,1,0))</f>
        <v/>
      </c>
      <c r="O2187" s="2" t="str">
        <f aca="false">IF(D2187="","",IF(D2187=C2187,1,0))</f>
        <v/>
      </c>
      <c r="P2187" s="2" t="str">
        <f aca="false">IF(D2187="","",IF(D2187&lt;C2187,1,0))</f>
        <v/>
      </c>
      <c r="Q2187" s="2" t="n">
        <f aca="false">IF(K2187=0,1,0)</f>
        <v>1</v>
      </c>
      <c r="R2187" s="2"/>
      <c r="S2187" s="2" t="n">
        <f aca="false">C2187</f>
        <v>0</v>
      </c>
      <c r="T2187" s="2" t="n">
        <f aca="false">D2187</f>
        <v>0</v>
      </c>
      <c r="U2187" s="3"/>
      <c r="V2187" s="3"/>
      <c r="W2187" s="3"/>
      <c r="X2187" s="3"/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/>
      <c r="B2188" s="2"/>
      <c r="C2188" s="2"/>
      <c r="D2188" s="2"/>
      <c r="E2188" s="2" t="str">
        <f aca="false">IF(C2188="","",IF(C2188&gt;D2188,3,IF(C2188=D2188,1,0)))</f>
        <v/>
      </c>
      <c r="F2188" s="2" t="str">
        <f aca="false">IF(C2188="","",IF(C2188&gt;D2188,1,0))</f>
        <v/>
      </c>
      <c r="G2188" s="2" t="str">
        <f aca="false">IF(C2188="","",IF(C2188=D2188,1,0))</f>
        <v/>
      </c>
      <c r="H2188" s="2" t="str">
        <f aca="false">IF(C2188="","",IF(C2188&lt;D2188,1,0))</f>
        <v/>
      </c>
      <c r="I2188" s="2" t="n">
        <f aca="false">IF(D2188=0,1,0)</f>
        <v>1</v>
      </c>
      <c r="J2188" s="2"/>
      <c r="K2188" s="2" t="n">
        <f aca="false">C2188</f>
        <v>0</v>
      </c>
      <c r="L2188" s="2" t="n">
        <f aca="false">D2188</f>
        <v>0</v>
      </c>
      <c r="M2188" s="2" t="str">
        <f aca="false">IF(D2188="","",IF(D2188&gt;C2188,3,IF(D2188=C2188,1,0)))</f>
        <v/>
      </c>
      <c r="N2188" s="2" t="str">
        <f aca="false">IF(D2188="","",IF(D2188&gt;C2188,1,0))</f>
        <v/>
      </c>
      <c r="O2188" s="2" t="str">
        <f aca="false">IF(D2188="","",IF(D2188=C2188,1,0))</f>
        <v/>
      </c>
      <c r="P2188" s="2" t="str">
        <f aca="false">IF(D2188="","",IF(D2188&lt;C2188,1,0))</f>
        <v/>
      </c>
      <c r="Q2188" s="2" t="n">
        <f aca="false">IF(K2188=0,1,0)</f>
        <v>1</v>
      </c>
      <c r="R2188" s="2"/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/>
      <c r="B2189" s="2"/>
      <c r="C2189" s="2"/>
      <c r="D2189" s="2"/>
      <c r="E2189" s="2" t="str">
        <f aca="false">IF(C2189="","",IF(C2189&gt;D2189,3,IF(C2189=D2189,1,0)))</f>
        <v/>
      </c>
      <c r="F2189" s="2" t="str">
        <f aca="false">IF(C2189="","",IF(C2189&gt;D2189,1,0))</f>
        <v/>
      </c>
      <c r="G2189" s="2" t="str">
        <f aca="false">IF(C2189="","",IF(C2189=D2189,1,0))</f>
        <v/>
      </c>
      <c r="H2189" s="2" t="str">
        <f aca="false">IF(C2189="","",IF(C2189&lt;D2189,1,0))</f>
        <v/>
      </c>
      <c r="I2189" s="2" t="n">
        <f aca="false">IF(D2189=0,1,0)</f>
        <v>1</v>
      </c>
      <c r="J2189" s="2"/>
      <c r="K2189" s="2" t="n">
        <f aca="false">C2189</f>
        <v>0</v>
      </c>
      <c r="L2189" s="2" t="n">
        <f aca="false">D2189</f>
        <v>0</v>
      </c>
      <c r="M2189" s="2" t="str">
        <f aca="false">IF(D2189="","",IF(D2189&gt;C2189,3,IF(D2189=C2189,1,0)))</f>
        <v/>
      </c>
      <c r="N2189" s="2" t="str">
        <f aca="false">IF(D2189="","",IF(D2189&gt;C2189,1,0))</f>
        <v/>
      </c>
      <c r="O2189" s="2" t="str">
        <f aca="false">IF(D2189="","",IF(D2189=C2189,1,0))</f>
        <v/>
      </c>
      <c r="P2189" s="2" t="str">
        <f aca="false">IF(D2189="","",IF(D2189&lt;C2189,1,0))</f>
        <v/>
      </c>
      <c r="Q2189" s="2" t="n">
        <f aca="false">IF(K2189=0,1,0)</f>
        <v>1</v>
      </c>
      <c r="R2189" s="2"/>
      <c r="S2189" s="2" t="n">
        <f aca="false">C2189</f>
        <v>0</v>
      </c>
      <c r="T2189" s="2" t="n">
        <f aca="false">D2189</f>
        <v>0</v>
      </c>
      <c r="U2189" s="3"/>
      <c r="V2189" s="3"/>
      <c r="W2189" s="3"/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/>
      <c r="B2190" s="2"/>
      <c r="C2190" s="2"/>
      <c r="D2190" s="2"/>
      <c r="E2190" s="2" t="str">
        <f aca="false">IF(C2190="","",IF(C2190&gt;D2190,3,IF(C2190=D2190,1,0)))</f>
        <v/>
      </c>
      <c r="F2190" s="2" t="str">
        <f aca="false">IF(C2190="","",IF(C2190&gt;D2190,1,0))</f>
        <v/>
      </c>
      <c r="G2190" s="2" t="str">
        <f aca="false">IF(C2190="","",IF(C2190=D2190,1,0))</f>
        <v/>
      </c>
      <c r="H2190" s="2" t="str">
        <f aca="false">IF(C2190="","",IF(C2190&lt;D2190,1,0))</f>
        <v/>
      </c>
      <c r="I2190" s="2" t="n">
        <f aca="false">IF(D2190=0,1,0)</f>
        <v>1</v>
      </c>
      <c r="J2190" s="2"/>
      <c r="K2190" s="2" t="n">
        <f aca="false">C2190</f>
        <v>0</v>
      </c>
      <c r="L2190" s="2" t="n">
        <f aca="false">D2190</f>
        <v>0</v>
      </c>
      <c r="M2190" s="2" t="str">
        <f aca="false">IF(D2190="","",IF(D2190&gt;C2190,3,IF(D2190=C2190,1,0)))</f>
        <v/>
      </c>
      <c r="N2190" s="2" t="str">
        <f aca="false">IF(D2190="","",IF(D2190&gt;C2190,1,0))</f>
        <v/>
      </c>
      <c r="O2190" s="2" t="str">
        <f aca="false">IF(D2190="","",IF(D2190=C2190,1,0))</f>
        <v/>
      </c>
      <c r="P2190" s="2" t="str">
        <f aca="false">IF(D2190="","",IF(D2190&lt;C2190,1,0))</f>
        <v/>
      </c>
      <c r="Q2190" s="2" t="n">
        <f aca="false">IF(K2190=0,1,0)</f>
        <v>1</v>
      </c>
      <c r="R2190" s="2"/>
      <c r="S2190" s="2" t="n">
        <f aca="false">C2190</f>
        <v>0</v>
      </c>
      <c r="T2190" s="2" t="n">
        <f aca="false">D2190</f>
        <v>0</v>
      </c>
      <c r="U2190" s="3"/>
      <c r="V2190" s="3"/>
      <c r="W2190" s="3"/>
      <c r="X2190" s="3"/>
      <c r="Y2190" s="3"/>
      <c r="Z2190" s="3"/>
      <c r="AA2190" s="2"/>
      <c r="AB2190" s="2"/>
      <c r="AC2190" s="2"/>
      <c r="AD2190" s="2"/>
      <c r="AE2190" s="2"/>
      <c r="AF2190" s="2"/>
    </row>
    <row r="2191" customFormat="false" ht="15.75" hidden="false" customHeight="true" outlineLevel="0" collapsed="false">
      <c r="A2191" s="4"/>
      <c r="B2191" s="2"/>
      <c r="C2191" s="2"/>
      <c r="D2191" s="2"/>
      <c r="E2191" s="2" t="str">
        <f aca="false">IF(C2191="","",IF(C2191&gt;D2191,3,IF(C2191=D2191,1,0)))</f>
        <v/>
      </c>
      <c r="F2191" s="2" t="str">
        <f aca="false">IF(C2191="","",IF(C2191&gt;D2191,1,0))</f>
        <v/>
      </c>
      <c r="G2191" s="2" t="str">
        <f aca="false">IF(C2191="","",IF(C2191=D2191,1,0))</f>
        <v/>
      </c>
      <c r="H2191" s="2" t="str">
        <f aca="false">IF(C2191="","",IF(C2191&lt;D2191,1,0))</f>
        <v/>
      </c>
      <c r="I2191" s="2" t="n">
        <f aca="false">IF(D2191=0,1,0)</f>
        <v>1</v>
      </c>
      <c r="J2191" s="2"/>
      <c r="K2191" s="2" t="n">
        <f aca="false">C2191</f>
        <v>0</v>
      </c>
      <c r="L2191" s="2" t="n">
        <f aca="false">D2191</f>
        <v>0</v>
      </c>
      <c r="M2191" s="2" t="str">
        <f aca="false">IF(D2191="","",IF(D2191&gt;C2191,3,IF(D2191=C2191,1,0)))</f>
        <v/>
      </c>
      <c r="N2191" s="2" t="str">
        <f aca="false">IF(D2191="","",IF(D2191&gt;C2191,1,0))</f>
        <v/>
      </c>
      <c r="O2191" s="2" t="str">
        <f aca="false">IF(D2191="","",IF(D2191=C2191,1,0))</f>
        <v/>
      </c>
      <c r="P2191" s="2" t="str">
        <f aca="false">IF(D2191="","",IF(D2191&lt;C2191,1,0))</f>
        <v/>
      </c>
      <c r="Q2191" s="2" t="n">
        <f aca="false">IF(K2191=0,1,0)</f>
        <v>1</v>
      </c>
      <c r="R2191" s="2"/>
      <c r="S2191" s="2" t="n">
        <f aca="false">C2191</f>
        <v>0</v>
      </c>
      <c r="T2191" s="2" t="n">
        <f aca="false">D2191</f>
        <v>0</v>
      </c>
      <c r="U2191" s="3"/>
      <c r="V2191" s="3"/>
      <c r="W2191" s="3"/>
      <c r="X2191" s="3"/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/>
      <c r="B2192" s="2"/>
      <c r="C2192" s="2"/>
      <c r="D2192" s="2"/>
      <c r="E2192" s="2" t="str">
        <f aca="false">IF(C2192="","",IF(C2192&gt;D2192,3,IF(C2192=D2192,1,0)))</f>
        <v/>
      </c>
      <c r="F2192" s="2" t="str">
        <f aca="false">IF(C2192="","",IF(C2192&gt;D2192,1,0))</f>
        <v/>
      </c>
      <c r="G2192" s="2" t="str">
        <f aca="false">IF(C2192="","",IF(C2192=D2192,1,0))</f>
        <v/>
      </c>
      <c r="H2192" s="2" t="str">
        <f aca="false">IF(C2192="","",IF(C2192&lt;D2192,1,0))</f>
        <v/>
      </c>
      <c r="I2192" s="2" t="n">
        <f aca="false">IF(D2192=0,1,0)</f>
        <v>1</v>
      </c>
      <c r="J2192" s="2"/>
      <c r="K2192" s="2" t="n">
        <f aca="false">C2192</f>
        <v>0</v>
      </c>
      <c r="L2192" s="2" t="n">
        <f aca="false">D2192</f>
        <v>0</v>
      </c>
      <c r="M2192" s="2" t="str">
        <f aca="false">IF(D2192="","",IF(D2192&gt;C2192,3,IF(D2192=C2192,1,0)))</f>
        <v/>
      </c>
      <c r="N2192" s="2" t="str">
        <f aca="false">IF(D2192="","",IF(D2192&gt;C2192,1,0))</f>
        <v/>
      </c>
      <c r="O2192" s="2" t="str">
        <f aca="false">IF(D2192="","",IF(D2192=C2192,1,0))</f>
        <v/>
      </c>
      <c r="P2192" s="2" t="str">
        <f aca="false">IF(D2192="","",IF(D2192&lt;C2192,1,0))</f>
        <v/>
      </c>
      <c r="Q2192" s="2" t="n">
        <f aca="false">IF(K2192=0,1,0)</f>
        <v>1</v>
      </c>
      <c r="R2192" s="2"/>
      <c r="S2192" s="2" t="n">
        <f aca="false">C2192</f>
        <v>0</v>
      </c>
      <c r="T2192" s="2" t="n">
        <f aca="false">D2192</f>
        <v>0</v>
      </c>
      <c r="U2192" s="3"/>
      <c r="V2192" s="3"/>
      <c r="W2192" s="3"/>
      <c r="X2192" s="3"/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/>
      <c r="B2193" s="2"/>
      <c r="C2193" s="2"/>
      <c r="D2193" s="2"/>
      <c r="E2193" s="2" t="str">
        <f aca="false">IF(C2193="","",IF(C2193&gt;D2193,3,IF(C2193=D2193,1,0)))</f>
        <v/>
      </c>
      <c r="F2193" s="2" t="str">
        <f aca="false">IF(C2193="","",IF(C2193&gt;D2193,1,0))</f>
        <v/>
      </c>
      <c r="G2193" s="2" t="str">
        <f aca="false">IF(C2193="","",IF(C2193=D2193,1,0))</f>
        <v/>
      </c>
      <c r="H2193" s="2" t="str">
        <f aca="false">IF(C2193="","",IF(C2193&lt;D2193,1,0))</f>
        <v/>
      </c>
      <c r="I2193" s="2" t="n">
        <f aca="false">IF(D2193=0,1,0)</f>
        <v>1</v>
      </c>
      <c r="J2193" s="2"/>
      <c r="K2193" s="2" t="n">
        <f aca="false">C2193</f>
        <v>0</v>
      </c>
      <c r="L2193" s="2" t="n">
        <f aca="false">D2193</f>
        <v>0</v>
      </c>
      <c r="M2193" s="2" t="str">
        <f aca="false">IF(D2193="","",IF(D2193&gt;C2193,3,IF(D2193=C2193,1,0)))</f>
        <v/>
      </c>
      <c r="N2193" s="2" t="str">
        <f aca="false">IF(D2193="","",IF(D2193&gt;C2193,1,0))</f>
        <v/>
      </c>
      <c r="O2193" s="2" t="str">
        <f aca="false">IF(D2193="","",IF(D2193=C2193,1,0))</f>
        <v/>
      </c>
      <c r="P2193" s="2" t="str">
        <f aca="false">IF(D2193="","",IF(D2193&lt;C2193,1,0))</f>
        <v/>
      </c>
      <c r="Q2193" s="2" t="n">
        <f aca="false">IF(K2193=0,1,0)</f>
        <v>1</v>
      </c>
      <c r="R2193" s="2"/>
      <c r="S2193" s="2" t="n">
        <f aca="false">C2193</f>
        <v>0</v>
      </c>
      <c r="T2193" s="2" t="n">
        <f aca="false">D2193</f>
        <v>0</v>
      </c>
      <c r="U2193" s="3"/>
      <c r="V2193" s="3"/>
      <c r="W2193" s="3"/>
      <c r="X2193" s="3"/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/>
      <c r="B2194" s="2"/>
      <c r="C2194" s="2"/>
      <c r="D2194" s="2"/>
      <c r="E2194" s="2" t="str">
        <f aca="false">IF(C2194="","",IF(C2194&gt;D2194,3,IF(C2194=D2194,1,0)))</f>
        <v/>
      </c>
      <c r="F2194" s="2" t="str">
        <f aca="false">IF(C2194="","",IF(C2194&gt;D2194,1,0))</f>
        <v/>
      </c>
      <c r="G2194" s="2" t="str">
        <f aca="false">IF(C2194="","",IF(C2194=D2194,1,0))</f>
        <v/>
      </c>
      <c r="H2194" s="2" t="str">
        <f aca="false">IF(C2194="","",IF(C2194&lt;D2194,1,0))</f>
        <v/>
      </c>
      <c r="I2194" s="2" t="n">
        <f aca="false">IF(D2194=0,1,0)</f>
        <v>1</v>
      </c>
      <c r="J2194" s="2"/>
      <c r="K2194" s="2" t="n">
        <f aca="false">C2194</f>
        <v>0</v>
      </c>
      <c r="L2194" s="2" t="n">
        <f aca="false">D2194</f>
        <v>0</v>
      </c>
      <c r="M2194" s="2" t="str">
        <f aca="false">IF(D2194="","",IF(D2194&gt;C2194,3,IF(D2194=C2194,1,0)))</f>
        <v/>
      </c>
      <c r="N2194" s="2" t="str">
        <f aca="false">IF(D2194="","",IF(D2194&gt;C2194,1,0))</f>
        <v/>
      </c>
      <c r="O2194" s="2" t="str">
        <f aca="false">IF(D2194="","",IF(D2194=C2194,1,0))</f>
        <v/>
      </c>
      <c r="P2194" s="2" t="str">
        <f aca="false">IF(D2194="","",IF(D2194&lt;C2194,1,0))</f>
        <v/>
      </c>
      <c r="Q2194" s="2" t="n">
        <f aca="false">IF(K2194=0,1,0)</f>
        <v>1</v>
      </c>
      <c r="R2194" s="2"/>
      <c r="S2194" s="2" t="n">
        <f aca="false">C2194</f>
        <v>0</v>
      </c>
      <c r="T2194" s="2" t="n">
        <f aca="false">D2194</f>
        <v>0</v>
      </c>
      <c r="U2194" s="3"/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/>
      <c r="B2195" s="2"/>
      <c r="C2195" s="2"/>
      <c r="D2195" s="2"/>
      <c r="E2195" s="2" t="str">
        <f aca="false">IF(C2195="","",IF(C2195&gt;D2195,3,IF(C2195=D2195,1,0)))</f>
        <v/>
      </c>
      <c r="F2195" s="2" t="str">
        <f aca="false">IF(C2195="","",IF(C2195&gt;D2195,1,0))</f>
        <v/>
      </c>
      <c r="G2195" s="2" t="str">
        <f aca="false">IF(C2195="","",IF(C2195=D2195,1,0))</f>
        <v/>
      </c>
      <c r="H2195" s="2" t="str">
        <f aca="false">IF(C2195="","",IF(C2195&lt;D2195,1,0))</f>
        <v/>
      </c>
      <c r="I2195" s="2" t="n">
        <f aca="false">IF(D2195=0,1,0)</f>
        <v>1</v>
      </c>
      <c r="J2195" s="2"/>
      <c r="K2195" s="2" t="n">
        <f aca="false">C2195</f>
        <v>0</v>
      </c>
      <c r="L2195" s="2" t="n">
        <f aca="false">D2195</f>
        <v>0</v>
      </c>
      <c r="M2195" s="2" t="str">
        <f aca="false">IF(D2195="","",IF(D2195&gt;C2195,3,IF(D2195=C2195,1,0)))</f>
        <v/>
      </c>
      <c r="N2195" s="2" t="str">
        <f aca="false">IF(D2195="","",IF(D2195&gt;C2195,1,0))</f>
        <v/>
      </c>
      <c r="O2195" s="2" t="str">
        <f aca="false">IF(D2195="","",IF(D2195=C2195,1,0))</f>
        <v/>
      </c>
      <c r="P2195" s="2" t="str">
        <f aca="false">IF(D2195="","",IF(D2195&lt;C2195,1,0))</f>
        <v/>
      </c>
      <c r="Q2195" s="2" t="n">
        <f aca="false">IF(K2195=0,1,0)</f>
        <v>1</v>
      </c>
      <c r="R2195" s="2"/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/>
      <c r="B2196" s="2"/>
      <c r="C2196" s="2"/>
      <c r="D2196" s="2"/>
      <c r="E2196" s="2" t="str">
        <f aca="false">IF(C2196="","",IF(C2196&gt;D2196,3,IF(C2196=D2196,1,0)))</f>
        <v/>
      </c>
      <c r="F2196" s="2" t="str">
        <f aca="false">IF(C2196="","",IF(C2196&gt;D2196,1,0))</f>
        <v/>
      </c>
      <c r="G2196" s="2" t="str">
        <f aca="false">IF(C2196="","",IF(C2196=D2196,1,0))</f>
        <v/>
      </c>
      <c r="H2196" s="2" t="str">
        <f aca="false">IF(C2196="","",IF(C2196&lt;D2196,1,0))</f>
        <v/>
      </c>
      <c r="I2196" s="2" t="n">
        <f aca="false">IF(D2196=0,1,0)</f>
        <v>1</v>
      </c>
      <c r="J2196" s="2"/>
      <c r="K2196" s="2" t="n">
        <f aca="false">C2196</f>
        <v>0</v>
      </c>
      <c r="L2196" s="2" t="n">
        <f aca="false">D2196</f>
        <v>0</v>
      </c>
      <c r="M2196" s="2" t="str">
        <f aca="false">IF(D2196="","",IF(D2196&gt;C2196,3,IF(D2196=C2196,1,0)))</f>
        <v/>
      </c>
      <c r="N2196" s="2" t="str">
        <f aca="false">IF(D2196="","",IF(D2196&gt;C2196,1,0))</f>
        <v/>
      </c>
      <c r="O2196" s="2" t="str">
        <f aca="false">IF(D2196="","",IF(D2196=C2196,1,0))</f>
        <v/>
      </c>
      <c r="P2196" s="2" t="str">
        <f aca="false">IF(D2196="","",IF(D2196&lt;C2196,1,0))</f>
        <v/>
      </c>
      <c r="Q2196" s="2" t="n">
        <f aca="false">IF(K2196=0,1,0)</f>
        <v>1</v>
      </c>
      <c r="R2196" s="2"/>
      <c r="S2196" s="2" t="n">
        <f aca="false">C2196</f>
        <v>0</v>
      </c>
      <c r="T2196" s="2" t="n">
        <f aca="false">D2196</f>
        <v>0</v>
      </c>
      <c r="U2196" s="3"/>
      <c r="V2196" s="3"/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/>
      <c r="B2197" s="2"/>
      <c r="C2197" s="2"/>
      <c r="D2197" s="2"/>
      <c r="E2197" s="2" t="str">
        <f aca="false">IF(C2197="","",IF(C2197&gt;D2197,3,IF(C2197=D2197,1,0)))</f>
        <v/>
      </c>
      <c r="F2197" s="2" t="str">
        <f aca="false">IF(C2197="","",IF(C2197&gt;D2197,1,0))</f>
        <v/>
      </c>
      <c r="G2197" s="2" t="str">
        <f aca="false">IF(C2197="","",IF(C2197=D2197,1,0))</f>
        <v/>
      </c>
      <c r="H2197" s="2" t="str">
        <f aca="false">IF(C2197="","",IF(C2197&lt;D2197,1,0))</f>
        <v/>
      </c>
      <c r="I2197" s="2" t="n">
        <f aca="false">IF(D2197=0,1,0)</f>
        <v>1</v>
      </c>
      <c r="J2197" s="2"/>
      <c r="K2197" s="2" t="n">
        <f aca="false">C2197</f>
        <v>0</v>
      </c>
      <c r="L2197" s="2" t="n">
        <f aca="false">D2197</f>
        <v>0</v>
      </c>
      <c r="M2197" s="2" t="str">
        <f aca="false">IF(D2197="","",IF(D2197&gt;C2197,3,IF(D2197=C2197,1,0)))</f>
        <v/>
      </c>
      <c r="N2197" s="2" t="str">
        <f aca="false">IF(D2197="","",IF(D2197&gt;C2197,1,0))</f>
        <v/>
      </c>
      <c r="O2197" s="2" t="str">
        <f aca="false">IF(D2197="","",IF(D2197=C2197,1,0))</f>
        <v/>
      </c>
      <c r="P2197" s="2" t="str">
        <f aca="false">IF(D2197="","",IF(D2197&lt;C2197,1,0))</f>
        <v/>
      </c>
      <c r="Q2197" s="2" t="n">
        <f aca="false">IF(K2197=0,1,0)</f>
        <v>1</v>
      </c>
      <c r="R2197" s="2"/>
      <c r="S2197" s="2" t="n">
        <f aca="false">C2197</f>
        <v>0</v>
      </c>
      <c r="T2197" s="2" t="n">
        <f aca="false">D2197</f>
        <v>0</v>
      </c>
      <c r="U2197" s="3"/>
      <c r="V2197" s="3"/>
      <c r="W2197" s="3"/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/>
      <c r="B2198" s="2"/>
      <c r="C2198" s="2"/>
      <c r="D2198" s="2"/>
      <c r="E2198" s="2" t="str">
        <f aca="false">IF(C2198="","",IF(C2198&gt;D2198,3,IF(C2198=D2198,1,0)))</f>
        <v/>
      </c>
      <c r="F2198" s="2" t="str">
        <f aca="false">IF(C2198="","",IF(C2198&gt;D2198,1,0))</f>
        <v/>
      </c>
      <c r="G2198" s="2" t="str">
        <f aca="false">IF(C2198="","",IF(C2198=D2198,1,0))</f>
        <v/>
      </c>
      <c r="H2198" s="2" t="str">
        <f aca="false">IF(C2198="","",IF(C2198&lt;D2198,1,0))</f>
        <v/>
      </c>
      <c r="I2198" s="2" t="n">
        <f aca="false">IF(D2198=0,1,0)</f>
        <v>1</v>
      </c>
      <c r="J2198" s="2"/>
      <c r="K2198" s="2" t="n">
        <f aca="false">C2198</f>
        <v>0</v>
      </c>
      <c r="L2198" s="2" t="n">
        <f aca="false">D2198</f>
        <v>0</v>
      </c>
      <c r="M2198" s="2" t="str">
        <f aca="false">IF(D2198="","",IF(D2198&gt;C2198,3,IF(D2198=C2198,1,0)))</f>
        <v/>
      </c>
      <c r="N2198" s="2" t="str">
        <f aca="false">IF(D2198="","",IF(D2198&gt;C2198,1,0))</f>
        <v/>
      </c>
      <c r="O2198" s="2" t="str">
        <f aca="false">IF(D2198="","",IF(D2198=C2198,1,0))</f>
        <v/>
      </c>
      <c r="P2198" s="2" t="str">
        <f aca="false">IF(D2198="","",IF(D2198&lt;C2198,1,0))</f>
        <v/>
      </c>
      <c r="Q2198" s="2" t="n">
        <f aca="false">IF(K2198=0,1,0)</f>
        <v>1</v>
      </c>
      <c r="R2198" s="2"/>
      <c r="S2198" s="2" t="n">
        <f aca="false">C2198</f>
        <v>0</v>
      </c>
      <c r="T2198" s="2" t="n">
        <f aca="false">D2198</f>
        <v>0</v>
      </c>
      <c r="U2198" s="3"/>
      <c r="V2198" s="3"/>
      <c r="W2198" s="3"/>
      <c r="X2198" s="3"/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/>
      <c r="B2199" s="2"/>
      <c r="C2199" s="2"/>
      <c r="D2199" s="2"/>
      <c r="E2199" s="2" t="str">
        <f aca="false">IF(C2199="","",IF(C2199&gt;D2199,3,IF(C2199=D2199,1,0)))</f>
        <v/>
      </c>
      <c r="F2199" s="2" t="str">
        <f aca="false">IF(C2199="","",IF(C2199&gt;D2199,1,0))</f>
        <v/>
      </c>
      <c r="G2199" s="2" t="str">
        <f aca="false">IF(C2199="","",IF(C2199=D2199,1,0))</f>
        <v/>
      </c>
      <c r="H2199" s="2" t="str">
        <f aca="false">IF(C2199="","",IF(C2199&lt;D2199,1,0))</f>
        <v/>
      </c>
      <c r="I2199" s="2" t="n">
        <f aca="false">IF(D2199=0,1,0)</f>
        <v>1</v>
      </c>
      <c r="J2199" s="2"/>
      <c r="K2199" s="2" t="n">
        <f aca="false">C2199</f>
        <v>0</v>
      </c>
      <c r="L2199" s="2" t="n">
        <f aca="false">D2199</f>
        <v>0</v>
      </c>
      <c r="M2199" s="2" t="str">
        <f aca="false">IF(D2199="","",IF(D2199&gt;C2199,3,IF(D2199=C2199,1,0)))</f>
        <v/>
      </c>
      <c r="N2199" s="2" t="str">
        <f aca="false">IF(D2199="","",IF(D2199&gt;C2199,1,0))</f>
        <v/>
      </c>
      <c r="O2199" s="2" t="str">
        <f aca="false">IF(D2199="","",IF(D2199=C2199,1,0))</f>
        <v/>
      </c>
      <c r="P2199" s="2" t="str">
        <f aca="false">IF(D2199="","",IF(D2199&lt;C2199,1,0))</f>
        <v/>
      </c>
      <c r="Q2199" s="2" t="n">
        <f aca="false">IF(K2199=0,1,0)</f>
        <v>1</v>
      </c>
      <c r="R2199" s="2"/>
      <c r="S2199" s="2" t="n">
        <f aca="false">C2199</f>
        <v>0</v>
      </c>
      <c r="T2199" s="2" t="n">
        <f aca="false">D2199</f>
        <v>0</v>
      </c>
      <c r="U2199" s="3"/>
      <c r="V2199" s="3"/>
      <c r="W2199" s="3"/>
      <c r="X2199" s="3"/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/>
      <c r="B2200" s="2"/>
      <c r="C2200" s="2"/>
      <c r="D2200" s="2"/>
      <c r="E2200" s="2" t="str">
        <f aca="false">IF(C2200="","",IF(C2200&gt;D2200,3,IF(C2200=D2200,1,0)))</f>
        <v/>
      </c>
      <c r="F2200" s="2" t="str">
        <f aca="false">IF(C2200="","",IF(C2200&gt;D2200,1,0))</f>
        <v/>
      </c>
      <c r="G2200" s="2" t="str">
        <f aca="false">IF(C2200="","",IF(C2200=D2200,1,0))</f>
        <v/>
      </c>
      <c r="H2200" s="2" t="str">
        <f aca="false">IF(C2200="","",IF(C2200&lt;D2200,1,0))</f>
        <v/>
      </c>
      <c r="I2200" s="2" t="n">
        <f aca="false">IF(D2200=0,1,0)</f>
        <v>1</v>
      </c>
      <c r="J2200" s="2"/>
      <c r="K2200" s="2" t="n">
        <f aca="false">C2200</f>
        <v>0</v>
      </c>
      <c r="L2200" s="2" t="n">
        <f aca="false">D2200</f>
        <v>0</v>
      </c>
      <c r="M2200" s="2" t="str">
        <f aca="false">IF(D2200="","",IF(D2200&gt;C2200,3,IF(D2200=C2200,1,0)))</f>
        <v/>
      </c>
      <c r="N2200" s="2" t="str">
        <f aca="false">IF(D2200="","",IF(D2200&gt;C2200,1,0))</f>
        <v/>
      </c>
      <c r="O2200" s="2" t="str">
        <f aca="false">IF(D2200="","",IF(D2200=C2200,1,0))</f>
        <v/>
      </c>
      <c r="P2200" s="2" t="str">
        <f aca="false">IF(D2200="","",IF(D2200&lt;C2200,1,0))</f>
        <v/>
      </c>
      <c r="Q2200" s="2" t="n">
        <f aca="false">IF(K2200=0,1,0)</f>
        <v>1</v>
      </c>
      <c r="R2200" s="2"/>
      <c r="S2200" s="2" t="n">
        <f aca="false">C2200</f>
        <v>0</v>
      </c>
      <c r="T2200" s="2" t="n">
        <f aca="false">D2200</f>
        <v>0</v>
      </c>
      <c r="U2200" s="3"/>
      <c r="V2200" s="3"/>
      <c r="W2200" s="3"/>
      <c r="X2200" s="3"/>
      <c r="Y2200" s="3"/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/>
      <c r="B2201" s="2"/>
      <c r="C2201" s="2"/>
      <c r="D2201" s="2"/>
      <c r="E2201" s="2" t="str">
        <f aca="false">IF(C2201="","",IF(C2201&gt;D2201,3,IF(C2201=D2201,1,0)))</f>
        <v/>
      </c>
      <c r="F2201" s="2" t="str">
        <f aca="false">IF(C2201="","",IF(C2201&gt;D2201,1,0))</f>
        <v/>
      </c>
      <c r="G2201" s="2" t="str">
        <f aca="false">IF(C2201="","",IF(C2201=D2201,1,0))</f>
        <v/>
      </c>
      <c r="H2201" s="2" t="str">
        <f aca="false">IF(C2201="","",IF(C2201&lt;D2201,1,0))</f>
        <v/>
      </c>
      <c r="I2201" s="2" t="n">
        <f aca="false">IF(D2201=0,1,0)</f>
        <v>1</v>
      </c>
      <c r="J2201" s="2"/>
      <c r="K2201" s="2" t="n">
        <f aca="false">C2201</f>
        <v>0</v>
      </c>
      <c r="L2201" s="2" t="n">
        <f aca="false">D2201</f>
        <v>0</v>
      </c>
      <c r="M2201" s="2" t="str">
        <f aca="false">IF(D2201="","",IF(D2201&gt;C2201,3,IF(D2201=C2201,1,0)))</f>
        <v/>
      </c>
      <c r="N2201" s="2" t="str">
        <f aca="false">IF(D2201="","",IF(D2201&gt;C2201,1,0))</f>
        <v/>
      </c>
      <c r="O2201" s="2" t="str">
        <f aca="false">IF(D2201="","",IF(D2201=C2201,1,0))</f>
        <v/>
      </c>
      <c r="P2201" s="2" t="str">
        <f aca="false">IF(D2201="","",IF(D2201&lt;C2201,1,0))</f>
        <v/>
      </c>
      <c r="Q2201" s="2" t="n">
        <f aca="false">IF(K2201=0,1,0)</f>
        <v>1</v>
      </c>
      <c r="R2201" s="2"/>
      <c r="S2201" s="2" t="n">
        <f aca="false">C2201</f>
        <v>0</v>
      </c>
      <c r="T2201" s="2" t="n">
        <f aca="false">D2201</f>
        <v>0</v>
      </c>
      <c r="U2201" s="3"/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/>
      <c r="B2202" s="2"/>
      <c r="C2202" s="2"/>
      <c r="D2202" s="2"/>
      <c r="E2202" s="2" t="str">
        <f aca="false">IF(C2202="","",IF(C2202&gt;D2202,3,IF(C2202=D2202,1,0)))</f>
        <v/>
      </c>
      <c r="F2202" s="2" t="str">
        <f aca="false">IF(C2202="","",IF(C2202&gt;D2202,1,0))</f>
        <v/>
      </c>
      <c r="G2202" s="2" t="str">
        <f aca="false">IF(C2202="","",IF(C2202=D2202,1,0))</f>
        <v/>
      </c>
      <c r="H2202" s="2" t="str">
        <f aca="false">IF(C2202="","",IF(C2202&lt;D2202,1,0))</f>
        <v/>
      </c>
      <c r="I2202" s="2" t="n">
        <f aca="false">IF(D2202=0,1,0)</f>
        <v>1</v>
      </c>
      <c r="J2202" s="2"/>
      <c r="K2202" s="2" t="n">
        <f aca="false">C2202</f>
        <v>0</v>
      </c>
      <c r="L2202" s="2" t="n">
        <f aca="false">D2202</f>
        <v>0</v>
      </c>
      <c r="M2202" s="2" t="str">
        <f aca="false">IF(D2202="","",IF(D2202&gt;C2202,3,IF(D2202=C2202,1,0)))</f>
        <v/>
      </c>
      <c r="N2202" s="2" t="str">
        <f aca="false">IF(D2202="","",IF(D2202&gt;C2202,1,0))</f>
        <v/>
      </c>
      <c r="O2202" s="2" t="str">
        <f aca="false">IF(D2202="","",IF(D2202=C2202,1,0))</f>
        <v/>
      </c>
      <c r="P2202" s="2" t="str">
        <f aca="false">IF(D2202="","",IF(D2202&lt;C2202,1,0))</f>
        <v/>
      </c>
      <c r="Q2202" s="2" t="n">
        <f aca="false">IF(K2202=0,1,0)</f>
        <v>1</v>
      </c>
      <c r="R2202" s="2"/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/>
      <c r="B2203" s="2"/>
      <c r="C2203" s="2"/>
      <c r="D2203" s="2"/>
      <c r="E2203" s="2" t="str">
        <f aca="false">IF(C2203="","",IF(C2203&gt;D2203,3,IF(C2203=D2203,1,0)))</f>
        <v/>
      </c>
      <c r="F2203" s="2" t="str">
        <f aca="false">IF(C2203="","",IF(C2203&gt;D2203,1,0))</f>
        <v/>
      </c>
      <c r="G2203" s="2" t="str">
        <f aca="false">IF(C2203="","",IF(C2203=D2203,1,0))</f>
        <v/>
      </c>
      <c r="H2203" s="2" t="str">
        <f aca="false">IF(C2203="","",IF(C2203&lt;D2203,1,0))</f>
        <v/>
      </c>
      <c r="I2203" s="2" t="n">
        <f aca="false">IF(D2203=0,1,0)</f>
        <v>1</v>
      </c>
      <c r="J2203" s="2"/>
      <c r="K2203" s="2" t="n">
        <f aca="false">C2203</f>
        <v>0</v>
      </c>
      <c r="L2203" s="2" t="n">
        <f aca="false">D2203</f>
        <v>0</v>
      </c>
      <c r="M2203" s="2" t="str">
        <f aca="false">IF(D2203="","",IF(D2203&gt;C2203,3,IF(D2203=C2203,1,0)))</f>
        <v/>
      </c>
      <c r="N2203" s="2" t="str">
        <f aca="false">IF(D2203="","",IF(D2203&gt;C2203,1,0))</f>
        <v/>
      </c>
      <c r="O2203" s="2" t="str">
        <f aca="false">IF(D2203="","",IF(D2203=C2203,1,0))</f>
        <v/>
      </c>
      <c r="P2203" s="2" t="str">
        <f aca="false">IF(D2203="","",IF(D2203&lt;C2203,1,0))</f>
        <v/>
      </c>
      <c r="Q2203" s="2" t="n">
        <f aca="false">IF(K2203=0,1,0)</f>
        <v>1</v>
      </c>
      <c r="R2203" s="2"/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/>
      <c r="B2204" s="2"/>
      <c r="C2204" s="2"/>
      <c r="D2204" s="2"/>
      <c r="E2204" s="2" t="str">
        <f aca="false">IF(C2204="","",IF(C2204&gt;D2204,3,IF(C2204=D2204,1,0)))</f>
        <v/>
      </c>
      <c r="F2204" s="2" t="str">
        <f aca="false">IF(C2204="","",IF(C2204&gt;D2204,1,0))</f>
        <v/>
      </c>
      <c r="G2204" s="2" t="str">
        <f aca="false">IF(C2204="","",IF(C2204=D2204,1,0))</f>
        <v/>
      </c>
      <c r="H2204" s="2" t="str">
        <f aca="false">IF(C2204="","",IF(C2204&lt;D2204,1,0))</f>
        <v/>
      </c>
      <c r="I2204" s="2" t="n">
        <f aca="false">IF(D2204=0,1,0)</f>
        <v>1</v>
      </c>
      <c r="J2204" s="2"/>
      <c r="K2204" s="2" t="n">
        <f aca="false">C2204</f>
        <v>0</v>
      </c>
      <c r="L2204" s="2" t="n">
        <f aca="false">D2204</f>
        <v>0</v>
      </c>
      <c r="M2204" s="2" t="str">
        <f aca="false">IF(D2204="","",IF(D2204&gt;C2204,3,IF(D2204=C2204,1,0)))</f>
        <v/>
      </c>
      <c r="N2204" s="2" t="str">
        <f aca="false">IF(D2204="","",IF(D2204&gt;C2204,1,0))</f>
        <v/>
      </c>
      <c r="O2204" s="2" t="str">
        <f aca="false">IF(D2204="","",IF(D2204=C2204,1,0))</f>
        <v/>
      </c>
      <c r="P2204" s="2" t="str">
        <f aca="false">IF(D2204="","",IF(D2204&lt;C2204,1,0))</f>
        <v/>
      </c>
      <c r="Q2204" s="2" t="n">
        <f aca="false">IF(K2204=0,1,0)</f>
        <v>1</v>
      </c>
      <c r="R2204" s="2"/>
      <c r="S2204" s="2" t="n">
        <f aca="false">C2204</f>
        <v>0</v>
      </c>
      <c r="T2204" s="2" t="n">
        <f aca="false">D2204</f>
        <v>0</v>
      </c>
      <c r="U2204" s="3"/>
      <c r="V2204" s="3"/>
      <c r="W2204" s="3"/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/>
      <c r="B2205" s="2"/>
      <c r="C2205" s="2"/>
      <c r="D2205" s="2"/>
      <c r="E2205" s="2" t="str">
        <f aca="false">IF(C2205="","",IF(C2205&gt;D2205,3,IF(C2205=D2205,1,0)))</f>
        <v/>
      </c>
      <c r="F2205" s="2" t="str">
        <f aca="false">IF(C2205="","",IF(C2205&gt;D2205,1,0))</f>
        <v/>
      </c>
      <c r="G2205" s="2" t="str">
        <f aca="false">IF(C2205="","",IF(C2205=D2205,1,0))</f>
        <v/>
      </c>
      <c r="H2205" s="2" t="str">
        <f aca="false">IF(C2205="","",IF(C2205&lt;D2205,1,0))</f>
        <v/>
      </c>
      <c r="I2205" s="2" t="n">
        <f aca="false">IF(D2205=0,1,0)</f>
        <v>1</v>
      </c>
      <c r="J2205" s="7"/>
      <c r="K2205" s="2" t="n">
        <f aca="false">C2205</f>
        <v>0</v>
      </c>
      <c r="L2205" s="2" t="n">
        <f aca="false">D2205</f>
        <v>0</v>
      </c>
      <c r="M2205" s="2" t="str">
        <f aca="false">IF(D2205="","",IF(D2205&gt;C2205,3,IF(D2205=C2205,1,0)))</f>
        <v/>
      </c>
      <c r="N2205" s="2" t="str">
        <f aca="false">IF(D2205="","",IF(D2205&gt;C2205,1,0))</f>
        <v/>
      </c>
      <c r="O2205" s="2" t="str">
        <f aca="false">IF(D2205="","",IF(D2205=C2205,1,0))</f>
        <v/>
      </c>
      <c r="P2205" s="2" t="str">
        <f aca="false">IF(D2205="","",IF(D2205&lt;C2205,1,0))</f>
        <v/>
      </c>
      <c r="Q2205" s="2" t="n">
        <f aca="false">IF(K2205=0,1,0)</f>
        <v>1</v>
      </c>
      <c r="R2205" s="2"/>
      <c r="S2205" s="2" t="n">
        <f aca="false">C2205</f>
        <v>0</v>
      </c>
      <c r="T2205" s="2" t="n">
        <f aca="false">D2205</f>
        <v>0</v>
      </c>
      <c r="U2205" s="3"/>
      <c r="V2205" s="3"/>
      <c r="W2205" s="3"/>
      <c r="X2205" s="3"/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/>
      <c r="B2206" s="2"/>
      <c r="C2206" s="2"/>
      <c r="D2206" s="2"/>
      <c r="E2206" s="2" t="str">
        <f aca="false">IF(C2206="","",IF(C2206&gt;D2206,3,IF(C2206=D2206,1,0)))</f>
        <v/>
      </c>
      <c r="F2206" s="2" t="str">
        <f aca="false">IF(C2206="","",IF(C2206&gt;D2206,1,0))</f>
        <v/>
      </c>
      <c r="G2206" s="2" t="str">
        <f aca="false">IF(C2206="","",IF(C2206=D2206,1,0))</f>
        <v/>
      </c>
      <c r="H2206" s="2" t="str">
        <f aca="false">IF(C2206="","",IF(C2206&lt;D2206,1,0))</f>
        <v/>
      </c>
      <c r="I2206" s="2" t="n">
        <f aca="false">IF(D2206=0,1,0)</f>
        <v>1</v>
      </c>
      <c r="J2206" s="2"/>
      <c r="K2206" s="2" t="n">
        <f aca="false">C2206</f>
        <v>0</v>
      </c>
      <c r="L2206" s="2" t="n">
        <f aca="false">D2206</f>
        <v>0</v>
      </c>
      <c r="M2206" s="2" t="str">
        <f aca="false">IF(D2206="","",IF(D2206&gt;C2206,3,IF(D2206=C2206,1,0)))</f>
        <v/>
      </c>
      <c r="N2206" s="2" t="str">
        <f aca="false">IF(D2206="","",IF(D2206&gt;C2206,1,0))</f>
        <v/>
      </c>
      <c r="O2206" s="2" t="str">
        <f aca="false">IF(D2206="","",IF(D2206=C2206,1,0))</f>
        <v/>
      </c>
      <c r="P2206" s="2" t="str">
        <f aca="false">IF(D2206="","",IF(D2206&lt;C2206,1,0))</f>
        <v/>
      </c>
      <c r="Q2206" s="2" t="n">
        <f aca="false">IF(K2206=0,1,0)</f>
        <v>1</v>
      </c>
      <c r="R2206" s="2"/>
      <c r="S2206" s="2" t="n">
        <f aca="false">C2206</f>
        <v>0</v>
      </c>
      <c r="T2206" s="2" t="n">
        <f aca="false">D2206</f>
        <v>0</v>
      </c>
      <c r="U2206" s="3"/>
      <c r="V2206" s="3"/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/>
      <c r="B2207" s="2"/>
      <c r="C2207" s="2"/>
      <c r="D2207" s="2"/>
      <c r="E2207" s="2" t="str">
        <f aca="false">IF(C2207="","",IF(C2207&gt;D2207,3,IF(C2207=D2207,1,0)))</f>
        <v/>
      </c>
      <c r="F2207" s="2" t="str">
        <f aca="false">IF(C2207="","",IF(C2207&gt;D2207,1,0))</f>
        <v/>
      </c>
      <c r="G2207" s="2" t="str">
        <f aca="false">IF(C2207="","",IF(C2207=D2207,1,0))</f>
        <v/>
      </c>
      <c r="H2207" s="2" t="str">
        <f aca="false">IF(C2207="","",IF(C2207&lt;D2207,1,0))</f>
        <v/>
      </c>
      <c r="I2207" s="2" t="n">
        <f aca="false">IF(D2207=0,1,0)</f>
        <v>1</v>
      </c>
      <c r="J2207" s="2"/>
      <c r="K2207" s="2" t="n">
        <f aca="false">C2207</f>
        <v>0</v>
      </c>
      <c r="L2207" s="2" t="n">
        <f aca="false">D2207</f>
        <v>0</v>
      </c>
      <c r="M2207" s="2" t="str">
        <f aca="false">IF(D2207="","",IF(D2207&gt;C2207,3,IF(D2207=C2207,1,0)))</f>
        <v/>
      </c>
      <c r="N2207" s="2" t="str">
        <f aca="false">IF(D2207="","",IF(D2207&gt;C2207,1,0))</f>
        <v/>
      </c>
      <c r="O2207" s="2" t="str">
        <f aca="false">IF(D2207="","",IF(D2207=C2207,1,0))</f>
        <v/>
      </c>
      <c r="P2207" s="2" t="str">
        <f aca="false">IF(D2207="","",IF(D2207&lt;C2207,1,0))</f>
        <v/>
      </c>
      <c r="Q2207" s="2" t="n">
        <f aca="false">IF(K2207=0,1,0)</f>
        <v>1</v>
      </c>
      <c r="R2207" s="2"/>
      <c r="S2207" s="2" t="n">
        <f aca="false">C2207</f>
        <v>0</v>
      </c>
      <c r="T2207" s="2" t="n">
        <f aca="false">D2207</f>
        <v>0</v>
      </c>
      <c r="U2207" s="3"/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/>
      <c r="B2208" s="2"/>
      <c r="C2208" s="2"/>
      <c r="D2208" s="2"/>
      <c r="E2208" s="2" t="str">
        <f aca="false">IF(C2208="","",IF(C2208&gt;D2208,3,IF(C2208=D2208,1,0)))</f>
        <v/>
      </c>
      <c r="F2208" s="2" t="str">
        <f aca="false">IF(C2208="","",IF(C2208&gt;D2208,1,0))</f>
        <v/>
      </c>
      <c r="G2208" s="2" t="str">
        <f aca="false">IF(C2208="","",IF(C2208=D2208,1,0))</f>
        <v/>
      </c>
      <c r="H2208" s="2" t="str">
        <f aca="false">IF(C2208="","",IF(C2208&lt;D2208,1,0))</f>
        <v/>
      </c>
      <c r="I2208" s="2" t="n">
        <f aca="false">IF(D2208=0,1,0)</f>
        <v>1</v>
      </c>
      <c r="J2208" s="2"/>
      <c r="K2208" s="2" t="n">
        <f aca="false">C2208</f>
        <v>0</v>
      </c>
      <c r="L2208" s="2" t="n">
        <f aca="false">D2208</f>
        <v>0</v>
      </c>
      <c r="M2208" s="2" t="str">
        <f aca="false">IF(D2208="","",IF(D2208&gt;C2208,3,IF(D2208=C2208,1,0)))</f>
        <v/>
      </c>
      <c r="N2208" s="2" t="str">
        <f aca="false">IF(D2208="","",IF(D2208&gt;C2208,1,0))</f>
        <v/>
      </c>
      <c r="O2208" s="2" t="str">
        <f aca="false">IF(D2208="","",IF(D2208=C2208,1,0))</f>
        <v/>
      </c>
      <c r="P2208" s="2" t="str">
        <f aca="false">IF(D2208="","",IF(D2208&lt;C2208,1,0))</f>
        <v/>
      </c>
      <c r="Q2208" s="2" t="n">
        <f aca="false">IF(K2208=0,1,0)</f>
        <v>1</v>
      </c>
      <c r="R2208" s="2"/>
      <c r="S2208" s="2" t="n">
        <f aca="false">C2208</f>
        <v>0</v>
      </c>
      <c r="T2208" s="2" t="n">
        <f aca="false">D2208</f>
        <v>0</v>
      </c>
      <c r="U2208" s="3"/>
      <c r="V2208" s="3"/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/>
      <c r="B2209" s="2"/>
      <c r="C2209" s="2"/>
      <c r="D2209" s="2"/>
      <c r="E2209" s="2" t="str">
        <f aca="false">IF(C2209="","",IF(C2209&gt;D2209,3,IF(C2209=D2209,1,0)))</f>
        <v/>
      </c>
      <c r="F2209" s="2" t="str">
        <f aca="false">IF(C2209="","",IF(C2209&gt;D2209,1,0))</f>
        <v/>
      </c>
      <c r="G2209" s="2" t="str">
        <f aca="false">IF(C2209="","",IF(C2209=D2209,1,0))</f>
        <v/>
      </c>
      <c r="H2209" s="2" t="str">
        <f aca="false">IF(C2209="","",IF(C2209&lt;D2209,1,0))</f>
        <v/>
      </c>
      <c r="I2209" s="2" t="n">
        <f aca="false">IF(D2209=0,1,0)</f>
        <v>1</v>
      </c>
      <c r="J2209" s="2"/>
      <c r="K2209" s="2" t="n">
        <f aca="false">C2209</f>
        <v>0</v>
      </c>
      <c r="L2209" s="2" t="n">
        <f aca="false">D2209</f>
        <v>0</v>
      </c>
      <c r="M2209" s="2" t="str">
        <f aca="false">IF(D2209="","",IF(D2209&gt;C2209,3,IF(D2209=C2209,1,0)))</f>
        <v/>
      </c>
      <c r="N2209" s="2" t="str">
        <f aca="false">IF(D2209="","",IF(D2209&gt;C2209,1,0))</f>
        <v/>
      </c>
      <c r="O2209" s="2" t="str">
        <f aca="false">IF(D2209="","",IF(D2209=C2209,1,0))</f>
        <v/>
      </c>
      <c r="P2209" s="2" t="str">
        <f aca="false">IF(D2209="","",IF(D2209&lt;C2209,1,0))</f>
        <v/>
      </c>
      <c r="Q2209" s="2" t="n">
        <f aca="false">IF(K2209=0,1,0)</f>
        <v>1</v>
      </c>
      <c r="R2209" s="2"/>
      <c r="S2209" s="2" t="n">
        <f aca="false">C2209</f>
        <v>0</v>
      </c>
      <c r="T2209" s="2" t="n">
        <f aca="false">D2209</f>
        <v>0</v>
      </c>
      <c r="U2209" s="3"/>
      <c r="V2209" s="3"/>
      <c r="W2209" s="3"/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/>
      <c r="B2210" s="2"/>
      <c r="C2210" s="2"/>
      <c r="D2210" s="2"/>
      <c r="E2210" s="2" t="str">
        <f aca="false">IF(C2210="","",IF(C2210&gt;D2210,3,IF(C2210=D2210,1,0)))</f>
        <v/>
      </c>
      <c r="F2210" s="2" t="str">
        <f aca="false">IF(C2210="","",IF(C2210&gt;D2210,1,0))</f>
        <v/>
      </c>
      <c r="G2210" s="2" t="str">
        <f aca="false">IF(C2210="","",IF(C2210=D2210,1,0))</f>
        <v/>
      </c>
      <c r="H2210" s="2" t="str">
        <f aca="false">IF(C2210="","",IF(C2210&lt;D2210,1,0))</f>
        <v/>
      </c>
      <c r="I2210" s="2" t="n">
        <f aca="false">IF(D2210=0,1,0)</f>
        <v>1</v>
      </c>
      <c r="J2210" s="2"/>
      <c r="K2210" s="2" t="n">
        <f aca="false">C2210</f>
        <v>0</v>
      </c>
      <c r="L2210" s="2" t="n">
        <f aca="false">D2210</f>
        <v>0</v>
      </c>
      <c r="M2210" s="2" t="str">
        <f aca="false">IF(D2210="","",IF(D2210&gt;C2210,3,IF(D2210=C2210,1,0)))</f>
        <v/>
      </c>
      <c r="N2210" s="2" t="str">
        <f aca="false">IF(D2210="","",IF(D2210&gt;C2210,1,0))</f>
        <v/>
      </c>
      <c r="O2210" s="2" t="str">
        <f aca="false">IF(D2210="","",IF(D2210=C2210,1,0))</f>
        <v/>
      </c>
      <c r="P2210" s="2" t="str">
        <f aca="false">IF(D2210="","",IF(D2210&lt;C2210,1,0))</f>
        <v/>
      </c>
      <c r="Q2210" s="2" t="n">
        <f aca="false">IF(K2210=0,1,0)</f>
        <v>1</v>
      </c>
      <c r="R2210" s="2"/>
      <c r="S2210" s="2" t="n">
        <f aca="false">C2210</f>
        <v>0</v>
      </c>
      <c r="T2210" s="2" t="n">
        <f aca="false">D2210</f>
        <v>0</v>
      </c>
      <c r="U2210" s="3"/>
      <c r="V2210" s="3"/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/>
      <c r="B2211" s="2"/>
      <c r="C2211" s="2"/>
      <c r="D2211" s="2"/>
      <c r="E2211" s="2" t="str">
        <f aca="false">IF(C2211="","",IF(C2211&gt;D2211,3,IF(C2211=D2211,1,0)))</f>
        <v/>
      </c>
      <c r="F2211" s="2" t="str">
        <f aca="false">IF(C2211="","",IF(C2211&gt;D2211,1,0))</f>
        <v/>
      </c>
      <c r="G2211" s="2" t="str">
        <f aca="false">IF(C2211="","",IF(C2211=D2211,1,0))</f>
        <v/>
      </c>
      <c r="H2211" s="2" t="str">
        <f aca="false">IF(C2211="","",IF(C2211&lt;D2211,1,0))</f>
        <v/>
      </c>
      <c r="I2211" s="2" t="n">
        <f aca="false">IF(D2211=0,1,0)</f>
        <v>1</v>
      </c>
      <c r="J2211" s="2"/>
      <c r="K2211" s="2" t="n">
        <f aca="false">C2211</f>
        <v>0</v>
      </c>
      <c r="L2211" s="2" t="n">
        <f aca="false">D2211</f>
        <v>0</v>
      </c>
      <c r="M2211" s="2" t="str">
        <f aca="false">IF(D2211="","",IF(D2211&gt;C2211,3,IF(D2211=C2211,1,0)))</f>
        <v/>
      </c>
      <c r="N2211" s="2" t="str">
        <f aca="false">IF(D2211="","",IF(D2211&gt;C2211,1,0))</f>
        <v/>
      </c>
      <c r="O2211" s="2" t="str">
        <f aca="false">IF(D2211="","",IF(D2211=C2211,1,0))</f>
        <v/>
      </c>
      <c r="P2211" s="2" t="str">
        <f aca="false">IF(D2211="","",IF(D2211&lt;C2211,1,0))</f>
        <v/>
      </c>
      <c r="Q2211" s="2" t="n">
        <f aca="false">IF(K2211=0,1,0)</f>
        <v>1</v>
      </c>
      <c r="R2211" s="2"/>
      <c r="S2211" s="2" t="n">
        <f aca="false">C2211</f>
        <v>0</v>
      </c>
      <c r="T2211" s="2" t="n">
        <f aca="false">D2211</f>
        <v>0</v>
      </c>
      <c r="U2211" s="3"/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/>
      <c r="B2212" s="2"/>
      <c r="C2212" s="2"/>
      <c r="D2212" s="2"/>
      <c r="E2212" s="2" t="str">
        <f aca="false">IF(C2212="","",IF(C2212&gt;D2212,3,IF(C2212=D2212,1,0)))</f>
        <v/>
      </c>
      <c r="F2212" s="2" t="str">
        <f aca="false">IF(C2212="","",IF(C2212&gt;D2212,1,0))</f>
        <v/>
      </c>
      <c r="G2212" s="2" t="str">
        <f aca="false">IF(C2212="","",IF(C2212=D2212,1,0))</f>
        <v/>
      </c>
      <c r="H2212" s="2" t="str">
        <f aca="false">IF(C2212="","",IF(C2212&lt;D2212,1,0))</f>
        <v/>
      </c>
      <c r="I2212" s="2" t="n">
        <f aca="false">IF(D2212=0,1,0)</f>
        <v>1</v>
      </c>
      <c r="J2212" s="2"/>
      <c r="K2212" s="2" t="n">
        <f aca="false">C2212</f>
        <v>0</v>
      </c>
      <c r="L2212" s="2" t="n">
        <f aca="false">D2212</f>
        <v>0</v>
      </c>
      <c r="M2212" s="2" t="str">
        <f aca="false">IF(D2212="","",IF(D2212&gt;C2212,3,IF(D2212=C2212,1,0)))</f>
        <v/>
      </c>
      <c r="N2212" s="2" t="str">
        <f aca="false">IF(D2212="","",IF(D2212&gt;C2212,1,0))</f>
        <v/>
      </c>
      <c r="O2212" s="2" t="str">
        <f aca="false">IF(D2212="","",IF(D2212=C2212,1,0))</f>
        <v/>
      </c>
      <c r="P2212" s="2" t="str">
        <f aca="false">IF(D2212="","",IF(D2212&lt;C2212,1,0))</f>
        <v/>
      </c>
      <c r="Q2212" s="2" t="n">
        <f aca="false">IF(K2212=0,1,0)</f>
        <v>1</v>
      </c>
      <c r="R2212" s="2"/>
      <c r="S2212" s="2" t="n">
        <f aca="false">C2212</f>
        <v>0</v>
      </c>
      <c r="T2212" s="2" t="n">
        <f aca="false">D2212</f>
        <v>0</v>
      </c>
      <c r="U2212" s="3"/>
      <c r="V2212" s="3"/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/>
      <c r="B2213" s="2"/>
      <c r="C2213" s="2"/>
      <c r="D2213" s="2"/>
      <c r="E2213" s="2" t="str">
        <f aca="false">IF(C2213="","",IF(C2213&gt;D2213,3,IF(C2213=D2213,1,0)))</f>
        <v/>
      </c>
      <c r="F2213" s="2" t="str">
        <f aca="false">IF(C2213="","",IF(C2213&gt;D2213,1,0))</f>
        <v/>
      </c>
      <c r="G2213" s="2" t="str">
        <f aca="false">IF(C2213="","",IF(C2213=D2213,1,0))</f>
        <v/>
      </c>
      <c r="H2213" s="2" t="str">
        <f aca="false">IF(C2213="","",IF(C2213&lt;D2213,1,0))</f>
        <v/>
      </c>
      <c r="I2213" s="2" t="n">
        <f aca="false">IF(D2213=0,1,0)</f>
        <v>1</v>
      </c>
      <c r="J2213" s="2"/>
      <c r="K2213" s="2" t="n">
        <f aca="false">C2213</f>
        <v>0</v>
      </c>
      <c r="L2213" s="2" t="n">
        <f aca="false">D2213</f>
        <v>0</v>
      </c>
      <c r="M2213" s="2" t="str">
        <f aca="false">IF(D2213="","",IF(D2213&gt;C2213,3,IF(D2213=C2213,1,0)))</f>
        <v/>
      </c>
      <c r="N2213" s="2" t="str">
        <f aca="false">IF(D2213="","",IF(D2213&gt;C2213,1,0))</f>
        <v/>
      </c>
      <c r="O2213" s="2" t="str">
        <f aca="false">IF(D2213="","",IF(D2213=C2213,1,0))</f>
        <v/>
      </c>
      <c r="P2213" s="2" t="str">
        <f aca="false">IF(D2213="","",IF(D2213&lt;C2213,1,0))</f>
        <v/>
      </c>
      <c r="Q2213" s="2" t="n">
        <f aca="false">IF(K2213=0,1,0)</f>
        <v>1</v>
      </c>
      <c r="R2213" s="2"/>
      <c r="S2213" s="2" t="n">
        <f aca="false">C2213</f>
        <v>0</v>
      </c>
      <c r="T2213" s="2" t="n">
        <f aca="false">D2213</f>
        <v>0</v>
      </c>
      <c r="U2213" s="3"/>
      <c r="V2213" s="3"/>
      <c r="W2213" s="3"/>
      <c r="X2213" s="3"/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/>
      <c r="B2214" s="2"/>
      <c r="C2214" s="2"/>
      <c r="D2214" s="2"/>
      <c r="E2214" s="2" t="str">
        <f aca="false">IF(C2214="","",IF(C2214&gt;D2214,3,IF(C2214=D2214,1,0)))</f>
        <v/>
      </c>
      <c r="F2214" s="2" t="str">
        <f aca="false">IF(C2214="","",IF(C2214&gt;D2214,1,0))</f>
        <v/>
      </c>
      <c r="G2214" s="2" t="str">
        <f aca="false">IF(C2214="","",IF(C2214=D2214,1,0))</f>
        <v/>
      </c>
      <c r="H2214" s="2" t="str">
        <f aca="false">IF(C2214="","",IF(C2214&lt;D2214,1,0))</f>
        <v/>
      </c>
      <c r="I2214" s="2" t="n">
        <f aca="false">IF(D2214=0,1,0)</f>
        <v>1</v>
      </c>
      <c r="J2214" s="2"/>
      <c r="K2214" s="2" t="n">
        <f aca="false">C2214</f>
        <v>0</v>
      </c>
      <c r="L2214" s="2" t="n">
        <f aca="false">D2214</f>
        <v>0</v>
      </c>
      <c r="M2214" s="2" t="str">
        <f aca="false">IF(D2214="","",IF(D2214&gt;C2214,3,IF(D2214=C2214,1,0)))</f>
        <v/>
      </c>
      <c r="N2214" s="2" t="str">
        <f aca="false">IF(D2214="","",IF(D2214&gt;C2214,1,0))</f>
        <v/>
      </c>
      <c r="O2214" s="2" t="str">
        <f aca="false">IF(D2214="","",IF(D2214=C2214,1,0))</f>
        <v/>
      </c>
      <c r="P2214" s="2" t="str">
        <f aca="false">IF(D2214="","",IF(D2214&lt;C2214,1,0))</f>
        <v/>
      </c>
      <c r="Q2214" s="2" t="n">
        <f aca="false">IF(K2214=0,1,0)</f>
        <v>1</v>
      </c>
      <c r="R2214" s="2"/>
      <c r="S2214" s="2" t="n">
        <f aca="false">C2214</f>
        <v>0</v>
      </c>
      <c r="T2214" s="2" t="n">
        <f aca="false">D2214</f>
        <v>0</v>
      </c>
      <c r="U2214" s="3"/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/>
      <c r="B2215" s="2"/>
      <c r="C2215" s="2"/>
      <c r="D2215" s="2"/>
      <c r="E2215" s="2" t="str">
        <f aca="false">IF(C2215="","",IF(C2215&gt;D2215,3,IF(C2215=D2215,1,0)))</f>
        <v/>
      </c>
      <c r="F2215" s="2" t="str">
        <f aca="false">IF(C2215="","",IF(C2215&gt;D2215,1,0))</f>
        <v/>
      </c>
      <c r="G2215" s="2" t="str">
        <f aca="false">IF(C2215="","",IF(C2215=D2215,1,0))</f>
        <v/>
      </c>
      <c r="H2215" s="2" t="str">
        <f aca="false">IF(C2215="","",IF(C2215&lt;D2215,1,0))</f>
        <v/>
      </c>
      <c r="I2215" s="2" t="n">
        <f aca="false">IF(D2215=0,1,0)</f>
        <v>1</v>
      </c>
      <c r="J2215" s="2"/>
      <c r="K2215" s="2" t="n">
        <f aca="false">C2215</f>
        <v>0</v>
      </c>
      <c r="L2215" s="2" t="n">
        <f aca="false">D2215</f>
        <v>0</v>
      </c>
      <c r="M2215" s="2" t="str">
        <f aca="false">IF(D2215="","",IF(D2215&gt;C2215,3,IF(D2215=C2215,1,0)))</f>
        <v/>
      </c>
      <c r="N2215" s="2" t="str">
        <f aca="false">IF(D2215="","",IF(D2215&gt;C2215,1,0))</f>
        <v/>
      </c>
      <c r="O2215" s="2" t="str">
        <f aca="false">IF(D2215="","",IF(D2215=C2215,1,0))</f>
        <v/>
      </c>
      <c r="P2215" s="2" t="str">
        <f aca="false">IF(D2215="","",IF(D2215&lt;C2215,1,0))</f>
        <v/>
      </c>
      <c r="Q2215" s="2" t="n">
        <f aca="false">IF(K2215=0,1,0)</f>
        <v>1</v>
      </c>
      <c r="R2215" s="2"/>
      <c r="S2215" s="2" t="n">
        <f aca="false">C2215</f>
        <v>0</v>
      </c>
      <c r="T2215" s="2" t="n">
        <f aca="false">D2215</f>
        <v>0</v>
      </c>
      <c r="U2215" s="3"/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/>
      <c r="B2216" s="2"/>
      <c r="C2216" s="2"/>
      <c r="D2216" s="2"/>
      <c r="E2216" s="2" t="str">
        <f aca="false">IF(C2216="","",IF(C2216&gt;D2216,3,IF(C2216=D2216,1,0)))</f>
        <v/>
      </c>
      <c r="F2216" s="2" t="str">
        <f aca="false">IF(C2216="","",IF(C2216&gt;D2216,1,0))</f>
        <v/>
      </c>
      <c r="G2216" s="2" t="str">
        <f aca="false">IF(C2216="","",IF(C2216=D2216,1,0))</f>
        <v/>
      </c>
      <c r="H2216" s="2" t="str">
        <f aca="false">IF(C2216="","",IF(C2216&lt;D2216,1,0))</f>
        <v/>
      </c>
      <c r="I2216" s="2" t="n">
        <f aca="false">IF(D2216=0,1,0)</f>
        <v>1</v>
      </c>
      <c r="J2216" s="2"/>
      <c r="K2216" s="2" t="n">
        <f aca="false">C2216</f>
        <v>0</v>
      </c>
      <c r="L2216" s="2" t="n">
        <f aca="false">D2216</f>
        <v>0</v>
      </c>
      <c r="M2216" s="2" t="str">
        <f aca="false">IF(D2216="","",IF(D2216&gt;C2216,3,IF(D2216=C2216,1,0)))</f>
        <v/>
      </c>
      <c r="N2216" s="2" t="str">
        <f aca="false">IF(D2216="","",IF(D2216&gt;C2216,1,0))</f>
        <v/>
      </c>
      <c r="O2216" s="2" t="str">
        <f aca="false">IF(D2216="","",IF(D2216=C2216,1,0))</f>
        <v/>
      </c>
      <c r="P2216" s="2" t="str">
        <f aca="false">IF(D2216="","",IF(D2216&lt;C2216,1,0))</f>
        <v/>
      </c>
      <c r="Q2216" s="2" t="n">
        <f aca="false">IF(K2216=0,1,0)</f>
        <v>1</v>
      </c>
      <c r="R2216" s="2"/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/>
      <c r="B2217" s="2"/>
      <c r="C2217" s="2"/>
      <c r="D2217" s="2"/>
      <c r="E2217" s="2" t="str">
        <f aca="false">IF(C2217="","",IF(C2217&gt;D2217,3,IF(C2217=D2217,1,0)))</f>
        <v/>
      </c>
      <c r="F2217" s="2" t="str">
        <f aca="false">IF(C2217="","",IF(C2217&gt;D2217,1,0))</f>
        <v/>
      </c>
      <c r="G2217" s="2" t="str">
        <f aca="false">IF(C2217="","",IF(C2217=D2217,1,0))</f>
        <v/>
      </c>
      <c r="H2217" s="2" t="str">
        <f aca="false">IF(C2217="","",IF(C2217&lt;D2217,1,0))</f>
        <v/>
      </c>
      <c r="I2217" s="2" t="n">
        <f aca="false">IF(D2217=0,1,0)</f>
        <v>1</v>
      </c>
      <c r="J2217" s="2"/>
      <c r="K2217" s="2" t="n">
        <f aca="false">C2217</f>
        <v>0</v>
      </c>
      <c r="L2217" s="2" t="n">
        <f aca="false">D2217</f>
        <v>0</v>
      </c>
      <c r="M2217" s="2" t="str">
        <f aca="false">IF(D2217="","",IF(D2217&gt;C2217,3,IF(D2217=C2217,1,0)))</f>
        <v/>
      </c>
      <c r="N2217" s="2" t="str">
        <f aca="false">IF(D2217="","",IF(D2217&gt;C2217,1,0))</f>
        <v/>
      </c>
      <c r="O2217" s="2" t="str">
        <f aca="false">IF(D2217="","",IF(D2217=C2217,1,0))</f>
        <v/>
      </c>
      <c r="P2217" s="2" t="str">
        <f aca="false">IF(D2217="","",IF(D2217&lt;C2217,1,0))</f>
        <v/>
      </c>
      <c r="Q2217" s="2" t="n">
        <f aca="false">IF(K2217=0,1,0)</f>
        <v>1</v>
      </c>
      <c r="R2217" s="2"/>
      <c r="S2217" s="2" t="n">
        <f aca="false">C2217</f>
        <v>0</v>
      </c>
      <c r="T2217" s="2" t="n">
        <f aca="false">D2217</f>
        <v>0</v>
      </c>
      <c r="U2217" s="3"/>
      <c r="V2217" s="3"/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/>
      <c r="B2218" s="2"/>
      <c r="C2218" s="2"/>
      <c r="D2218" s="2"/>
      <c r="E2218" s="2" t="str">
        <f aca="false">IF(C2218="","",IF(C2218&gt;D2218,3,IF(C2218=D2218,1,0)))</f>
        <v/>
      </c>
      <c r="F2218" s="2" t="str">
        <f aca="false">IF(C2218="","",IF(C2218&gt;D2218,1,0))</f>
        <v/>
      </c>
      <c r="G2218" s="2" t="str">
        <f aca="false">IF(C2218="","",IF(C2218=D2218,1,0))</f>
        <v/>
      </c>
      <c r="H2218" s="2" t="str">
        <f aca="false">IF(C2218="","",IF(C2218&lt;D2218,1,0))</f>
        <v/>
      </c>
      <c r="I2218" s="2" t="n">
        <f aca="false">IF(D2218=0,1,0)</f>
        <v>1</v>
      </c>
      <c r="J2218" s="2"/>
      <c r="K2218" s="2" t="n">
        <f aca="false">C2218</f>
        <v>0</v>
      </c>
      <c r="L2218" s="2" t="n">
        <f aca="false">D2218</f>
        <v>0</v>
      </c>
      <c r="M2218" s="2" t="str">
        <f aca="false">IF(D2218="","",IF(D2218&gt;C2218,3,IF(D2218=C2218,1,0)))</f>
        <v/>
      </c>
      <c r="N2218" s="2" t="str">
        <f aca="false">IF(D2218="","",IF(D2218&gt;C2218,1,0))</f>
        <v/>
      </c>
      <c r="O2218" s="2" t="str">
        <f aca="false">IF(D2218="","",IF(D2218=C2218,1,0))</f>
        <v/>
      </c>
      <c r="P2218" s="2" t="str">
        <f aca="false">IF(D2218="","",IF(D2218&lt;C2218,1,0))</f>
        <v/>
      </c>
      <c r="Q2218" s="2" t="n">
        <f aca="false">IF(K2218=0,1,0)</f>
        <v>1</v>
      </c>
      <c r="R2218" s="2"/>
      <c r="S2218" s="2" t="n">
        <f aca="false">C2218</f>
        <v>0</v>
      </c>
      <c r="T2218" s="2" t="n">
        <f aca="false">D2218</f>
        <v>0</v>
      </c>
      <c r="U2218" s="3"/>
      <c r="V2218" s="3"/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/>
      <c r="B2219" s="2"/>
      <c r="C2219" s="2"/>
      <c r="D2219" s="2"/>
      <c r="E2219" s="2" t="str">
        <f aca="false">IF(C2219="","",IF(C2219&gt;D2219,3,IF(C2219=D2219,1,0)))</f>
        <v/>
      </c>
      <c r="F2219" s="2" t="str">
        <f aca="false">IF(C2219="","",IF(C2219&gt;D2219,1,0))</f>
        <v/>
      </c>
      <c r="G2219" s="2" t="str">
        <f aca="false">IF(C2219="","",IF(C2219=D2219,1,0))</f>
        <v/>
      </c>
      <c r="H2219" s="2" t="str">
        <f aca="false">IF(C2219="","",IF(C2219&lt;D2219,1,0))</f>
        <v/>
      </c>
      <c r="I2219" s="2" t="n">
        <f aca="false">IF(D2219=0,1,0)</f>
        <v>1</v>
      </c>
      <c r="J2219" s="2"/>
      <c r="K2219" s="2" t="n">
        <f aca="false">C2219</f>
        <v>0</v>
      </c>
      <c r="L2219" s="2" t="n">
        <f aca="false">D2219</f>
        <v>0</v>
      </c>
      <c r="M2219" s="2" t="str">
        <f aca="false">IF(D2219="","",IF(D2219&gt;C2219,3,IF(D2219=C2219,1,0)))</f>
        <v/>
      </c>
      <c r="N2219" s="2" t="str">
        <f aca="false">IF(D2219="","",IF(D2219&gt;C2219,1,0))</f>
        <v/>
      </c>
      <c r="O2219" s="2" t="str">
        <f aca="false">IF(D2219="","",IF(D2219=C2219,1,0))</f>
        <v/>
      </c>
      <c r="P2219" s="2" t="str">
        <f aca="false">IF(D2219="","",IF(D2219&lt;C2219,1,0))</f>
        <v/>
      </c>
      <c r="Q2219" s="2" t="n">
        <f aca="false">IF(K2219=0,1,0)</f>
        <v>1</v>
      </c>
      <c r="R2219" s="2"/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/>
      <c r="B2220" s="2"/>
      <c r="C2220" s="2"/>
      <c r="D2220" s="2"/>
      <c r="E2220" s="2" t="str">
        <f aca="false">IF(C2220="","",IF(C2220&gt;D2220,3,IF(C2220=D2220,1,0)))</f>
        <v/>
      </c>
      <c r="F2220" s="2" t="str">
        <f aca="false">IF(C2220="","",IF(C2220&gt;D2220,1,0))</f>
        <v/>
      </c>
      <c r="G2220" s="2" t="str">
        <f aca="false">IF(C2220="","",IF(C2220=D2220,1,0))</f>
        <v/>
      </c>
      <c r="H2220" s="2" t="str">
        <f aca="false">IF(C2220="","",IF(C2220&lt;D2220,1,0))</f>
        <v/>
      </c>
      <c r="I2220" s="2" t="n">
        <f aca="false">IF(D2220=0,1,0)</f>
        <v>1</v>
      </c>
      <c r="J2220" s="2"/>
      <c r="K2220" s="2" t="n">
        <f aca="false">C2220</f>
        <v>0</v>
      </c>
      <c r="L2220" s="2" t="n">
        <f aca="false">D2220</f>
        <v>0</v>
      </c>
      <c r="M2220" s="2" t="str">
        <f aca="false">IF(D2220="","",IF(D2220&gt;C2220,3,IF(D2220=C2220,1,0)))</f>
        <v/>
      </c>
      <c r="N2220" s="2" t="str">
        <f aca="false">IF(D2220="","",IF(D2220&gt;C2220,1,0))</f>
        <v/>
      </c>
      <c r="O2220" s="2" t="str">
        <f aca="false">IF(D2220="","",IF(D2220=C2220,1,0))</f>
        <v/>
      </c>
      <c r="P2220" s="2" t="str">
        <f aca="false">IF(D2220="","",IF(D2220&lt;C2220,1,0))</f>
        <v/>
      </c>
      <c r="Q2220" s="2" t="n">
        <f aca="false">IF(K2220=0,1,0)</f>
        <v>1</v>
      </c>
      <c r="R2220" s="2"/>
      <c r="S2220" s="2" t="n">
        <f aca="false">C2220</f>
        <v>0</v>
      </c>
      <c r="T2220" s="2" t="n">
        <f aca="false">D2220</f>
        <v>0</v>
      </c>
      <c r="U2220" s="3"/>
      <c r="V2220" s="3"/>
      <c r="W2220" s="3"/>
      <c r="X2220" s="3"/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/>
      <c r="B2221" s="2"/>
      <c r="C2221" s="2"/>
      <c r="D2221" s="2"/>
      <c r="E2221" s="2" t="str">
        <f aca="false">IF(C2221="","",IF(C2221&gt;D2221,3,IF(C2221=D2221,1,0)))</f>
        <v/>
      </c>
      <c r="F2221" s="2" t="str">
        <f aca="false">IF(C2221="","",IF(C2221&gt;D2221,1,0))</f>
        <v/>
      </c>
      <c r="G2221" s="2" t="str">
        <f aca="false">IF(C2221="","",IF(C2221=D2221,1,0))</f>
        <v/>
      </c>
      <c r="H2221" s="2" t="str">
        <f aca="false">IF(C2221="","",IF(C2221&lt;D2221,1,0))</f>
        <v/>
      </c>
      <c r="I2221" s="2" t="n">
        <f aca="false">IF(D2221=0,1,0)</f>
        <v>1</v>
      </c>
      <c r="J2221" s="2"/>
      <c r="K2221" s="2" t="n">
        <f aca="false">C2221</f>
        <v>0</v>
      </c>
      <c r="L2221" s="2" t="n">
        <f aca="false">D2221</f>
        <v>0</v>
      </c>
      <c r="M2221" s="2" t="str">
        <f aca="false">IF(D2221="","",IF(D2221&gt;C2221,3,IF(D2221=C2221,1,0)))</f>
        <v/>
      </c>
      <c r="N2221" s="2" t="str">
        <f aca="false">IF(D2221="","",IF(D2221&gt;C2221,1,0))</f>
        <v/>
      </c>
      <c r="O2221" s="2" t="str">
        <f aca="false">IF(D2221="","",IF(D2221=C2221,1,0))</f>
        <v/>
      </c>
      <c r="P2221" s="2" t="str">
        <f aca="false">IF(D2221="","",IF(D2221&lt;C2221,1,0))</f>
        <v/>
      </c>
      <c r="Q2221" s="2" t="n">
        <f aca="false">IF(K2221=0,1,0)</f>
        <v>1</v>
      </c>
      <c r="R2221" s="2"/>
      <c r="S2221" s="2" t="n">
        <f aca="false">C2221</f>
        <v>0</v>
      </c>
      <c r="T2221" s="2" t="n">
        <f aca="false">D2221</f>
        <v>0</v>
      </c>
      <c r="U2221" s="3"/>
      <c r="V2221" s="3"/>
      <c r="W2221" s="3"/>
      <c r="X2221" s="3"/>
      <c r="Y2221" s="3"/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/>
      <c r="B2222" s="2"/>
      <c r="C2222" s="2"/>
      <c r="D2222" s="2"/>
      <c r="E2222" s="2" t="str">
        <f aca="false">IF(C2222="","",IF(C2222&gt;D2222,3,IF(C2222=D2222,1,0)))</f>
        <v/>
      </c>
      <c r="F2222" s="2" t="str">
        <f aca="false">IF(C2222="","",IF(C2222&gt;D2222,1,0))</f>
        <v/>
      </c>
      <c r="G2222" s="2" t="str">
        <f aca="false">IF(C2222="","",IF(C2222=D2222,1,0))</f>
        <v/>
      </c>
      <c r="H2222" s="2" t="str">
        <f aca="false">IF(C2222="","",IF(C2222&lt;D2222,1,0))</f>
        <v/>
      </c>
      <c r="I2222" s="2" t="n">
        <f aca="false">IF(D2222=0,1,0)</f>
        <v>1</v>
      </c>
      <c r="J2222" s="2"/>
      <c r="K2222" s="2" t="n">
        <f aca="false">C2222</f>
        <v>0</v>
      </c>
      <c r="L2222" s="2" t="n">
        <f aca="false">D2222</f>
        <v>0</v>
      </c>
      <c r="M2222" s="2" t="str">
        <f aca="false">IF(D2222="","",IF(D2222&gt;C2222,3,IF(D2222=C2222,1,0)))</f>
        <v/>
      </c>
      <c r="N2222" s="2" t="str">
        <f aca="false">IF(D2222="","",IF(D2222&gt;C2222,1,0))</f>
        <v/>
      </c>
      <c r="O2222" s="2" t="str">
        <f aca="false">IF(D2222="","",IF(D2222=C2222,1,0))</f>
        <v/>
      </c>
      <c r="P2222" s="2" t="str">
        <f aca="false">IF(D2222="","",IF(D2222&lt;C2222,1,0))</f>
        <v/>
      </c>
      <c r="Q2222" s="2" t="n">
        <f aca="false">IF(K2222=0,1,0)</f>
        <v>1</v>
      </c>
      <c r="R2222" s="2"/>
      <c r="S2222" s="2" t="n">
        <f aca="false">C2222</f>
        <v>0</v>
      </c>
      <c r="T2222" s="2" t="n">
        <f aca="false">D2222</f>
        <v>0</v>
      </c>
      <c r="U2222" s="3"/>
      <c r="V2222" s="3"/>
      <c r="W2222" s="3"/>
      <c r="X2222" s="3"/>
      <c r="Y2222" s="3"/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/>
      <c r="B2223" s="2"/>
      <c r="C2223" s="2"/>
      <c r="D2223" s="2"/>
      <c r="E2223" s="2" t="str">
        <f aca="false">IF(C2223="","",IF(C2223&gt;D2223,3,IF(C2223=D2223,1,0)))</f>
        <v/>
      </c>
      <c r="F2223" s="2" t="str">
        <f aca="false">IF(C2223="","",IF(C2223&gt;D2223,1,0))</f>
        <v/>
      </c>
      <c r="G2223" s="2" t="str">
        <f aca="false">IF(C2223="","",IF(C2223=D2223,1,0))</f>
        <v/>
      </c>
      <c r="H2223" s="2" t="str">
        <f aca="false">IF(C2223="","",IF(C2223&lt;D2223,1,0))</f>
        <v/>
      </c>
      <c r="I2223" s="2" t="n">
        <f aca="false">IF(D2223=0,1,0)</f>
        <v>1</v>
      </c>
      <c r="J2223" s="2"/>
      <c r="K2223" s="2" t="n">
        <f aca="false">C2223</f>
        <v>0</v>
      </c>
      <c r="L2223" s="2" t="n">
        <f aca="false">D2223</f>
        <v>0</v>
      </c>
      <c r="M2223" s="2" t="str">
        <f aca="false">IF(D2223="","",IF(D2223&gt;C2223,3,IF(D2223=C2223,1,0)))</f>
        <v/>
      </c>
      <c r="N2223" s="2" t="str">
        <f aca="false">IF(D2223="","",IF(D2223&gt;C2223,1,0))</f>
        <v/>
      </c>
      <c r="O2223" s="2" t="str">
        <f aca="false">IF(D2223="","",IF(D2223=C2223,1,0))</f>
        <v/>
      </c>
      <c r="P2223" s="2" t="str">
        <f aca="false">IF(D2223="","",IF(D2223&lt;C2223,1,0))</f>
        <v/>
      </c>
      <c r="Q2223" s="2" t="n">
        <f aca="false">IF(K2223=0,1,0)</f>
        <v>1</v>
      </c>
      <c r="R2223" s="2"/>
      <c r="S2223" s="2" t="n">
        <f aca="false">C2223</f>
        <v>0</v>
      </c>
      <c r="T2223" s="2" t="n">
        <f aca="false">D2223</f>
        <v>0</v>
      </c>
      <c r="U2223" s="3"/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/>
      <c r="B2224" s="2"/>
      <c r="C2224" s="2"/>
      <c r="D2224" s="2"/>
      <c r="E2224" s="2" t="str">
        <f aca="false">IF(C2224="","",IF(C2224&gt;D2224,3,IF(C2224=D2224,1,0)))</f>
        <v/>
      </c>
      <c r="F2224" s="2" t="str">
        <f aca="false">IF(C2224="","",IF(C2224&gt;D2224,1,0))</f>
        <v/>
      </c>
      <c r="G2224" s="2" t="str">
        <f aca="false">IF(C2224="","",IF(C2224=D2224,1,0))</f>
        <v/>
      </c>
      <c r="H2224" s="2" t="str">
        <f aca="false">IF(C2224="","",IF(C2224&lt;D2224,1,0))</f>
        <v/>
      </c>
      <c r="I2224" s="2" t="n">
        <f aca="false">IF(D2224=0,1,0)</f>
        <v>1</v>
      </c>
      <c r="J2224" s="2"/>
      <c r="K2224" s="2" t="n">
        <f aca="false">C2224</f>
        <v>0</v>
      </c>
      <c r="L2224" s="2" t="n">
        <f aca="false">D2224</f>
        <v>0</v>
      </c>
      <c r="M2224" s="2" t="str">
        <f aca="false">IF(D2224="","",IF(D2224&gt;C2224,3,IF(D2224=C2224,1,0)))</f>
        <v/>
      </c>
      <c r="N2224" s="2" t="str">
        <f aca="false">IF(D2224="","",IF(D2224&gt;C2224,1,0))</f>
        <v/>
      </c>
      <c r="O2224" s="2" t="str">
        <f aca="false">IF(D2224="","",IF(D2224=C2224,1,0))</f>
        <v/>
      </c>
      <c r="P2224" s="2" t="str">
        <f aca="false">IF(D2224="","",IF(D2224&lt;C2224,1,0))</f>
        <v/>
      </c>
      <c r="Q2224" s="2" t="n">
        <f aca="false">IF(K2224=0,1,0)</f>
        <v>1</v>
      </c>
      <c r="R2224" s="2"/>
      <c r="S2224" s="2" t="n">
        <f aca="false">C2224</f>
        <v>0</v>
      </c>
      <c r="T2224" s="2" t="n">
        <f aca="false">D2224</f>
        <v>0</v>
      </c>
      <c r="U2224" s="3"/>
      <c r="V2224" s="3"/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/>
      <c r="B2225" s="2"/>
      <c r="C2225" s="2"/>
      <c r="D2225" s="2"/>
      <c r="E2225" s="2" t="str">
        <f aca="false">IF(C2225="","",IF(C2225&gt;D2225,3,IF(C2225=D2225,1,0)))</f>
        <v/>
      </c>
      <c r="F2225" s="2" t="str">
        <f aca="false">IF(C2225="","",IF(C2225&gt;D2225,1,0))</f>
        <v/>
      </c>
      <c r="G2225" s="2" t="str">
        <f aca="false">IF(C2225="","",IF(C2225=D2225,1,0))</f>
        <v/>
      </c>
      <c r="H2225" s="2" t="str">
        <f aca="false">IF(C2225="","",IF(C2225&lt;D2225,1,0))</f>
        <v/>
      </c>
      <c r="I2225" s="2" t="n">
        <f aca="false">IF(D2225=0,1,0)</f>
        <v>1</v>
      </c>
      <c r="J2225" s="2"/>
      <c r="K2225" s="2" t="n">
        <f aca="false">C2225</f>
        <v>0</v>
      </c>
      <c r="L2225" s="2" t="n">
        <f aca="false">D2225</f>
        <v>0</v>
      </c>
      <c r="M2225" s="2" t="str">
        <f aca="false">IF(D2225="","",IF(D2225&gt;C2225,3,IF(D2225=C2225,1,0)))</f>
        <v/>
      </c>
      <c r="N2225" s="2" t="str">
        <f aca="false">IF(D2225="","",IF(D2225&gt;C2225,1,0))</f>
        <v/>
      </c>
      <c r="O2225" s="2" t="str">
        <f aca="false">IF(D2225="","",IF(D2225=C2225,1,0))</f>
        <v/>
      </c>
      <c r="P2225" s="2" t="str">
        <f aca="false">IF(D2225="","",IF(D2225&lt;C2225,1,0))</f>
        <v/>
      </c>
      <c r="Q2225" s="2" t="n">
        <f aca="false">IF(K2225=0,1,0)</f>
        <v>1</v>
      </c>
      <c r="R2225" s="2"/>
      <c r="S2225" s="2" t="n">
        <f aca="false">C2225</f>
        <v>0</v>
      </c>
      <c r="T2225" s="2" t="n">
        <f aca="false">D2225</f>
        <v>0</v>
      </c>
      <c r="U2225" s="3"/>
      <c r="V2225" s="3"/>
      <c r="W2225" s="3"/>
      <c r="X2225" s="3"/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/>
      <c r="B2226" s="2"/>
      <c r="C2226" s="2"/>
      <c r="D2226" s="2"/>
      <c r="E2226" s="2" t="str">
        <f aca="false">IF(C2226="","",IF(C2226&gt;D2226,3,IF(C2226=D2226,1,0)))</f>
        <v/>
      </c>
      <c r="F2226" s="2" t="str">
        <f aca="false">IF(C2226="","",IF(C2226&gt;D2226,1,0))</f>
        <v/>
      </c>
      <c r="G2226" s="2" t="str">
        <f aca="false">IF(C2226="","",IF(C2226=D2226,1,0))</f>
        <v/>
      </c>
      <c r="H2226" s="2" t="str">
        <f aca="false">IF(C2226="","",IF(C2226&lt;D2226,1,0))</f>
        <v/>
      </c>
      <c r="I2226" s="2" t="n">
        <f aca="false">IF(D2226=0,1,0)</f>
        <v>1</v>
      </c>
      <c r="J2226" s="2"/>
      <c r="K2226" s="2" t="n">
        <f aca="false">C2226</f>
        <v>0</v>
      </c>
      <c r="L2226" s="2" t="n">
        <f aca="false">D2226</f>
        <v>0</v>
      </c>
      <c r="M2226" s="2" t="str">
        <f aca="false">IF(D2226="","",IF(D2226&gt;C2226,3,IF(D2226=C2226,1,0)))</f>
        <v/>
      </c>
      <c r="N2226" s="2" t="str">
        <f aca="false">IF(D2226="","",IF(D2226&gt;C2226,1,0))</f>
        <v/>
      </c>
      <c r="O2226" s="2" t="str">
        <f aca="false">IF(D2226="","",IF(D2226=C2226,1,0))</f>
        <v/>
      </c>
      <c r="P2226" s="2" t="str">
        <f aca="false">IF(D2226="","",IF(D2226&lt;C2226,1,0))</f>
        <v/>
      </c>
      <c r="Q2226" s="2" t="n">
        <f aca="false">IF(K2226=0,1,0)</f>
        <v>1</v>
      </c>
      <c r="R2226" s="2"/>
      <c r="S2226" s="2" t="n">
        <f aca="false">C2226</f>
        <v>0</v>
      </c>
      <c r="T2226" s="2" t="n">
        <f aca="false">D2226</f>
        <v>0</v>
      </c>
      <c r="U2226" s="3"/>
      <c r="V2226" s="3"/>
      <c r="W2226" s="3"/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/>
      <c r="B2227" s="2"/>
      <c r="C2227" s="2"/>
      <c r="D2227" s="2"/>
      <c r="E2227" s="2" t="str">
        <f aca="false">IF(C2227="","",IF(C2227&gt;D2227,3,IF(C2227=D2227,1,0)))</f>
        <v/>
      </c>
      <c r="F2227" s="2" t="str">
        <f aca="false">IF(C2227="","",IF(C2227&gt;D2227,1,0))</f>
        <v/>
      </c>
      <c r="G2227" s="2" t="str">
        <f aca="false">IF(C2227="","",IF(C2227=D2227,1,0))</f>
        <v/>
      </c>
      <c r="H2227" s="2" t="str">
        <f aca="false">IF(C2227="","",IF(C2227&lt;D2227,1,0))</f>
        <v/>
      </c>
      <c r="I2227" s="2" t="n">
        <f aca="false">IF(D2227=0,1,0)</f>
        <v>1</v>
      </c>
      <c r="J2227" s="2"/>
      <c r="K2227" s="2" t="n">
        <f aca="false">C2227</f>
        <v>0</v>
      </c>
      <c r="L2227" s="2" t="n">
        <f aca="false">D2227</f>
        <v>0</v>
      </c>
      <c r="M2227" s="2" t="str">
        <f aca="false">IF(D2227="","",IF(D2227&gt;C2227,3,IF(D2227=C2227,1,0)))</f>
        <v/>
      </c>
      <c r="N2227" s="2" t="str">
        <f aca="false">IF(D2227="","",IF(D2227&gt;C2227,1,0))</f>
        <v/>
      </c>
      <c r="O2227" s="2" t="str">
        <f aca="false">IF(D2227="","",IF(D2227=C2227,1,0))</f>
        <v/>
      </c>
      <c r="P2227" s="2" t="str">
        <f aca="false">IF(D2227="","",IF(D2227&lt;C2227,1,0))</f>
        <v/>
      </c>
      <c r="Q2227" s="2" t="n">
        <f aca="false">IF(K2227=0,1,0)</f>
        <v>1</v>
      </c>
      <c r="R2227" s="2"/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/>
      <c r="B2228" s="2"/>
      <c r="C2228" s="2"/>
      <c r="D2228" s="2"/>
      <c r="E2228" s="2" t="str">
        <f aca="false">IF(C2228="","",IF(C2228&gt;D2228,3,IF(C2228=D2228,1,0)))</f>
        <v/>
      </c>
      <c r="F2228" s="2" t="str">
        <f aca="false">IF(C2228="","",IF(C2228&gt;D2228,1,0))</f>
        <v/>
      </c>
      <c r="G2228" s="2" t="str">
        <f aca="false">IF(C2228="","",IF(C2228=D2228,1,0))</f>
        <v/>
      </c>
      <c r="H2228" s="2" t="str">
        <f aca="false">IF(C2228="","",IF(C2228&lt;D2228,1,0))</f>
        <v/>
      </c>
      <c r="I2228" s="2" t="n">
        <f aca="false">IF(D2228=0,1,0)</f>
        <v>1</v>
      </c>
      <c r="J2228" s="2"/>
      <c r="K2228" s="2" t="n">
        <f aca="false">C2228</f>
        <v>0</v>
      </c>
      <c r="L2228" s="2" t="n">
        <f aca="false">D2228</f>
        <v>0</v>
      </c>
      <c r="M2228" s="2" t="str">
        <f aca="false">IF(D2228="","",IF(D2228&gt;C2228,3,IF(D2228=C2228,1,0)))</f>
        <v/>
      </c>
      <c r="N2228" s="2" t="str">
        <f aca="false">IF(D2228="","",IF(D2228&gt;C2228,1,0))</f>
        <v/>
      </c>
      <c r="O2228" s="2" t="str">
        <f aca="false">IF(D2228="","",IF(D2228=C2228,1,0))</f>
        <v/>
      </c>
      <c r="P2228" s="2" t="str">
        <f aca="false">IF(D2228="","",IF(D2228&lt;C2228,1,0))</f>
        <v/>
      </c>
      <c r="Q2228" s="2" t="n">
        <f aca="false">IF(K2228=0,1,0)</f>
        <v>1</v>
      </c>
      <c r="R2228" s="2"/>
      <c r="S2228" s="2" t="n">
        <f aca="false">C2228</f>
        <v>0</v>
      </c>
      <c r="T2228" s="2" t="n">
        <f aca="false">D2228</f>
        <v>0</v>
      </c>
      <c r="U2228" s="3"/>
      <c r="V2228" s="3"/>
      <c r="W2228" s="3"/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/>
      <c r="B2229" s="2"/>
      <c r="C2229" s="2"/>
      <c r="D2229" s="2"/>
      <c r="E2229" s="2" t="str">
        <f aca="false">IF(C2229="","",IF(C2229&gt;D2229,3,IF(C2229=D2229,1,0)))</f>
        <v/>
      </c>
      <c r="F2229" s="2" t="str">
        <f aca="false">IF(C2229="","",IF(C2229&gt;D2229,1,0))</f>
        <v/>
      </c>
      <c r="G2229" s="2" t="str">
        <f aca="false">IF(C2229="","",IF(C2229=D2229,1,0))</f>
        <v/>
      </c>
      <c r="H2229" s="2" t="str">
        <f aca="false">IF(C2229="","",IF(C2229&lt;D2229,1,0))</f>
        <v/>
      </c>
      <c r="I2229" s="2" t="n">
        <f aca="false">IF(D2229=0,1,0)</f>
        <v>1</v>
      </c>
      <c r="J2229" s="2"/>
      <c r="K2229" s="2" t="n">
        <f aca="false">C2229</f>
        <v>0</v>
      </c>
      <c r="L2229" s="2" t="n">
        <f aca="false">D2229</f>
        <v>0</v>
      </c>
      <c r="M2229" s="2" t="str">
        <f aca="false">IF(D2229="","",IF(D2229&gt;C2229,3,IF(D2229=C2229,1,0)))</f>
        <v/>
      </c>
      <c r="N2229" s="2" t="str">
        <f aca="false">IF(D2229="","",IF(D2229&gt;C2229,1,0))</f>
        <v/>
      </c>
      <c r="O2229" s="2" t="str">
        <f aca="false">IF(D2229="","",IF(D2229=C2229,1,0))</f>
        <v/>
      </c>
      <c r="P2229" s="2" t="str">
        <f aca="false">IF(D2229="","",IF(D2229&lt;C2229,1,0))</f>
        <v/>
      </c>
      <c r="Q2229" s="2" t="n">
        <f aca="false">IF(K2229=0,1,0)</f>
        <v>1</v>
      </c>
      <c r="R2229" s="2"/>
      <c r="S2229" s="2" t="n">
        <f aca="false">C2229</f>
        <v>0</v>
      </c>
      <c r="T2229" s="2" t="n">
        <f aca="false">D2229</f>
        <v>0</v>
      </c>
      <c r="U2229" s="3"/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/>
      <c r="B2230" s="2"/>
      <c r="C2230" s="2"/>
      <c r="D2230" s="2"/>
      <c r="E2230" s="2" t="str">
        <f aca="false">IF(C2230="","",IF(C2230&gt;D2230,3,IF(C2230=D2230,1,0)))</f>
        <v/>
      </c>
      <c r="F2230" s="2" t="str">
        <f aca="false">IF(C2230="","",IF(C2230&gt;D2230,1,0))</f>
        <v/>
      </c>
      <c r="G2230" s="2" t="str">
        <f aca="false">IF(C2230="","",IF(C2230=D2230,1,0))</f>
        <v/>
      </c>
      <c r="H2230" s="2" t="str">
        <f aca="false">IF(C2230="","",IF(C2230&lt;D2230,1,0))</f>
        <v/>
      </c>
      <c r="I2230" s="2" t="n">
        <f aca="false">IF(D2230=0,1,0)</f>
        <v>1</v>
      </c>
      <c r="J2230" s="2"/>
      <c r="K2230" s="2" t="n">
        <f aca="false">C2230</f>
        <v>0</v>
      </c>
      <c r="L2230" s="2" t="n">
        <f aca="false">D2230</f>
        <v>0</v>
      </c>
      <c r="M2230" s="2" t="str">
        <f aca="false">IF(D2230="","",IF(D2230&gt;C2230,3,IF(D2230=C2230,1,0)))</f>
        <v/>
      </c>
      <c r="N2230" s="2" t="str">
        <f aca="false">IF(D2230="","",IF(D2230&gt;C2230,1,0))</f>
        <v/>
      </c>
      <c r="O2230" s="2" t="str">
        <f aca="false">IF(D2230="","",IF(D2230=C2230,1,0))</f>
        <v/>
      </c>
      <c r="P2230" s="2" t="str">
        <f aca="false">IF(D2230="","",IF(D2230&lt;C2230,1,0))</f>
        <v/>
      </c>
      <c r="Q2230" s="2" t="n">
        <f aca="false">IF(K2230=0,1,0)</f>
        <v>1</v>
      </c>
      <c r="R2230" s="2"/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/>
      <c r="B2231" s="2"/>
      <c r="C2231" s="2"/>
      <c r="D2231" s="2"/>
      <c r="E2231" s="2" t="str">
        <f aca="false">IF(C2231="","",IF(C2231&gt;D2231,3,IF(C2231=D2231,1,0)))</f>
        <v/>
      </c>
      <c r="F2231" s="2" t="str">
        <f aca="false">IF(C2231="","",IF(C2231&gt;D2231,1,0))</f>
        <v/>
      </c>
      <c r="G2231" s="2" t="str">
        <f aca="false">IF(C2231="","",IF(C2231=D2231,1,0))</f>
        <v/>
      </c>
      <c r="H2231" s="2" t="str">
        <f aca="false">IF(C2231="","",IF(C2231&lt;D2231,1,0))</f>
        <v/>
      </c>
      <c r="I2231" s="2" t="n">
        <f aca="false">IF(D2231=0,1,0)</f>
        <v>1</v>
      </c>
      <c r="J2231" s="2"/>
      <c r="K2231" s="2" t="n">
        <f aca="false">C2231</f>
        <v>0</v>
      </c>
      <c r="L2231" s="2" t="n">
        <f aca="false">D2231</f>
        <v>0</v>
      </c>
      <c r="M2231" s="2" t="str">
        <f aca="false">IF(D2231="","",IF(D2231&gt;C2231,3,IF(D2231=C2231,1,0)))</f>
        <v/>
      </c>
      <c r="N2231" s="2" t="str">
        <f aca="false">IF(D2231="","",IF(D2231&gt;C2231,1,0))</f>
        <v/>
      </c>
      <c r="O2231" s="2" t="str">
        <f aca="false">IF(D2231="","",IF(D2231=C2231,1,0))</f>
        <v/>
      </c>
      <c r="P2231" s="2" t="str">
        <f aca="false">IF(D2231="","",IF(D2231&lt;C2231,1,0))</f>
        <v/>
      </c>
      <c r="Q2231" s="2" t="n">
        <f aca="false">IF(K2231=0,1,0)</f>
        <v>1</v>
      </c>
      <c r="R2231" s="2"/>
      <c r="S2231" s="2" t="n">
        <f aca="false">C2231</f>
        <v>0</v>
      </c>
      <c r="T2231" s="2" t="n">
        <f aca="false">D2231</f>
        <v>0</v>
      </c>
      <c r="U2231" s="3"/>
      <c r="V2231" s="3"/>
      <c r="W2231" s="3"/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/>
      <c r="B2232" s="2"/>
      <c r="C2232" s="2"/>
      <c r="D2232" s="2"/>
      <c r="E2232" s="2" t="str">
        <f aca="false">IF(C2232="","",IF(C2232&gt;D2232,3,IF(C2232=D2232,1,0)))</f>
        <v/>
      </c>
      <c r="F2232" s="2" t="str">
        <f aca="false">IF(C2232="","",IF(C2232&gt;D2232,1,0))</f>
        <v/>
      </c>
      <c r="G2232" s="2" t="str">
        <f aca="false">IF(C2232="","",IF(C2232=D2232,1,0))</f>
        <v/>
      </c>
      <c r="H2232" s="2" t="str">
        <f aca="false">IF(C2232="","",IF(C2232&lt;D2232,1,0))</f>
        <v/>
      </c>
      <c r="I2232" s="2" t="n">
        <f aca="false">IF(D2232=0,1,0)</f>
        <v>1</v>
      </c>
      <c r="J2232" s="2"/>
      <c r="K2232" s="2" t="n">
        <f aca="false">C2232</f>
        <v>0</v>
      </c>
      <c r="L2232" s="2" t="n">
        <f aca="false">D2232</f>
        <v>0</v>
      </c>
      <c r="M2232" s="2" t="str">
        <f aca="false">IF(D2232="","",IF(D2232&gt;C2232,3,IF(D2232=C2232,1,0)))</f>
        <v/>
      </c>
      <c r="N2232" s="2" t="str">
        <f aca="false">IF(D2232="","",IF(D2232&gt;C2232,1,0))</f>
        <v/>
      </c>
      <c r="O2232" s="2" t="str">
        <f aca="false">IF(D2232="","",IF(D2232=C2232,1,0))</f>
        <v/>
      </c>
      <c r="P2232" s="2" t="str">
        <f aca="false">IF(D2232="","",IF(D2232&lt;C2232,1,0))</f>
        <v/>
      </c>
      <c r="Q2232" s="2" t="n">
        <f aca="false">IF(K2232=0,1,0)</f>
        <v>1</v>
      </c>
      <c r="R2232" s="2"/>
      <c r="S2232" s="2" t="n">
        <f aca="false">C2232</f>
        <v>0</v>
      </c>
      <c r="T2232" s="2" t="n">
        <f aca="false">D2232</f>
        <v>0</v>
      </c>
      <c r="U2232" s="3"/>
      <c r="V2232" s="3"/>
      <c r="W2232" s="3"/>
      <c r="X2232" s="3"/>
      <c r="Y2232" s="3"/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/>
      <c r="B2233" s="2"/>
      <c r="C2233" s="2"/>
      <c r="D2233" s="2"/>
      <c r="E2233" s="2" t="str">
        <f aca="false">IF(C2233="","",IF(C2233&gt;D2233,3,IF(C2233=D2233,1,0)))</f>
        <v/>
      </c>
      <c r="F2233" s="2" t="str">
        <f aca="false">IF(C2233="","",IF(C2233&gt;D2233,1,0))</f>
        <v/>
      </c>
      <c r="G2233" s="2" t="str">
        <f aca="false">IF(C2233="","",IF(C2233=D2233,1,0))</f>
        <v/>
      </c>
      <c r="H2233" s="2" t="str">
        <f aca="false">IF(C2233="","",IF(C2233&lt;D2233,1,0))</f>
        <v/>
      </c>
      <c r="I2233" s="2" t="n">
        <f aca="false">IF(D2233=0,1,0)</f>
        <v>1</v>
      </c>
      <c r="J2233" s="2"/>
      <c r="K2233" s="2" t="n">
        <f aca="false">C2233</f>
        <v>0</v>
      </c>
      <c r="L2233" s="2" t="n">
        <f aca="false">D2233</f>
        <v>0</v>
      </c>
      <c r="M2233" s="2" t="str">
        <f aca="false">IF(D2233="","",IF(D2233&gt;C2233,3,IF(D2233=C2233,1,0)))</f>
        <v/>
      </c>
      <c r="N2233" s="2" t="str">
        <f aca="false">IF(D2233="","",IF(D2233&gt;C2233,1,0))</f>
        <v/>
      </c>
      <c r="O2233" s="2" t="str">
        <f aca="false">IF(D2233="","",IF(D2233=C2233,1,0))</f>
        <v/>
      </c>
      <c r="P2233" s="2" t="str">
        <f aca="false">IF(D2233="","",IF(D2233&lt;C2233,1,0))</f>
        <v/>
      </c>
      <c r="Q2233" s="2" t="n">
        <f aca="false">IF(K2233=0,1,0)</f>
        <v>1</v>
      </c>
      <c r="R2233" s="2"/>
      <c r="S2233" s="2" t="n">
        <f aca="false">C2233</f>
        <v>0</v>
      </c>
      <c r="T2233" s="2" t="n">
        <f aca="false">D2233</f>
        <v>0</v>
      </c>
      <c r="U2233" s="3"/>
      <c r="V2233" s="3"/>
      <c r="W2233" s="3"/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/>
      <c r="B2234" s="2"/>
      <c r="C2234" s="2"/>
      <c r="D2234" s="2"/>
      <c r="E2234" s="2" t="str">
        <f aca="false">IF(C2234="","",IF(C2234&gt;D2234,3,IF(C2234=D2234,1,0)))</f>
        <v/>
      </c>
      <c r="F2234" s="2" t="str">
        <f aca="false">IF(C2234="","",IF(C2234&gt;D2234,1,0))</f>
        <v/>
      </c>
      <c r="G2234" s="2" t="str">
        <f aca="false">IF(C2234="","",IF(C2234=D2234,1,0))</f>
        <v/>
      </c>
      <c r="H2234" s="2" t="str">
        <f aca="false">IF(C2234="","",IF(C2234&lt;D2234,1,0))</f>
        <v/>
      </c>
      <c r="I2234" s="2" t="n">
        <f aca="false">IF(D2234=0,1,0)</f>
        <v>1</v>
      </c>
      <c r="J2234" s="2"/>
      <c r="K2234" s="2" t="n">
        <f aca="false">C2234</f>
        <v>0</v>
      </c>
      <c r="L2234" s="2" t="n">
        <f aca="false">D2234</f>
        <v>0</v>
      </c>
      <c r="M2234" s="2" t="str">
        <f aca="false">IF(D2234="","",IF(D2234&gt;C2234,3,IF(D2234=C2234,1,0)))</f>
        <v/>
      </c>
      <c r="N2234" s="2" t="str">
        <f aca="false">IF(D2234="","",IF(D2234&gt;C2234,1,0))</f>
        <v/>
      </c>
      <c r="O2234" s="2" t="str">
        <f aca="false">IF(D2234="","",IF(D2234=C2234,1,0))</f>
        <v/>
      </c>
      <c r="P2234" s="2" t="str">
        <f aca="false">IF(D2234="","",IF(D2234&lt;C2234,1,0))</f>
        <v/>
      </c>
      <c r="Q2234" s="2" t="n">
        <f aca="false">IF(K2234=0,1,0)</f>
        <v>1</v>
      </c>
      <c r="R2234" s="2"/>
      <c r="S2234" s="2" t="n">
        <f aca="false">C2234</f>
        <v>0</v>
      </c>
      <c r="T2234" s="2" t="n">
        <f aca="false">D2234</f>
        <v>0</v>
      </c>
      <c r="U2234" s="3"/>
      <c r="V2234" s="3"/>
      <c r="W2234" s="3"/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/>
      <c r="B2235" s="2"/>
      <c r="C2235" s="2"/>
      <c r="D2235" s="2"/>
      <c r="E2235" s="2" t="str">
        <f aca="false">IF(C2235="","",IF(C2235&gt;D2235,3,IF(C2235=D2235,1,0)))</f>
        <v/>
      </c>
      <c r="F2235" s="2" t="str">
        <f aca="false">IF(C2235="","",IF(C2235&gt;D2235,1,0))</f>
        <v/>
      </c>
      <c r="G2235" s="2" t="str">
        <f aca="false">IF(C2235="","",IF(C2235=D2235,1,0))</f>
        <v/>
      </c>
      <c r="H2235" s="2" t="str">
        <f aca="false">IF(C2235="","",IF(C2235&lt;D2235,1,0))</f>
        <v/>
      </c>
      <c r="I2235" s="2" t="n">
        <f aca="false">IF(D2235=0,1,0)</f>
        <v>1</v>
      </c>
      <c r="J2235" s="2"/>
      <c r="K2235" s="2" t="n">
        <f aca="false">C2235</f>
        <v>0</v>
      </c>
      <c r="L2235" s="2" t="n">
        <f aca="false">D2235</f>
        <v>0</v>
      </c>
      <c r="M2235" s="2" t="str">
        <f aca="false">IF(D2235="","",IF(D2235&gt;C2235,3,IF(D2235=C2235,1,0)))</f>
        <v/>
      </c>
      <c r="N2235" s="2" t="str">
        <f aca="false">IF(D2235="","",IF(D2235&gt;C2235,1,0))</f>
        <v/>
      </c>
      <c r="O2235" s="2" t="str">
        <f aca="false">IF(D2235="","",IF(D2235=C2235,1,0))</f>
        <v/>
      </c>
      <c r="P2235" s="2" t="str">
        <f aca="false">IF(D2235="","",IF(D2235&lt;C2235,1,0))</f>
        <v/>
      </c>
      <c r="Q2235" s="2" t="n">
        <f aca="false">IF(K2235=0,1,0)</f>
        <v>1</v>
      </c>
      <c r="R2235" s="2"/>
      <c r="S2235" s="2" t="n">
        <f aca="false">C2235</f>
        <v>0</v>
      </c>
      <c r="T2235" s="2" t="n">
        <f aca="false">D2235</f>
        <v>0</v>
      </c>
      <c r="U2235" s="3"/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/>
      <c r="B2236" s="2"/>
      <c r="C2236" s="2"/>
      <c r="D2236" s="2"/>
      <c r="E2236" s="2" t="str">
        <f aca="false">IF(C2236="","",IF(C2236&gt;D2236,3,IF(C2236=D2236,1,0)))</f>
        <v/>
      </c>
      <c r="F2236" s="2" t="str">
        <f aca="false">IF(C2236="","",IF(C2236&gt;D2236,1,0))</f>
        <v/>
      </c>
      <c r="G2236" s="2" t="str">
        <f aca="false">IF(C2236="","",IF(C2236=D2236,1,0))</f>
        <v/>
      </c>
      <c r="H2236" s="2" t="str">
        <f aca="false">IF(C2236="","",IF(C2236&lt;D2236,1,0))</f>
        <v/>
      </c>
      <c r="I2236" s="2" t="n">
        <f aca="false">IF(D2236=0,1,0)</f>
        <v>1</v>
      </c>
      <c r="J2236" s="2"/>
      <c r="K2236" s="2" t="n">
        <f aca="false">C2236</f>
        <v>0</v>
      </c>
      <c r="L2236" s="2" t="n">
        <f aca="false">D2236</f>
        <v>0</v>
      </c>
      <c r="M2236" s="2" t="str">
        <f aca="false">IF(D2236="","",IF(D2236&gt;C2236,3,IF(D2236=C2236,1,0)))</f>
        <v/>
      </c>
      <c r="N2236" s="2" t="str">
        <f aca="false">IF(D2236="","",IF(D2236&gt;C2236,1,0))</f>
        <v/>
      </c>
      <c r="O2236" s="2" t="str">
        <f aca="false">IF(D2236="","",IF(D2236=C2236,1,0))</f>
        <v/>
      </c>
      <c r="P2236" s="2" t="str">
        <f aca="false">IF(D2236="","",IF(D2236&lt;C2236,1,0))</f>
        <v/>
      </c>
      <c r="Q2236" s="2" t="n">
        <f aca="false">IF(K2236=0,1,0)</f>
        <v>1</v>
      </c>
      <c r="R2236" s="2"/>
      <c r="S2236" s="2" t="n">
        <f aca="false">C2236</f>
        <v>0</v>
      </c>
      <c r="T2236" s="2" t="n">
        <f aca="false">D2236</f>
        <v>0</v>
      </c>
      <c r="U2236" s="3"/>
      <c r="V2236" s="3"/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/>
      <c r="B2237" s="2"/>
      <c r="C2237" s="2"/>
      <c r="D2237" s="2"/>
      <c r="E2237" s="2" t="str">
        <f aca="false">IF(C2237="","",IF(C2237&gt;D2237,3,IF(C2237=D2237,1,0)))</f>
        <v/>
      </c>
      <c r="F2237" s="2" t="str">
        <f aca="false">IF(C2237="","",IF(C2237&gt;D2237,1,0))</f>
        <v/>
      </c>
      <c r="G2237" s="2" t="str">
        <f aca="false">IF(C2237="","",IF(C2237=D2237,1,0))</f>
        <v/>
      </c>
      <c r="H2237" s="2" t="str">
        <f aca="false">IF(C2237="","",IF(C2237&lt;D2237,1,0))</f>
        <v/>
      </c>
      <c r="I2237" s="2" t="n">
        <f aca="false">IF(D2237=0,1,0)</f>
        <v>1</v>
      </c>
      <c r="J2237" s="2"/>
      <c r="K2237" s="2" t="n">
        <f aca="false">C2237</f>
        <v>0</v>
      </c>
      <c r="L2237" s="2" t="n">
        <f aca="false">D2237</f>
        <v>0</v>
      </c>
      <c r="M2237" s="2" t="str">
        <f aca="false">IF(D2237="","",IF(D2237&gt;C2237,3,IF(D2237=C2237,1,0)))</f>
        <v/>
      </c>
      <c r="N2237" s="2" t="str">
        <f aca="false">IF(D2237="","",IF(D2237&gt;C2237,1,0))</f>
        <v/>
      </c>
      <c r="O2237" s="2" t="str">
        <f aca="false">IF(D2237="","",IF(D2237=C2237,1,0))</f>
        <v/>
      </c>
      <c r="P2237" s="2" t="str">
        <f aca="false">IF(D2237="","",IF(D2237&lt;C2237,1,0))</f>
        <v/>
      </c>
      <c r="Q2237" s="2" t="n">
        <f aca="false">IF(K2237=0,1,0)</f>
        <v>1</v>
      </c>
      <c r="R2237" s="2"/>
      <c r="S2237" s="2" t="n">
        <f aca="false">C2237</f>
        <v>0</v>
      </c>
      <c r="T2237" s="2" t="n">
        <f aca="false">D2237</f>
        <v>0</v>
      </c>
      <c r="U2237" s="3"/>
      <c r="V2237" s="3"/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/>
      <c r="B2238" s="2"/>
      <c r="C2238" s="2"/>
      <c r="D2238" s="2"/>
      <c r="E2238" s="2" t="str">
        <f aca="false">IF(C2238="","",IF(C2238&gt;D2238,3,IF(C2238=D2238,1,0)))</f>
        <v/>
      </c>
      <c r="F2238" s="2" t="str">
        <f aca="false">IF(C2238="","",IF(C2238&gt;D2238,1,0))</f>
        <v/>
      </c>
      <c r="G2238" s="2" t="str">
        <f aca="false">IF(C2238="","",IF(C2238=D2238,1,0))</f>
        <v/>
      </c>
      <c r="H2238" s="2" t="str">
        <f aca="false">IF(C2238="","",IF(C2238&lt;D2238,1,0))</f>
        <v/>
      </c>
      <c r="I2238" s="2" t="n">
        <f aca="false">IF(D2238=0,1,0)</f>
        <v>1</v>
      </c>
      <c r="J2238" s="2"/>
      <c r="K2238" s="2" t="n">
        <f aca="false">C2238</f>
        <v>0</v>
      </c>
      <c r="L2238" s="2" t="n">
        <f aca="false">D2238</f>
        <v>0</v>
      </c>
      <c r="M2238" s="2" t="str">
        <f aca="false">IF(D2238="","",IF(D2238&gt;C2238,3,IF(D2238=C2238,1,0)))</f>
        <v/>
      </c>
      <c r="N2238" s="2" t="str">
        <f aca="false">IF(D2238="","",IF(D2238&gt;C2238,1,0))</f>
        <v/>
      </c>
      <c r="O2238" s="2" t="str">
        <f aca="false">IF(D2238="","",IF(D2238=C2238,1,0))</f>
        <v/>
      </c>
      <c r="P2238" s="2" t="str">
        <f aca="false">IF(D2238="","",IF(D2238&lt;C2238,1,0))</f>
        <v/>
      </c>
      <c r="Q2238" s="2" t="n">
        <f aca="false">IF(K2238=0,1,0)</f>
        <v>1</v>
      </c>
      <c r="R2238" s="2"/>
      <c r="S2238" s="2" t="n">
        <f aca="false">C2238</f>
        <v>0</v>
      </c>
      <c r="T2238" s="2" t="n">
        <f aca="false">D2238</f>
        <v>0</v>
      </c>
      <c r="U2238" s="3"/>
      <c r="V2238" s="3"/>
      <c r="W2238" s="3"/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/>
      <c r="B2239" s="2"/>
      <c r="C2239" s="2"/>
      <c r="D2239" s="2"/>
      <c r="E2239" s="2" t="str">
        <f aca="false">IF(C2239="","",IF(C2239&gt;D2239,3,IF(C2239=D2239,1,0)))</f>
        <v/>
      </c>
      <c r="F2239" s="2" t="str">
        <f aca="false">IF(C2239="","",IF(C2239&gt;D2239,1,0))</f>
        <v/>
      </c>
      <c r="G2239" s="2" t="str">
        <f aca="false">IF(C2239="","",IF(C2239=D2239,1,0))</f>
        <v/>
      </c>
      <c r="H2239" s="2" t="str">
        <f aca="false">IF(C2239="","",IF(C2239&lt;D2239,1,0))</f>
        <v/>
      </c>
      <c r="I2239" s="2" t="n">
        <f aca="false">IF(D2239=0,1,0)</f>
        <v>1</v>
      </c>
      <c r="J2239" s="2"/>
      <c r="K2239" s="2" t="n">
        <f aca="false">C2239</f>
        <v>0</v>
      </c>
      <c r="L2239" s="2" t="n">
        <f aca="false">D2239</f>
        <v>0</v>
      </c>
      <c r="M2239" s="2" t="str">
        <f aca="false">IF(D2239="","",IF(D2239&gt;C2239,3,IF(D2239=C2239,1,0)))</f>
        <v/>
      </c>
      <c r="N2239" s="2" t="str">
        <f aca="false">IF(D2239="","",IF(D2239&gt;C2239,1,0))</f>
        <v/>
      </c>
      <c r="O2239" s="2" t="str">
        <f aca="false">IF(D2239="","",IF(D2239=C2239,1,0))</f>
        <v/>
      </c>
      <c r="P2239" s="2" t="str">
        <f aca="false">IF(D2239="","",IF(D2239&lt;C2239,1,0))</f>
        <v/>
      </c>
      <c r="Q2239" s="2" t="n">
        <f aca="false">IF(K2239=0,1,0)</f>
        <v>1</v>
      </c>
      <c r="R2239" s="2"/>
      <c r="S2239" s="2" t="n">
        <f aca="false">C2239</f>
        <v>0</v>
      </c>
      <c r="T2239" s="2" t="n">
        <f aca="false">D2239</f>
        <v>0</v>
      </c>
      <c r="U2239" s="3"/>
      <c r="V2239" s="3"/>
      <c r="W2239" s="3"/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/>
      <c r="B2240" s="2"/>
      <c r="C2240" s="2"/>
      <c r="D2240" s="2"/>
      <c r="E2240" s="2" t="str">
        <f aca="false">IF(C2240="","",IF(C2240&gt;D2240,3,IF(C2240=D2240,1,0)))</f>
        <v/>
      </c>
      <c r="F2240" s="2" t="str">
        <f aca="false">IF(C2240="","",IF(C2240&gt;D2240,1,0))</f>
        <v/>
      </c>
      <c r="G2240" s="2" t="str">
        <f aca="false">IF(C2240="","",IF(C2240=D2240,1,0))</f>
        <v/>
      </c>
      <c r="H2240" s="2" t="str">
        <f aca="false">IF(C2240="","",IF(C2240&lt;D2240,1,0))</f>
        <v/>
      </c>
      <c r="I2240" s="2" t="n">
        <f aca="false">IF(D2240=0,1,0)</f>
        <v>1</v>
      </c>
      <c r="J2240" s="2"/>
      <c r="K2240" s="2" t="n">
        <f aca="false">C2240</f>
        <v>0</v>
      </c>
      <c r="L2240" s="2" t="n">
        <f aca="false">D2240</f>
        <v>0</v>
      </c>
      <c r="M2240" s="2" t="str">
        <f aca="false">IF(D2240="","",IF(D2240&gt;C2240,3,IF(D2240=C2240,1,0)))</f>
        <v/>
      </c>
      <c r="N2240" s="2" t="str">
        <f aca="false">IF(D2240="","",IF(D2240&gt;C2240,1,0))</f>
        <v/>
      </c>
      <c r="O2240" s="2" t="str">
        <f aca="false">IF(D2240="","",IF(D2240=C2240,1,0))</f>
        <v/>
      </c>
      <c r="P2240" s="2" t="str">
        <f aca="false">IF(D2240="","",IF(D2240&lt;C2240,1,0))</f>
        <v/>
      </c>
      <c r="Q2240" s="2" t="n">
        <f aca="false">IF(K2240=0,1,0)</f>
        <v>1</v>
      </c>
      <c r="R2240" s="2"/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/>
      <c r="B2241" s="2"/>
      <c r="C2241" s="2"/>
      <c r="D2241" s="2"/>
      <c r="E2241" s="2" t="str">
        <f aca="false">IF(C2241="","",IF(C2241&gt;D2241,3,IF(C2241=D2241,1,0)))</f>
        <v/>
      </c>
      <c r="F2241" s="2" t="str">
        <f aca="false">IF(C2241="","",IF(C2241&gt;D2241,1,0))</f>
        <v/>
      </c>
      <c r="G2241" s="2" t="str">
        <f aca="false">IF(C2241="","",IF(C2241=D2241,1,0))</f>
        <v/>
      </c>
      <c r="H2241" s="2" t="str">
        <f aca="false">IF(C2241="","",IF(C2241&lt;D2241,1,0))</f>
        <v/>
      </c>
      <c r="I2241" s="2" t="n">
        <f aca="false">IF(D2241=0,1,0)</f>
        <v>1</v>
      </c>
      <c r="J2241" s="2"/>
      <c r="K2241" s="2" t="n">
        <f aca="false">C2241</f>
        <v>0</v>
      </c>
      <c r="L2241" s="2" t="n">
        <f aca="false">D2241</f>
        <v>0</v>
      </c>
      <c r="M2241" s="2" t="str">
        <f aca="false">IF(D2241="","",IF(D2241&gt;C2241,3,IF(D2241=C2241,1,0)))</f>
        <v/>
      </c>
      <c r="N2241" s="2" t="str">
        <f aca="false">IF(D2241="","",IF(D2241&gt;C2241,1,0))</f>
        <v/>
      </c>
      <c r="O2241" s="2" t="str">
        <f aca="false">IF(D2241="","",IF(D2241=C2241,1,0))</f>
        <v/>
      </c>
      <c r="P2241" s="2" t="str">
        <f aca="false">IF(D2241="","",IF(D2241&lt;C2241,1,0))</f>
        <v/>
      </c>
      <c r="Q2241" s="2" t="n">
        <f aca="false">IF(K2241=0,1,0)</f>
        <v>1</v>
      </c>
      <c r="R2241" s="2"/>
      <c r="S2241" s="2" t="n">
        <f aca="false">C2241</f>
        <v>0</v>
      </c>
      <c r="T2241" s="2" t="n">
        <f aca="false">D2241</f>
        <v>0</v>
      </c>
      <c r="U2241" s="3"/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/>
      <c r="B2242" s="2"/>
      <c r="C2242" s="2"/>
      <c r="D2242" s="2"/>
      <c r="E2242" s="2" t="str">
        <f aca="false">IF(C2242="","",IF(C2242&gt;D2242,3,IF(C2242=D2242,1,0)))</f>
        <v/>
      </c>
      <c r="F2242" s="2" t="str">
        <f aca="false">IF(C2242="","",IF(C2242&gt;D2242,1,0))</f>
        <v/>
      </c>
      <c r="G2242" s="2" t="str">
        <f aca="false">IF(C2242="","",IF(C2242=D2242,1,0))</f>
        <v/>
      </c>
      <c r="H2242" s="2" t="str">
        <f aca="false">IF(C2242="","",IF(C2242&lt;D2242,1,0))</f>
        <v/>
      </c>
      <c r="I2242" s="2" t="n">
        <f aca="false">IF(D2242=0,1,0)</f>
        <v>1</v>
      </c>
      <c r="J2242" s="2"/>
      <c r="K2242" s="2" t="n">
        <f aca="false">C2242</f>
        <v>0</v>
      </c>
      <c r="L2242" s="2" t="n">
        <f aca="false">D2242</f>
        <v>0</v>
      </c>
      <c r="M2242" s="2" t="str">
        <f aca="false">IF(D2242="","",IF(D2242&gt;C2242,3,IF(D2242=C2242,1,0)))</f>
        <v/>
      </c>
      <c r="N2242" s="2" t="str">
        <f aca="false">IF(D2242="","",IF(D2242&gt;C2242,1,0))</f>
        <v/>
      </c>
      <c r="O2242" s="2" t="str">
        <f aca="false">IF(D2242="","",IF(D2242=C2242,1,0))</f>
        <v/>
      </c>
      <c r="P2242" s="2" t="str">
        <f aca="false">IF(D2242="","",IF(D2242&lt;C2242,1,0))</f>
        <v/>
      </c>
      <c r="Q2242" s="2" t="n">
        <f aca="false">IF(K2242=0,1,0)</f>
        <v>1</v>
      </c>
      <c r="R2242" s="2"/>
      <c r="S2242" s="2" t="n">
        <f aca="false">C2242</f>
        <v>0</v>
      </c>
      <c r="T2242" s="2" t="n">
        <f aca="false">D2242</f>
        <v>0</v>
      </c>
      <c r="U2242" s="3"/>
      <c r="V2242" s="3"/>
      <c r="W2242" s="3"/>
      <c r="X2242" s="3"/>
      <c r="Y2242" s="3"/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/>
      <c r="B2243" s="2"/>
      <c r="C2243" s="2"/>
      <c r="D2243" s="2"/>
      <c r="E2243" s="2" t="str">
        <f aca="false">IF(C2243="","",IF(C2243&gt;D2243,3,IF(C2243=D2243,1,0)))</f>
        <v/>
      </c>
      <c r="F2243" s="2" t="str">
        <f aca="false">IF(C2243="","",IF(C2243&gt;D2243,1,0))</f>
        <v/>
      </c>
      <c r="G2243" s="2" t="str">
        <f aca="false">IF(C2243="","",IF(C2243=D2243,1,0))</f>
        <v/>
      </c>
      <c r="H2243" s="2" t="str">
        <f aca="false">IF(C2243="","",IF(C2243&lt;D2243,1,0))</f>
        <v/>
      </c>
      <c r="I2243" s="2" t="n">
        <f aca="false">IF(D2243=0,1,0)</f>
        <v>1</v>
      </c>
      <c r="J2243" s="2"/>
      <c r="K2243" s="2" t="n">
        <f aca="false">C2243</f>
        <v>0</v>
      </c>
      <c r="L2243" s="2" t="n">
        <f aca="false">D2243</f>
        <v>0</v>
      </c>
      <c r="M2243" s="2" t="str">
        <f aca="false">IF(D2243="","",IF(D2243&gt;C2243,3,IF(D2243=C2243,1,0)))</f>
        <v/>
      </c>
      <c r="N2243" s="2" t="str">
        <f aca="false">IF(D2243="","",IF(D2243&gt;C2243,1,0))</f>
        <v/>
      </c>
      <c r="O2243" s="2" t="str">
        <f aca="false">IF(D2243="","",IF(D2243=C2243,1,0))</f>
        <v/>
      </c>
      <c r="P2243" s="2" t="str">
        <f aca="false">IF(D2243="","",IF(D2243&lt;C2243,1,0))</f>
        <v/>
      </c>
      <c r="Q2243" s="2" t="n">
        <f aca="false">IF(K2243=0,1,0)</f>
        <v>1</v>
      </c>
      <c r="R2243" s="2"/>
      <c r="S2243" s="2" t="n">
        <f aca="false">C2243</f>
        <v>0</v>
      </c>
      <c r="T2243" s="2" t="n">
        <f aca="false">D2243</f>
        <v>0</v>
      </c>
      <c r="U2243" s="3"/>
      <c r="V2243" s="3"/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/>
      <c r="B2244" s="2"/>
      <c r="C2244" s="2"/>
      <c r="D2244" s="2"/>
      <c r="E2244" s="2" t="str">
        <f aca="false">IF(C2244="","",IF(C2244&gt;D2244,3,IF(C2244=D2244,1,0)))</f>
        <v/>
      </c>
      <c r="F2244" s="2" t="str">
        <f aca="false">IF(C2244="","",IF(C2244&gt;D2244,1,0))</f>
        <v/>
      </c>
      <c r="G2244" s="2" t="str">
        <f aca="false">IF(C2244="","",IF(C2244=D2244,1,0))</f>
        <v/>
      </c>
      <c r="H2244" s="2" t="str">
        <f aca="false">IF(C2244="","",IF(C2244&lt;D2244,1,0))</f>
        <v/>
      </c>
      <c r="I2244" s="2" t="n">
        <f aca="false">IF(D2244=0,1,0)</f>
        <v>1</v>
      </c>
      <c r="J2244" s="2"/>
      <c r="K2244" s="2" t="n">
        <f aca="false">C2244</f>
        <v>0</v>
      </c>
      <c r="L2244" s="2" t="n">
        <f aca="false">D2244</f>
        <v>0</v>
      </c>
      <c r="M2244" s="2" t="str">
        <f aca="false">IF(D2244="","",IF(D2244&gt;C2244,3,IF(D2244=C2244,1,0)))</f>
        <v/>
      </c>
      <c r="N2244" s="2" t="str">
        <f aca="false">IF(D2244="","",IF(D2244&gt;C2244,1,0))</f>
        <v/>
      </c>
      <c r="O2244" s="2" t="str">
        <f aca="false">IF(D2244="","",IF(D2244=C2244,1,0))</f>
        <v/>
      </c>
      <c r="P2244" s="2" t="str">
        <f aca="false">IF(D2244="","",IF(D2244&lt;C2244,1,0))</f>
        <v/>
      </c>
      <c r="Q2244" s="2" t="n">
        <f aca="false">IF(K2244=0,1,0)</f>
        <v>1</v>
      </c>
      <c r="R2244" s="2"/>
      <c r="S2244" s="2" t="n">
        <f aca="false">C2244</f>
        <v>0</v>
      </c>
      <c r="T2244" s="2" t="n">
        <f aca="false">D2244</f>
        <v>0</v>
      </c>
      <c r="U2244" s="3"/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/>
      <c r="B2245" s="2"/>
      <c r="C2245" s="2"/>
      <c r="D2245" s="2"/>
      <c r="E2245" s="2" t="str">
        <f aca="false">IF(C2245="","",IF(C2245&gt;D2245,3,IF(C2245=D2245,1,0)))</f>
        <v/>
      </c>
      <c r="F2245" s="2" t="str">
        <f aca="false">IF(C2245="","",IF(C2245&gt;D2245,1,0))</f>
        <v/>
      </c>
      <c r="G2245" s="2" t="str">
        <f aca="false">IF(C2245="","",IF(C2245=D2245,1,0))</f>
        <v/>
      </c>
      <c r="H2245" s="2" t="str">
        <f aca="false">IF(C2245="","",IF(C2245&lt;D2245,1,0))</f>
        <v/>
      </c>
      <c r="I2245" s="2" t="n">
        <f aca="false">IF(D2245=0,1,0)</f>
        <v>1</v>
      </c>
      <c r="J2245" s="2"/>
      <c r="K2245" s="2" t="n">
        <f aca="false">C2245</f>
        <v>0</v>
      </c>
      <c r="L2245" s="2" t="n">
        <f aca="false">D2245</f>
        <v>0</v>
      </c>
      <c r="M2245" s="2" t="str">
        <f aca="false">IF(D2245="","",IF(D2245&gt;C2245,3,IF(D2245=C2245,1,0)))</f>
        <v/>
      </c>
      <c r="N2245" s="2" t="str">
        <f aca="false">IF(D2245="","",IF(D2245&gt;C2245,1,0))</f>
        <v/>
      </c>
      <c r="O2245" s="2" t="str">
        <f aca="false">IF(D2245="","",IF(D2245=C2245,1,0))</f>
        <v/>
      </c>
      <c r="P2245" s="2" t="str">
        <f aca="false">IF(D2245="","",IF(D2245&lt;C2245,1,0))</f>
        <v/>
      </c>
      <c r="Q2245" s="2" t="n">
        <f aca="false">IF(K2245=0,1,0)</f>
        <v>1</v>
      </c>
      <c r="R2245" s="2"/>
      <c r="S2245" s="2" t="n">
        <f aca="false">C2245</f>
        <v>0</v>
      </c>
      <c r="T2245" s="2" t="n">
        <f aca="false">D2245</f>
        <v>0</v>
      </c>
      <c r="U2245" s="3"/>
      <c r="V2245" s="3"/>
      <c r="W2245" s="3"/>
      <c r="X2245" s="3"/>
      <c r="Y2245" s="3"/>
      <c r="Z2245" s="3"/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/>
      <c r="B2246" s="2"/>
      <c r="C2246" s="2"/>
      <c r="D2246" s="2"/>
      <c r="E2246" s="2" t="str">
        <f aca="false">IF(C2246="","",IF(C2246&gt;D2246,3,IF(C2246=D2246,1,0)))</f>
        <v/>
      </c>
      <c r="F2246" s="2" t="str">
        <f aca="false">IF(C2246="","",IF(C2246&gt;D2246,1,0))</f>
        <v/>
      </c>
      <c r="G2246" s="2" t="str">
        <f aca="false">IF(C2246="","",IF(C2246=D2246,1,0))</f>
        <v/>
      </c>
      <c r="H2246" s="2" t="str">
        <f aca="false">IF(C2246="","",IF(C2246&lt;D2246,1,0))</f>
        <v/>
      </c>
      <c r="I2246" s="2" t="n">
        <f aca="false">IF(D2246=0,1,0)</f>
        <v>1</v>
      </c>
      <c r="J2246" s="2"/>
      <c r="K2246" s="2" t="n">
        <f aca="false">C2246</f>
        <v>0</v>
      </c>
      <c r="L2246" s="2" t="n">
        <f aca="false">D2246</f>
        <v>0</v>
      </c>
      <c r="M2246" s="2" t="str">
        <f aca="false">IF(D2246="","",IF(D2246&gt;C2246,3,IF(D2246=C2246,1,0)))</f>
        <v/>
      </c>
      <c r="N2246" s="2" t="str">
        <f aca="false">IF(D2246="","",IF(D2246&gt;C2246,1,0))</f>
        <v/>
      </c>
      <c r="O2246" s="2" t="str">
        <f aca="false">IF(D2246="","",IF(D2246=C2246,1,0))</f>
        <v/>
      </c>
      <c r="P2246" s="2" t="str">
        <f aca="false">IF(D2246="","",IF(D2246&lt;C2246,1,0))</f>
        <v/>
      </c>
      <c r="Q2246" s="2" t="n">
        <f aca="false">IF(K2246=0,1,0)</f>
        <v>1</v>
      </c>
      <c r="R2246" s="2"/>
      <c r="S2246" s="2" t="n">
        <f aca="false">C2246</f>
        <v>0</v>
      </c>
      <c r="T2246" s="2" t="n">
        <f aca="false">D2246</f>
        <v>0</v>
      </c>
      <c r="U2246" s="3"/>
      <c r="V2246" s="3"/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/>
      <c r="B2247" s="2"/>
      <c r="C2247" s="2"/>
      <c r="D2247" s="2"/>
      <c r="E2247" s="2" t="str">
        <f aca="false">IF(C2247="","",IF(C2247&gt;D2247,3,IF(C2247=D2247,1,0)))</f>
        <v/>
      </c>
      <c r="F2247" s="2" t="str">
        <f aca="false">IF(C2247="","",IF(C2247&gt;D2247,1,0))</f>
        <v/>
      </c>
      <c r="G2247" s="2" t="str">
        <f aca="false">IF(C2247="","",IF(C2247=D2247,1,0))</f>
        <v/>
      </c>
      <c r="H2247" s="2" t="str">
        <f aca="false">IF(C2247="","",IF(C2247&lt;D2247,1,0))</f>
        <v/>
      </c>
      <c r="I2247" s="2" t="n">
        <f aca="false">IF(D2247=0,1,0)</f>
        <v>1</v>
      </c>
      <c r="J2247" s="2"/>
      <c r="K2247" s="2" t="n">
        <f aca="false">C2247</f>
        <v>0</v>
      </c>
      <c r="L2247" s="2" t="n">
        <f aca="false">D2247</f>
        <v>0</v>
      </c>
      <c r="M2247" s="2" t="str">
        <f aca="false">IF(D2247="","",IF(D2247&gt;C2247,3,IF(D2247=C2247,1,0)))</f>
        <v/>
      </c>
      <c r="N2247" s="2" t="str">
        <f aca="false">IF(D2247="","",IF(D2247&gt;C2247,1,0))</f>
        <v/>
      </c>
      <c r="O2247" s="2" t="str">
        <f aca="false">IF(D2247="","",IF(D2247=C2247,1,0))</f>
        <v/>
      </c>
      <c r="P2247" s="2" t="str">
        <f aca="false">IF(D2247="","",IF(D2247&lt;C2247,1,0))</f>
        <v/>
      </c>
      <c r="Q2247" s="2" t="n">
        <f aca="false">IF(K2247=0,1,0)</f>
        <v>1</v>
      </c>
      <c r="R2247" s="2"/>
      <c r="S2247" s="2" t="n">
        <f aca="false">C2247</f>
        <v>0</v>
      </c>
      <c r="T2247" s="2" t="n">
        <f aca="false">D2247</f>
        <v>0</v>
      </c>
      <c r="U2247" s="3"/>
      <c r="V2247" s="3"/>
      <c r="W2247" s="3"/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/>
      <c r="B2248" s="2"/>
      <c r="C2248" s="2"/>
      <c r="D2248" s="2"/>
      <c r="E2248" s="2" t="str">
        <f aca="false">IF(C2248="","",IF(C2248&gt;D2248,3,IF(C2248=D2248,1,0)))</f>
        <v/>
      </c>
      <c r="F2248" s="2" t="str">
        <f aca="false">IF(C2248="","",IF(C2248&gt;D2248,1,0))</f>
        <v/>
      </c>
      <c r="G2248" s="2" t="str">
        <f aca="false">IF(C2248="","",IF(C2248=D2248,1,0))</f>
        <v/>
      </c>
      <c r="H2248" s="2" t="str">
        <f aca="false">IF(C2248="","",IF(C2248&lt;D2248,1,0))</f>
        <v/>
      </c>
      <c r="I2248" s="2" t="n">
        <f aca="false">IF(D2248=0,1,0)</f>
        <v>1</v>
      </c>
      <c r="J2248" s="2"/>
      <c r="K2248" s="2" t="n">
        <f aca="false">C2248</f>
        <v>0</v>
      </c>
      <c r="L2248" s="2" t="n">
        <f aca="false">D2248</f>
        <v>0</v>
      </c>
      <c r="M2248" s="2" t="str">
        <f aca="false">IF(D2248="","",IF(D2248&gt;C2248,3,IF(D2248=C2248,1,0)))</f>
        <v/>
      </c>
      <c r="N2248" s="2" t="str">
        <f aca="false">IF(D2248="","",IF(D2248&gt;C2248,1,0))</f>
        <v/>
      </c>
      <c r="O2248" s="2" t="str">
        <f aca="false">IF(D2248="","",IF(D2248=C2248,1,0))</f>
        <v/>
      </c>
      <c r="P2248" s="2" t="str">
        <f aca="false">IF(D2248="","",IF(D2248&lt;C2248,1,0))</f>
        <v/>
      </c>
      <c r="Q2248" s="2" t="n">
        <f aca="false">IF(K2248=0,1,0)</f>
        <v>1</v>
      </c>
      <c r="R2248" s="2"/>
      <c r="S2248" s="2" t="n">
        <f aca="false">C2248</f>
        <v>0</v>
      </c>
      <c r="T2248" s="2" t="n">
        <f aca="false">D2248</f>
        <v>0</v>
      </c>
      <c r="U2248" s="3"/>
      <c r="V2248" s="3"/>
      <c r="W2248" s="3"/>
      <c r="X2248" s="3"/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/>
      <c r="B2249" s="2"/>
      <c r="C2249" s="2"/>
      <c r="D2249" s="2"/>
      <c r="E2249" s="2" t="str">
        <f aca="false">IF(C2249="","",IF(C2249&gt;D2249,3,IF(C2249=D2249,1,0)))</f>
        <v/>
      </c>
      <c r="F2249" s="2" t="str">
        <f aca="false">IF(C2249="","",IF(C2249&gt;D2249,1,0))</f>
        <v/>
      </c>
      <c r="G2249" s="2" t="str">
        <f aca="false">IF(C2249="","",IF(C2249=D2249,1,0))</f>
        <v/>
      </c>
      <c r="H2249" s="2" t="str">
        <f aca="false">IF(C2249="","",IF(C2249&lt;D2249,1,0))</f>
        <v/>
      </c>
      <c r="I2249" s="2" t="n">
        <f aca="false">IF(D2249=0,1,0)</f>
        <v>1</v>
      </c>
      <c r="J2249" s="2"/>
      <c r="K2249" s="2" t="n">
        <f aca="false">C2249</f>
        <v>0</v>
      </c>
      <c r="L2249" s="2" t="n">
        <f aca="false">D2249</f>
        <v>0</v>
      </c>
      <c r="M2249" s="2" t="str">
        <f aca="false">IF(D2249="","",IF(D2249&gt;C2249,3,IF(D2249=C2249,1,0)))</f>
        <v/>
      </c>
      <c r="N2249" s="2" t="str">
        <f aca="false">IF(D2249="","",IF(D2249&gt;C2249,1,0))</f>
        <v/>
      </c>
      <c r="O2249" s="2" t="str">
        <f aca="false">IF(D2249="","",IF(D2249=C2249,1,0))</f>
        <v/>
      </c>
      <c r="P2249" s="2" t="str">
        <f aca="false">IF(D2249="","",IF(D2249&lt;C2249,1,0))</f>
        <v/>
      </c>
      <c r="Q2249" s="2" t="n">
        <f aca="false">IF(K2249=0,1,0)</f>
        <v>1</v>
      </c>
      <c r="R2249" s="2"/>
      <c r="S2249" s="2" t="n">
        <f aca="false">C2249</f>
        <v>0</v>
      </c>
      <c r="T2249" s="2" t="n">
        <f aca="false">D2249</f>
        <v>0</v>
      </c>
      <c r="U2249" s="3"/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/>
      <c r="B2250" s="2"/>
      <c r="C2250" s="2"/>
      <c r="D2250" s="2"/>
      <c r="E2250" s="2" t="str">
        <f aca="false">IF(C2250="","",IF(C2250&gt;D2250,3,IF(C2250=D2250,1,0)))</f>
        <v/>
      </c>
      <c r="F2250" s="2" t="str">
        <f aca="false">IF(C2250="","",IF(C2250&gt;D2250,1,0))</f>
        <v/>
      </c>
      <c r="G2250" s="2" t="str">
        <f aca="false">IF(C2250="","",IF(C2250=D2250,1,0))</f>
        <v/>
      </c>
      <c r="H2250" s="2" t="str">
        <f aca="false">IF(C2250="","",IF(C2250&lt;D2250,1,0))</f>
        <v/>
      </c>
      <c r="I2250" s="2" t="n">
        <f aca="false">IF(D2250=0,1,0)</f>
        <v>1</v>
      </c>
      <c r="J2250" s="2"/>
      <c r="K2250" s="2" t="n">
        <f aca="false">C2250</f>
        <v>0</v>
      </c>
      <c r="L2250" s="2" t="n">
        <f aca="false">D2250</f>
        <v>0</v>
      </c>
      <c r="M2250" s="2" t="str">
        <f aca="false">IF(D2250="","",IF(D2250&gt;C2250,3,IF(D2250=C2250,1,0)))</f>
        <v/>
      </c>
      <c r="N2250" s="2" t="str">
        <f aca="false">IF(D2250="","",IF(D2250&gt;C2250,1,0))</f>
        <v/>
      </c>
      <c r="O2250" s="2" t="str">
        <f aca="false">IF(D2250="","",IF(D2250=C2250,1,0))</f>
        <v/>
      </c>
      <c r="P2250" s="2" t="str">
        <f aca="false">IF(D2250="","",IF(D2250&lt;C2250,1,0))</f>
        <v/>
      </c>
      <c r="Q2250" s="2" t="n">
        <f aca="false">IF(K2250=0,1,0)</f>
        <v>1</v>
      </c>
      <c r="R2250" s="2"/>
      <c r="S2250" s="2" t="n">
        <f aca="false">C2250</f>
        <v>0</v>
      </c>
      <c r="T2250" s="2" t="n">
        <f aca="false">D2250</f>
        <v>0</v>
      </c>
      <c r="U2250" s="3"/>
      <c r="V2250" s="3"/>
      <c r="W2250" s="3"/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/>
      <c r="B2251" s="2"/>
      <c r="C2251" s="2"/>
      <c r="D2251" s="2"/>
      <c r="E2251" s="2" t="str">
        <f aca="false">IF(C2251="","",IF(C2251&gt;D2251,3,IF(C2251=D2251,1,0)))</f>
        <v/>
      </c>
      <c r="F2251" s="2" t="str">
        <f aca="false">IF(C2251="","",IF(C2251&gt;D2251,1,0))</f>
        <v/>
      </c>
      <c r="G2251" s="2" t="str">
        <f aca="false">IF(C2251="","",IF(C2251=D2251,1,0))</f>
        <v/>
      </c>
      <c r="H2251" s="2" t="str">
        <f aca="false">IF(C2251="","",IF(C2251&lt;D2251,1,0))</f>
        <v/>
      </c>
      <c r="I2251" s="2" t="n">
        <f aca="false">IF(D2251=0,1,0)</f>
        <v>1</v>
      </c>
      <c r="J2251" s="2"/>
      <c r="K2251" s="2" t="n">
        <f aca="false">C2251</f>
        <v>0</v>
      </c>
      <c r="L2251" s="2" t="n">
        <f aca="false">D2251</f>
        <v>0</v>
      </c>
      <c r="M2251" s="2" t="str">
        <f aca="false">IF(D2251="","",IF(D2251&gt;C2251,3,IF(D2251=C2251,1,0)))</f>
        <v/>
      </c>
      <c r="N2251" s="2" t="str">
        <f aca="false">IF(D2251="","",IF(D2251&gt;C2251,1,0))</f>
        <v/>
      </c>
      <c r="O2251" s="2" t="str">
        <f aca="false">IF(D2251="","",IF(D2251=C2251,1,0))</f>
        <v/>
      </c>
      <c r="P2251" s="2" t="str">
        <f aca="false">IF(D2251="","",IF(D2251&lt;C2251,1,0))</f>
        <v/>
      </c>
      <c r="Q2251" s="2" t="n">
        <f aca="false">IF(K2251=0,1,0)</f>
        <v>1</v>
      </c>
      <c r="R2251" s="2"/>
      <c r="S2251" s="2" t="n">
        <f aca="false">C2251</f>
        <v>0</v>
      </c>
      <c r="T2251" s="2" t="n">
        <f aca="false">D2251</f>
        <v>0</v>
      </c>
      <c r="U2251" s="3"/>
      <c r="V2251" s="3"/>
      <c r="W2251" s="3"/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/>
      <c r="B2252" s="2"/>
      <c r="C2252" s="2"/>
      <c r="D2252" s="2"/>
      <c r="E2252" s="2" t="str">
        <f aca="false">IF(C2252="","",IF(C2252&gt;D2252,3,IF(C2252=D2252,1,0)))</f>
        <v/>
      </c>
      <c r="F2252" s="2" t="str">
        <f aca="false">IF(C2252="","",IF(C2252&gt;D2252,1,0))</f>
        <v/>
      </c>
      <c r="G2252" s="2" t="str">
        <f aca="false">IF(C2252="","",IF(C2252=D2252,1,0))</f>
        <v/>
      </c>
      <c r="H2252" s="2" t="str">
        <f aca="false">IF(C2252="","",IF(C2252&lt;D2252,1,0))</f>
        <v/>
      </c>
      <c r="I2252" s="2" t="n">
        <f aca="false">IF(D2252=0,1,0)</f>
        <v>1</v>
      </c>
      <c r="J2252" s="2"/>
      <c r="K2252" s="2" t="n">
        <f aca="false">C2252</f>
        <v>0</v>
      </c>
      <c r="L2252" s="2" t="n">
        <f aca="false">D2252</f>
        <v>0</v>
      </c>
      <c r="M2252" s="2" t="str">
        <f aca="false">IF(D2252="","",IF(D2252&gt;C2252,3,IF(D2252=C2252,1,0)))</f>
        <v/>
      </c>
      <c r="N2252" s="2" t="str">
        <f aca="false">IF(D2252="","",IF(D2252&gt;C2252,1,0))</f>
        <v/>
      </c>
      <c r="O2252" s="2" t="str">
        <f aca="false">IF(D2252="","",IF(D2252=C2252,1,0))</f>
        <v/>
      </c>
      <c r="P2252" s="2" t="str">
        <f aca="false">IF(D2252="","",IF(D2252&lt;C2252,1,0))</f>
        <v/>
      </c>
      <c r="Q2252" s="2" t="n">
        <f aca="false">IF(K2252=0,1,0)</f>
        <v>1</v>
      </c>
      <c r="R2252" s="2"/>
      <c r="S2252" s="2" t="n">
        <f aca="false">C2252</f>
        <v>0</v>
      </c>
      <c r="T2252" s="2" t="n">
        <f aca="false">D2252</f>
        <v>0</v>
      </c>
      <c r="U2252" s="3"/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/>
      <c r="B2253" s="2"/>
      <c r="C2253" s="2"/>
      <c r="D2253" s="2"/>
      <c r="E2253" s="2" t="str">
        <f aca="false">IF(C2253="","",IF(C2253&gt;D2253,3,IF(C2253=D2253,1,0)))</f>
        <v/>
      </c>
      <c r="F2253" s="2" t="str">
        <f aca="false">IF(C2253="","",IF(C2253&gt;D2253,1,0))</f>
        <v/>
      </c>
      <c r="G2253" s="2" t="str">
        <f aca="false">IF(C2253="","",IF(C2253=D2253,1,0))</f>
        <v/>
      </c>
      <c r="H2253" s="2" t="str">
        <f aca="false">IF(C2253="","",IF(C2253&lt;D2253,1,0))</f>
        <v/>
      </c>
      <c r="I2253" s="2" t="n">
        <f aca="false">IF(D2253=0,1,0)</f>
        <v>1</v>
      </c>
      <c r="J2253" s="2"/>
      <c r="K2253" s="2" t="n">
        <f aca="false">C2253</f>
        <v>0</v>
      </c>
      <c r="L2253" s="2" t="n">
        <f aca="false">D2253</f>
        <v>0</v>
      </c>
      <c r="M2253" s="2" t="str">
        <f aca="false">IF(D2253="","",IF(D2253&gt;C2253,3,IF(D2253=C2253,1,0)))</f>
        <v/>
      </c>
      <c r="N2253" s="2" t="str">
        <f aca="false">IF(D2253="","",IF(D2253&gt;C2253,1,0))</f>
        <v/>
      </c>
      <c r="O2253" s="2" t="str">
        <f aca="false">IF(D2253="","",IF(D2253=C2253,1,0))</f>
        <v/>
      </c>
      <c r="P2253" s="2" t="str">
        <f aca="false">IF(D2253="","",IF(D2253&lt;C2253,1,0))</f>
        <v/>
      </c>
      <c r="Q2253" s="2" t="n">
        <f aca="false">IF(K2253=0,1,0)</f>
        <v>1</v>
      </c>
      <c r="R2253" s="2"/>
      <c r="S2253" s="2" t="n">
        <f aca="false">C2253</f>
        <v>0</v>
      </c>
      <c r="T2253" s="2" t="n">
        <f aca="false">D2253</f>
        <v>0</v>
      </c>
      <c r="U2253" s="3"/>
      <c r="V2253" s="3"/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/>
      <c r="B2254" s="2"/>
      <c r="C2254" s="2"/>
      <c r="D2254" s="2"/>
      <c r="E2254" s="2" t="str">
        <f aca="false">IF(C2254="","",IF(C2254&gt;D2254,3,IF(C2254=D2254,1,0)))</f>
        <v/>
      </c>
      <c r="F2254" s="2" t="str">
        <f aca="false">IF(C2254="","",IF(C2254&gt;D2254,1,0))</f>
        <v/>
      </c>
      <c r="G2254" s="2" t="str">
        <f aca="false">IF(C2254="","",IF(C2254=D2254,1,0))</f>
        <v/>
      </c>
      <c r="H2254" s="2" t="str">
        <f aca="false">IF(C2254="","",IF(C2254&lt;D2254,1,0))</f>
        <v/>
      </c>
      <c r="I2254" s="2" t="n">
        <f aca="false">IF(D2254=0,1,0)</f>
        <v>1</v>
      </c>
      <c r="J2254" s="2"/>
      <c r="K2254" s="2" t="n">
        <f aca="false">C2254</f>
        <v>0</v>
      </c>
      <c r="L2254" s="2" t="n">
        <f aca="false">D2254</f>
        <v>0</v>
      </c>
      <c r="M2254" s="2" t="str">
        <f aca="false">IF(D2254="","",IF(D2254&gt;C2254,3,IF(D2254=C2254,1,0)))</f>
        <v/>
      </c>
      <c r="N2254" s="2" t="str">
        <f aca="false">IF(D2254="","",IF(D2254&gt;C2254,1,0))</f>
        <v/>
      </c>
      <c r="O2254" s="2" t="str">
        <f aca="false">IF(D2254="","",IF(D2254=C2254,1,0))</f>
        <v/>
      </c>
      <c r="P2254" s="2" t="str">
        <f aca="false">IF(D2254="","",IF(D2254&lt;C2254,1,0))</f>
        <v/>
      </c>
      <c r="Q2254" s="2" t="n">
        <f aca="false">IF(K2254=0,1,0)</f>
        <v>1</v>
      </c>
      <c r="R2254" s="2"/>
      <c r="S2254" s="2" t="n">
        <f aca="false">C2254</f>
        <v>0</v>
      </c>
      <c r="T2254" s="2" t="n">
        <f aca="false">D2254</f>
        <v>0</v>
      </c>
      <c r="U2254" s="3"/>
      <c r="V2254" s="3"/>
      <c r="W2254" s="3"/>
      <c r="X2254" s="3"/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/>
      <c r="B2255" s="2"/>
      <c r="C2255" s="2"/>
      <c r="D2255" s="2"/>
      <c r="E2255" s="2" t="str">
        <f aca="false">IF(C2255="","",IF(C2255&gt;D2255,3,IF(C2255=D2255,1,0)))</f>
        <v/>
      </c>
      <c r="F2255" s="2" t="str">
        <f aca="false">IF(C2255="","",IF(C2255&gt;D2255,1,0))</f>
        <v/>
      </c>
      <c r="G2255" s="2" t="str">
        <f aca="false">IF(C2255="","",IF(C2255=D2255,1,0))</f>
        <v/>
      </c>
      <c r="H2255" s="2" t="str">
        <f aca="false">IF(C2255="","",IF(C2255&lt;D2255,1,0))</f>
        <v/>
      </c>
      <c r="I2255" s="2" t="n">
        <f aca="false">IF(D2255=0,1,0)</f>
        <v>1</v>
      </c>
      <c r="J2255" s="2"/>
      <c r="K2255" s="2" t="n">
        <f aca="false">C2255</f>
        <v>0</v>
      </c>
      <c r="L2255" s="2" t="n">
        <f aca="false">D2255</f>
        <v>0</v>
      </c>
      <c r="M2255" s="2" t="str">
        <f aca="false">IF(D2255="","",IF(D2255&gt;C2255,3,IF(D2255=C2255,1,0)))</f>
        <v/>
      </c>
      <c r="N2255" s="2" t="str">
        <f aca="false">IF(D2255="","",IF(D2255&gt;C2255,1,0))</f>
        <v/>
      </c>
      <c r="O2255" s="2" t="str">
        <f aca="false">IF(D2255="","",IF(D2255=C2255,1,0))</f>
        <v/>
      </c>
      <c r="P2255" s="2" t="str">
        <f aca="false">IF(D2255="","",IF(D2255&lt;C2255,1,0))</f>
        <v/>
      </c>
      <c r="Q2255" s="2" t="n">
        <f aca="false">IF(K2255=0,1,0)</f>
        <v>1</v>
      </c>
      <c r="R2255" s="2"/>
      <c r="S2255" s="2" t="n">
        <f aca="false">C2255</f>
        <v>0</v>
      </c>
      <c r="T2255" s="2" t="n">
        <f aca="false">D2255</f>
        <v>0</v>
      </c>
      <c r="U2255" s="3"/>
      <c r="V2255" s="3"/>
      <c r="W2255" s="3"/>
      <c r="X2255" s="3"/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/>
      <c r="B2256" s="2"/>
      <c r="C2256" s="2"/>
      <c r="D2256" s="2"/>
      <c r="E2256" s="2" t="str">
        <f aca="false">IF(C2256="","",IF(C2256&gt;D2256,3,IF(C2256=D2256,1,0)))</f>
        <v/>
      </c>
      <c r="F2256" s="2" t="str">
        <f aca="false">IF(C2256="","",IF(C2256&gt;D2256,1,0))</f>
        <v/>
      </c>
      <c r="G2256" s="2" t="str">
        <f aca="false">IF(C2256="","",IF(C2256=D2256,1,0))</f>
        <v/>
      </c>
      <c r="H2256" s="2" t="str">
        <f aca="false">IF(C2256="","",IF(C2256&lt;D2256,1,0))</f>
        <v/>
      </c>
      <c r="I2256" s="2" t="n">
        <f aca="false">IF(D2256=0,1,0)</f>
        <v>1</v>
      </c>
      <c r="J2256" s="2"/>
      <c r="K2256" s="2" t="n">
        <f aca="false">C2256</f>
        <v>0</v>
      </c>
      <c r="L2256" s="2" t="n">
        <f aca="false">D2256</f>
        <v>0</v>
      </c>
      <c r="M2256" s="2" t="str">
        <f aca="false">IF(D2256="","",IF(D2256&gt;C2256,3,IF(D2256=C2256,1,0)))</f>
        <v/>
      </c>
      <c r="N2256" s="2" t="str">
        <f aca="false">IF(D2256="","",IF(D2256&gt;C2256,1,0))</f>
        <v/>
      </c>
      <c r="O2256" s="2" t="str">
        <f aca="false">IF(D2256="","",IF(D2256=C2256,1,0))</f>
        <v/>
      </c>
      <c r="P2256" s="2" t="str">
        <f aca="false">IF(D2256="","",IF(D2256&lt;C2256,1,0))</f>
        <v/>
      </c>
      <c r="Q2256" s="2" t="n">
        <f aca="false">IF(K2256=0,1,0)</f>
        <v>1</v>
      </c>
      <c r="R2256" s="2"/>
      <c r="S2256" s="2" t="n">
        <f aca="false">C2256</f>
        <v>0</v>
      </c>
      <c r="T2256" s="2" t="n">
        <f aca="false">D2256</f>
        <v>0</v>
      </c>
      <c r="U2256" s="3"/>
      <c r="V2256" s="3"/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/>
      <c r="B2257" s="2"/>
      <c r="C2257" s="2"/>
      <c r="D2257" s="2"/>
      <c r="E2257" s="2" t="str">
        <f aca="false">IF(C2257="","",IF(C2257&gt;D2257,3,IF(C2257=D2257,1,0)))</f>
        <v/>
      </c>
      <c r="F2257" s="2" t="str">
        <f aca="false">IF(C2257="","",IF(C2257&gt;D2257,1,0))</f>
        <v/>
      </c>
      <c r="G2257" s="2" t="str">
        <f aca="false">IF(C2257="","",IF(C2257=D2257,1,0))</f>
        <v/>
      </c>
      <c r="H2257" s="2" t="str">
        <f aca="false">IF(C2257="","",IF(C2257&lt;D2257,1,0))</f>
        <v/>
      </c>
      <c r="I2257" s="2" t="n">
        <f aca="false">IF(D2257=0,1,0)</f>
        <v>1</v>
      </c>
      <c r="J2257" s="2"/>
      <c r="K2257" s="2" t="n">
        <f aca="false">C2257</f>
        <v>0</v>
      </c>
      <c r="L2257" s="2" t="n">
        <f aca="false">D2257</f>
        <v>0</v>
      </c>
      <c r="M2257" s="2" t="str">
        <f aca="false">IF(D2257="","",IF(D2257&gt;C2257,3,IF(D2257=C2257,1,0)))</f>
        <v/>
      </c>
      <c r="N2257" s="2" t="str">
        <f aca="false">IF(D2257="","",IF(D2257&gt;C2257,1,0))</f>
        <v/>
      </c>
      <c r="O2257" s="2" t="str">
        <f aca="false">IF(D2257="","",IF(D2257=C2257,1,0))</f>
        <v/>
      </c>
      <c r="P2257" s="2" t="str">
        <f aca="false">IF(D2257="","",IF(D2257&lt;C2257,1,0))</f>
        <v/>
      </c>
      <c r="Q2257" s="2" t="n">
        <f aca="false">IF(K2257=0,1,0)</f>
        <v>1</v>
      </c>
      <c r="R2257" s="2"/>
      <c r="S2257" s="2" t="n">
        <f aca="false">C2257</f>
        <v>0</v>
      </c>
      <c r="T2257" s="2" t="n">
        <f aca="false">D2257</f>
        <v>0</v>
      </c>
      <c r="U2257" s="3"/>
      <c r="V2257" s="3"/>
      <c r="W2257" s="3"/>
      <c r="X2257" s="3"/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/>
      <c r="B2258" s="2"/>
      <c r="C2258" s="2"/>
      <c r="D2258" s="2"/>
      <c r="E2258" s="2" t="str">
        <f aca="false">IF(C2258="","",IF(C2258&gt;D2258,3,IF(C2258=D2258,1,0)))</f>
        <v/>
      </c>
      <c r="F2258" s="2" t="str">
        <f aca="false">IF(C2258="","",IF(C2258&gt;D2258,1,0))</f>
        <v/>
      </c>
      <c r="G2258" s="2" t="str">
        <f aca="false">IF(C2258="","",IF(C2258=D2258,1,0))</f>
        <v/>
      </c>
      <c r="H2258" s="2" t="str">
        <f aca="false">IF(C2258="","",IF(C2258&lt;D2258,1,0))</f>
        <v/>
      </c>
      <c r="I2258" s="2" t="n">
        <f aca="false">IF(D2258=0,1,0)</f>
        <v>1</v>
      </c>
      <c r="J2258" s="2"/>
      <c r="K2258" s="2" t="n">
        <f aca="false">C2258</f>
        <v>0</v>
      </c>
      <c r="L2258" s="2" t="n">
        <f aca="false">D2258</f>
        <v>0</v>
      </c>
      <c r="M2258" s="2" t="str">
        <f aca="false">IF(D2258="","",IF(D2258&gt;C2258,3,IF(D2258=C2258,1,0)))</f>
        <v/>
      </c>
      <c r="N2258" s="2" t="str">
        <f aca="false">IF(D2258="","",IF(D2258&gt;C2258,1,0))</f>
        <v/>
      </c>
      <c r="O2258" s="2" t="str">
        <f aca="false">IF(D2258="","",IF(D2258=C2258,1,0))</f>
        <v/>
      </c>
      <c r="P2258" s="2" t="str">
        <f aca="false">IF(D2258="","",IF(D2258&lt;C2258,1,0))</f>
        <v/>
      </c>
      <c r="Q2258" s="2" t="n">
        <f aca="false">IF(K2258=0,1,0)</f>
        <v>1</v>
      </c>
      <c r="R2258" s="2"/>
      <c r="S2258" s="2" t="n">
        <f aca="false">C2258</f>
        <v>0</v>
      </c>
      <c r="T2258" s="2" t="n">
        <f aca="false">D2258</f>
        <v>0</v>
      </c>
      <c r="U2258" s="3"/>
      <c r="V2258" s="3"/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/>
      <c r="B2259" s="2"/>
      <c r="C2259" s="2"/>
      <c r="D2259" s="2"/>
      <c r="E2259" s="2" t="str">
        <f aca="false">IF(C2259="","",IF(C2259&gt;D2259,3,IF(C2259=D2259,1,0)))</f>
        <v/>
      </c>
      <c r="F2259" s="2" t="str">
        <f aca="false">IF(C2259="","",IF(C2259&gt;D2259,1,0))</f>
        <v/>
      </c>
      <c r="G2259" s="2" t="str">
        <f aca="false">IF(C2259="","",IF(C2259=D2259,1,0))</f>
        <v/>
      </c>
      <c r="H2259" s="2" t="str">
        <f aca="false">IF(C2259="","",IF(C2259&lt;D2259,1,0))</f>
        <v/>
      </c>
      <c r="I2259" s="2" t="n">
        <f aca="false">IF(D2259=0,1,0)</f>
        <v>1</v>
      </c>
      <c r="J2259" s="2"/>
      <c r="K2259" s="2" t="n">
        <f aca="false">C2259</f>
        <v>0</v>
      </c>
      <c r="L2259" s="2" t="n">
        <f aca="false">D2259</f>
        <v>0</v>
      </c>
      <c r="M2259" s="2" t="str">
        <f aca="false">IF(D2259="","",IF(D2259&gt;C2259,3,IF(D2259=C2259,1,0)))</f>
        <v/>
      </c>
      <c r="N2259" s="2" t="str">
        <f aca="false">IF(D2259="","",IF(D2259&gt;C2259,1,0))</f>
        <v/>
      </c>
      <c r="O2259" s="2" t="str">
        <f aca="false">IF(D2259="","",IF(D2259=C2259,1,0))</f>
        <v/>
      </c>
      <c r="P2259" s="2" t="str">
        <f aca="false">IF(D2259="","",IF(D2259&lt;C2259,1,0))</f>
        <v/>
      </c>
      <c r="Q2259" s="2" t="n">
        <f aca="false">IF(K2259=0,1,0)</f>
        <v>1</v>
      </c>
      <c r="R2259" s="2"/>
      <c r="S2259" s="2" t="n">
        <f aca="false">C2259</f>
        <v>0</v>
      </c>
      <c r="T2259" s="2" t="n">
        <f aca="false">D2259</f>
        <v>0</v>
      </c>
      <c r="U2259" s="3"/>
      <c r="V2259" s="3"/>
      <c r="W2259" s="3"/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/>
      <c r="B2260" s="2"/>
      <c r="C2260" s="2"/>
      <c r="D2260" s="2"/>
      <c r="E2260" s="2" t="str">
        <f aca="false">IF(C2260="","",IF(C2260&gt;D2260,3,IF(C2260=D2260,1,0)))</f>
        <v/>
      </c>
      <c r="F2260" s="2" t="str">
        <f aca="false">IF(C2260="","",IF(C2260&gt;D2260,1,0))</f>
        <v/>
      </c>
      <c r="G2260" s="2" t="str">
        <f aca="false">IF(C2260="","",IF(C2260=D2260,1,0))</f>
        <v/>
      </c>
      <c r="H2260" s="2" t="str">
        <f aca="false">IF(C2260="","",IF(C2260&lt;D2260,1,0))</f>
        <v/>
      </c>
      <c r="I2260" s="2" t="n">
        <f aca="false">IF(D2260=0,1,0)</f>
        <v>1</v>
      </c>
      <c r="J2260" s="2"/>
      <c r="K2260" s="2" t="n">
        <f aca="false">C2260</f>
        <v>0</v>
      </c>
      <c r="L2260" s="2" t="n">
        <f aca="false">D2260</f>
        <v>0</v>
      </c>
      <c r="M2260" s="2" t="str">
        <f aca="false">IF(D2260="","",IF(D2260&gt;C2260,3,IF(D2260=C2260,1,0)))</f>
        <v/>
      </c>
      <c r="N2260" s="2" t="str">
        <f aca="false">IF(D2260="","",IF(D2260&gt;C2260,1,0))</f>
        <v/>
      </c>
      <c r="O2260" s="2" t="str">
        <f aca="false">IF(D2260="","",IF(D2260=C2260,1,0))</f>
        <v/>
      </c>
      <c r="P2260" s="2" t="str">
        <f aca="false">IF(D2260="","",IF(D2260&lt;C2260,1,0))</f>
        <v/>
      </c>
      <c r="Q2260" s="2" t="n">
        <f aca="false">IF(K2260=0,1,0)</f>
        <v>1</v>
      </c>
      <c r="R2260" s="2"/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/>
      <c r="B2261" s="2"/>
      <c r="C2261" s="2"/>
      <c r="D2261" s="2"/>
      <c r="E2261" s="2" t="str">
        <f aca="false">IF(C2261="","",IF(C2261&gt;D2261,3,IF(C2261=D2261,1,0)))</f>
        <v/>
      </c>
      <c r="F2261" s="2" t="str">
        <f aca="false">IF(C2261="","",IF(C2261&gt;D2261,1,0))</f>
        <v/>
      </c>
      <c r="G2261" s="2" t="str">
        <f aca="false">IF(C2261="","",IF(C2261=D2261,1,0))</f>
        <v/>
      </c>
      <c r="H2261" s="2" t="str">
        <f aca="false">IF(C2261="","",IF(C2261&lt;D2261,1,0))</f>
        <v/>
      </c>
      <c r="I2261" s="2" t="n">
        <f aca="false">IF(D2261=0,1,0)</f>
        <v>1</v>
      </c>
      <c r="J2261" s="2"/>
      <c r="K2261" s="2" t="n">
        <f aca="false">C2261</f>
        <v>0</v>
      </c>
      <c r="L2261" s="2" t="n">
        <f aca="false">D2261</f>
        <v>0</v>
      </c>
      <c r="M2261" s="2" t="str">
        <f aca="false">IF(D2261="","",IF(D2261&gt;C2261,3,IF(D2261=C2261,1,0)))</f>
        <v/>
      </c>
      <c r="N2261" s="2" t="str">
        <f aca="false">IF(D2261="","",IF(D2261&gt;C2261,1,0))</f>
        <v/>
      </c>
      <c r="O2261" s="2" t="str">
        <f aca="false">IF(D2261="","",IF(D2261=C2261,1,0))</f>
        <v/>
      </c>
      <c r="P2261" s="2" t="str">
        <f aca="false">IF(D2261="","",IF(D2261&lt;C2261,1,0))</f>
        <v/>
      </c>
      <c r="Q2261" s="2" t="n">
        <f aca="false">IF(K2261=0,1,0)</f>
        <v>1</v>
      </c>
      <c r="R2261" s="2"/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/>
      <c r="B2262" s="2"/>
      <c r="C2262" s="2"/>
      <c r="D2262" s="2"/>
      <c r="E2262" s="2" t="str">
        <f aca="false">IF(C2262="","",IF(C2262&gt;D2262,3,IF(C2262=D2262,1,0)))</f>
        <v/>
      </c>
      <c r="F2262" s="2" t="str">
        <f aca="false">IF(C2262="","",IF(C2262&gt;D2262,1,0))</f>
        <v/>
      </c>
      <c r="G2262" s="2" t="str">
        <f aca="false">IF(C2262="","",IF(C2262=D2262,1,0))</f>
        <v/>
      </c>
      <c r="H2262" s="2" t="str">
        <f aca="false">IF(C2262="","",IF(C2262&lt;D2262,1,0))</f>
        <v/>
      </c>
      <c r="I2262" s="2" t="n">
        <f aca="false">IF(D2262=0,1,0)</f>
        <v>1</v>
      </c>
      <c r="J2262" s="2"/>
      <c r="K2262" s="2" t="n">
        <f aca="false">C2262</f>
        <v>0</v>
      </c>
      <c r="L2262" s="2" t="n">
        <f aca="false">D2262</f>
        <v>0</v>
      </c>
      <c r="M2262" s="2" t="str">
        <f aca="false">IF(D2262="","",IF(D2262&gt;C2262,3,IF(D2262=C2262,1,0)))</f>
        <v/>
      </c>
      <c r="N2262" s="2" t="str">
        <f aca="false">IF(D2262="","",IF(D2262&gt;C2262,1,0))</f>
        <v/>
      </c>
      <c r="O2262" s="2" t="str">
        <f aca="false">IF(D2262="","",IF(D2262=C2262,1,0))</f>
        <v/>
      </c>
      <c r="P2262" s="2" t="str">
        <f aca="false">IF(D2262="","",IF(D2262&lt;C2262,1,0))</f>
        <v/>
      </c>
      <c r="Q2262" s="2" t="n">
        <f aca="false">IF(K2262=0,1,0)</f>
        <v>1</v>
      </c>
      <c r="R2262" s="2"/>
      <c r="S2262" s="2" t="n">
        <f aca="false">C2262</f>
        <v>0</v>
      </c>
      <c r="T2262" s="2" t="n">
        <f aca="false">D2262</f>
        <v>0</v>
      </c>
      <c r="U2262" s="3"/>
      <c r="V2262" s="3"/>
      <c r="W2262" s="3"/>
      <c r="X2262" s="3"/>
      <c r="Y2262" s="3"/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/>
      <c r="B2263" s="2"/>
      <c r="C2263" s="2"/>
      <c r="D2263" s="2"/>
      <c r="E2263" s="2" t="str">
        <f aca="false">IF(C2263="","",IF(C2263&gt;D2263,3,IF(C2263=D2263,1,0)))</f>
        <v/>
      </c>
      <c r="F2263" s="2" t="str">
        <f aca="false">IF(C2263="","",IF(C2263&gt;D2263,1,0))</f>
        <v/>
      </c>
      <c r="G2263" s="2" t="str">
        <f aca="false">IF(C2263="","",IF(C2263=D2263,1,0))</f>
        <v/>
      </c>
      <c r="H2263" s="2" t="str">
        <f aca="false">IF(C2263="","",IF(C2263&lt;D2263,1,0))</f>
        <v/>
      </c>
      <c r="I2263" s="2" t="n">
        <f aca="false">IF(D2263=0,1,0)</f>
        <v>1</v>
      </c>
      <c r="J2263" s="2"/>
      <c r="K2263" s="2" t="n">
        <f aca="false">C2263</f>
        <v>0</v>
      </c>
      <c r="L2263" s="2" t="n">
        <f aca="false">D2263</f>
        <v>0</v>
      </c>
      <c r="M2263" s="2" t="str">
        <f aca="false">IF(D2263="","",IF(D2263&gt;C2263,3,IF(D2263=C2263,1,0)))</f>
        <v/>
      </c>
      <c r="N2263" s="2" t="str">
        <f aca="false">IF(D2263="","",IF(D2263&gt;C2263,1,0))</f>
        <v/>
      </c>
      <c r="O2263" s="2" t="str">
        <f aca="false">IF(D2263="","",IF(D2263=C2263,1,0))</f>
        <v/>
      </c>
      <c r="P2263" s="2" t="str">
        <f aca="false">IF(D2263="","",IF(D2263&lt;C2263,1,0))</f>
        <v/>
      </c>
      <c r="Q2263" s="2" t="n">
        <f aca="false">IF(K2263=0,1,0)</f>
        <v>1</v>
      </c>
      <c r="R2263" s="2"/>
      <c r="S2263" s="2" t="n">
        <f aca="false">C2263</f>
        <v>0</v>
      </c>
      <c r="T2263" s="2" t="n">
        <f aca="false">D2263</f>
        <v>0</v>
      </c>
      <c r="U2263" s="3"/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/>
      <c r="B2264" s="2"/>
      <c r="C2264" s="2"/>
      <c r="D2264" s="2"/>
      <c r="E2264" s="2" t="str">
        <f aca="false">IF(C2264="","",IF(C2264&gt;D2264,3,IF(C2264=D2264,1,0)))</f>
        <v/>
      </c>
      <c r="F2264" s="2" t="str">
        <f aca="false">IF(C2264="","",IF(C2264&gt;D2264,1,0))</f>
        <v/>
      </c>
      <c r="G2264" s="2" t="str">
        <f aca="false">IF(C2264="","",IF(C2264=D2264,1,0))</f>
        <v/>
      </c>
      <c r="H2264" s="2" t="str">
        <f aca="false">IF(C2264="","",IF(C2264&lt;D2264,1,0))</f>
        <v/>
      </c>
      <c r="I2264" s="2" t="n">
        <f aca="false">IF(D2264=0,1,0)</f>
        <v>1</v>
      </c>
      <c r="J2264" s="2"/>
      <c r="K2264" s="2" t="n">
        <f aca="false">C2264</f>
        <v>0</v>
      </c>
      <c r="L2264" s="2" t="n">
        <f aca="false">D2264</f>
        <v>0</v>
      </c>
      <c r="M2264" s="2" t="str">
        <f aca="false">IF(D2264="","",IF(D2264&gt;C2264,3,IF(D2264=C2264,1,0)))</f>
        <v/>
      </c>
      <c r="N2264" s="2" t="str">
        <f aca="false">IF(D2264="","",IF(D2264&gt;C2264,1,0))</f>
        <v/>
      </c>
      <c r="O2264" s="2" t="str">
        <f aca="false">IF(D2264="","",IF(D2264=C2264,1,0))</f>
        <v/>
      </c>
      <c r="P2264" s="2" t="str">
        <f aca="false">IF(D2264="","",IF(D2264&lt;C2264,1,0))</f>
        <v/>
      </c>
      <c r="Q2264" s="2" t="n">
        <f aca="false">IF(K2264=0,1,0)</f>
        <v>1</v>
      </c>
      <c r="R2264" s="2"/>
      <c r="S2264" s="2" t="n">
        <f aca="false">C2264</f>
        <v>0</v>
      </c>
      <c r="T2264" s="2" t="n">
        <f aca="false">D2264</f>
        <v>0</v>
      </c>
      <c r="U2264" s="3"/>
      <c r="V2264" s="3"/>
      <c r="W2264" s="3"/>
      <c r="X2264" s="3"/>
      <c r="Y2264" s="3"/>
      <c r="Z2264" s="3"/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/>
      <c r="B2265" s="2"/>
      <c r="C2265" s="2"/>
      <c r="D2265" s="2"/>
      <c r="E2265" s="2" t="str">
        <f aca="false">IF(C2265="","",IF(C2265&gt;D2265,3,IF(C2265=D2265,1,0)))</f>
        <v/>
      </c>
      <c r="F2265" s="2" t="str">
        <f aca="false">IF(C2265="","",IF(C2265&gt;D2265,1,0))</f>
        <v/>
      </c>
      <c r="G2265" s="2" t="str">
        <f aca="false">IF(C2265="","",IF(C2265=D2265,1,0))</f>
        <v/>
      </c>
      <c r="H2265" s="2" t="str">
        <f aca="false">IF(C2265="","",IF(C2265&lt;D2265,1,0))</f>
        <v/>
      </c>
      <c r="I2265" s="2" t="n">
        <f aca="false">IF(D2265=0,1,0)</f>
        <v>1</v>
      </c>
      <c r="J2265" s="2"/>
      <c r="K2265" s="2" t="n">
        <f aca="false">C2265</f>
        <v>0</v>
      </c>
      <c r="L2265" s="2" t="n">
        <f aca="false">D2265</f>
        <v>0</v>
      </c>
      <c r="M2265" s="2" t="str">
        <f aca="false">IF(D2265="","",IF(D2265&gt;C2265,3,IF(D2265=C2265,1,0)))</f>
        <v/>
      </c>
      <c r="N2265" s="2" t="str">
        <f aca="false">IF(D2265="","",IF(D2265&gt;C2265,1,0))</f>
        <v/>
      </c>
      <c r="O2265" s="2" t="str">
        <f aca="false">IF(D2265="","",IF(D2265=C2265,1,0))</f>
        <v/>
      </c>
      <c r="P2265" s="2" t="str">
        <f aca="false">IF(D2265="","",IF(D2265&lt;C2265,1,0))</f>
        <v/>
      </c>
      <c r="Q2265" s="2" t="n">
        <f aca="false">IF(K2265=0,1,0)</f>
        <v>1</v>
      </c>
      <c r="R2265" s="2"/>
      <c r="S2265" s="2" t="n">
        <f aca="false">C2265</f>
        <v>0</v>
      </c>
      <c r="T2265" s="2" t="n">
        <f aca="false">D2265</f>
        <v>0</v>
      </c>
      <c r="U2265" s="3"/>
      <c r="V2265" s="3"/>
      <c r="W2265" s="3"/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/>
      <c r="B2266" s="2"/>
      <c r="C2266" s="2"/>
      <c r="D2266" s="2"/>
      <c r="E2266" s="2" t="str">
        <f aca="false">IF(C2266="","",IF(C2266&gt;D2266,3,IF(C2266=D2266,1,0)))</f>
        <v/>
      </c>
      <c r="F2266" s="2" t="str">
        <f aca="false">IF(C2266="","",IF(C2266&gt;D2266,1,0))</f>
        <v/>
      </c>
      <c r="G2266" s="2" t="str">
        <f aca="false">IF(C2266="","",IF(C2266=D2266,1,0))</f>
        <v/>
      </c>
      <c r="H2266" s="2" t="str">
        <f aca="false">IF(C2266="","",IF(C2266&lt;D2266,1,0))</f>
        <v/>
      </c>
      <c r="I2266" s="2" t="n">
        <f aca="false">IF(D2266=0,1,0)</f>
        <v>1</v>
      </c>
      <c r="J2266" s="2"/>
      <c r="K2266" s="2" t="n">
        <f aca="false">C2266</f>
        <v>0</v>
      </c>
      <c r="L2266" s="2" t="n">
        <f aca="false">D2266</f>
        <v>0</v>
      </c>
      <c r="M2266" s="2" t="str">
        <f aca="false">IF(D2266="","",IF(D2266&gt;C2266,3,IF(D2266=C2266,1,0)))</f>
        <v/>
      </c>
      <c r="N2266" s="2" t="str">
        <f aca="false">IF(D2266="","",IF(D2266&gt;C2266,1,0))</f>
        <v/>
      </c>
      <c r="O2266" s="2" t="str">
        <f aca="false">IF(D2266="","",IF(D2266=C2266,1,0))</f>
        <v/>
      </c>
      <c r="P2266" s="2" t="str">
        <f aca="false">IF(D2266="","",IF(D2266&lt;C2266,1,0))</f>
        <v/>
      </c>
      <c r="Q2266" s="2" t="n">
        <f aca="false">IF(K2266=0,1,0)</f>
        <v>1</v>
      </c>
      <c r="R2266" s="2"/>
      <c r="S2266" s="2" t="n">
        <f aca="false">C2266</f>
        <v>0</v>
      </c>
      <c r="T2266" s="2" t="n">
        <f aca="false">D2266</f>
        <v>0</v>
      </c>
      <c r="U2266" s="3"/>
      <c r="V2266" s="3"/>
      <c r="W2266" s="3"/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/>
      <c r="B2267" s="2"/>
      <c r="C2267" s="2"/>
      <c r="D2267" s="2"/>
      <c r="E2267" s="2" t="str">
        <f aca="false">IF(C2267="","",IF(C2267&gt;D2267,3,IF(C2267=D2267,1,0)))</f>
        <v/>
      </c>
      <c r="F2267" s="2" t="str">
        <f aca="false">IF(C2267="","",IF(C2267&gt;D2267,1,0))</f>
        <v/>
      </c>
      <c r="G2267" s="2" t="str">
        <f aca="false">IF(C2267="","",IF(C2267=D2267,1,0))</f>
        <v/>
      </c>
      <c r="H2267" s="2" t="str">
        <f aca="false">IF(C2267="","",IF(C2267&lt;D2267,1,0))</f>
        <v/>
      </c>
      <c r="I2267" s="2" t="n">
        <f aca="false">IF(D2267=0,1,0)</f>
        <v>1</v>
      </c>
      <c r="J2267" s="2"/>
      <c r="K2267" s="2" t="n">
        <f aca="false">C2267</f>
        <v>0</v>
      </c>
      <c r="L2267" s="2" t="n">
        <f aca="false">D2267</f>
        <v>0</v>
      </c>
      <c r="M2267" s="2" t="str">
        <f aca="false">IF(D2267="","",IF(D2267&gt;C2267,3,IF(D2267=C2267,1,0)))</f>
        <v/>
      </c>
      <c r="N2267" s="2" t="str">
        <f aca="false">IF(D2267="","",IF(D2267&gt;C2267,1,0))</f>
        <v/>
      </c>
      <c r="O2267" s="2" t="str">
        <f aca="false">IF(D2267="","",IF(D2267=C2267,1,0))</f>
        <v/>
      </c>
      <c r="P2267" s="2" t="str">
        <f aca="false">IF(D2267="","",IF(D2267&lt;C2267,1,0))</f>
        <v/>
      </c>
      <c r="Q2267" s="2" t="n">
        <f aca="false">IF(K2267=0,1,0)</f>
        <v>1</v>
      </c>
      <c r="R2267" s="2"/>
      <c r="S2267" s="2" t="n">
        <f aca="false">C2267</f>
        <v>0</v>
      </c>
      <c r="T2267" s="2" t="n">
        <f aca="false">D2267</f>
        <v>0</v>
      </c>
      <c r="U2267" s="3"/>
      <c r="V2267" s="3"/>
      <c r="W2267" s="3"/>
      <c r="X2267" s="3"/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/>
      <c r="B2268" s="2"/>
      <c r="C2268" s="2"/>
      <c r="D2268" s="2"/>
      <c r="E2268" s="2" t="str">
        <f aca="false">IF(C2268="","",IF(C2268&gt;D2268,3,IF(C2268=D2268,1,0)))</f>
        <v/>
      </c>
      <c r="F2268" s="2" t="str">
        <f aca="false">IF(C2268="","",IF(C2268&gt;D2268,1,0))</f>
        <v/>
      </c>
      <c r="G2268" s="2" t="str">
        <f aca="false">IF(C2268="","",IF(C2268=D2268,1,0))</f>
        <v/>
      </c>
      <c r="H2268" s="2" t="str">
        <f aca="false">IF(C2268="","",IF(C2268&lt;D2268,1,0))</f>
        <v/>
      </c>
      <c r="I2268" s="2" t="n">
        <f aca="false">IF(D2268=0,1,0)</f>
        <v>1</v>
      </c>
      <c r="J2268" s="2"/>
      <c r="K2268" s="2" t="n">
        <f aca="false">C2268</f>
        <v>0</v>
      </c>
      <c r="L2268" s="2" t="n">
        <f aca="false">D2268</f>
        <v>0</v>
      </c>
      <c r="M2268" s="2" t="str">
        <f aca="false">IF(D2268="","",IF(D2268&gt;C2268,3,IF(D2268=C2268,1,0)))</f>
        <v/>
      </c>
      <c r="N2268" s="2" t="str">
        <f aca="false">IF(D2268="","",IF(D2268&gt;C2268,1,0))</f>
        <v/>
      </c>
      <c r="O2268" s="2" t="str">
        <f aca="false">IF(D2268="","",IF(D2268=C2268,1,0))</f>
        <v/>
      </c>
      <c r="P2268" s="2" t="str">
        <f aca="false">IF(D2268="","",IF(D2268&lt;C2268,1,0))</f>
        <v/>
      </c>
      <c r="Q2268" s="2" t="n">
        <f aca="false">IF(K2268=0,1,0)</f>
        <v>1</v>
      </c>
      <c r="R2268" s="2"/>
      <c r="S2268" s="2" t="n">
        <f aca="false">C2268</f>
        <v>0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/>
      <c r="B2269" s="2"/>
      <c r="C2269" s="2"/>
      <c r="D2269" s="2"/>
      <c r="E2269" s="2" t="str">
        <f aca="false">IF(C2269="","",IF(C2269&gt;D2269,3,IF(C2269=D2269,1,0)))</f>
        <v/>
      </c>
      <c r="F2269" s="2" t="str">
        <f aca="false">IF(C2269="","",IF(C2269&gt;D2269,1,0))</f>
        <v/>
      </c>
      <c r="G2269" s="2" t="str">
        <f aca="false">IF(C2269="","",IF(C2269=D2269,1,0))</f>
        <v/>
      </c>
      <c r="H2269" s="2" t="str">
        <f aca="false">IF(C2269="","",IF(C2269&lt;D2269,1,0))</f>
        <v/>
      </c>
      <c r="I2269" s="2" t="n">
        <f aca="false">IF(D2269=0,1,0)</f>
        <v>1</v>
      </c>
      <c r="J2269" s="2"/>
      <c r="K2269" s="2" t="n">
        <f aca="false">C2269</f>
        <v>0</v>
      </c>
      <c r="L2269" s="2" t="n">
        <f aca="false">D2269</f>
        <v>0</v>
      </c>
      <c r="M2269" s="2" t="str">
        <f aca="false">IF(D2269="","",IF(D2269&gt;C2269,3,IF(D2269=C2269,1,0)))</f>
        <v/>
      </c>
      <c r="N2269" s="2" t="str">
        <f aca="false">IF(D2269="","",IF(D2269&gt;C2269,1,0))</f>
        <v/>
      </c>
      <c r="O2269" s="2" t="str">
        <f aca="false">IF(D2269="","",IF(D2269=C2269,1,0))</f>
        <v/>
      </c>
      <c r="P2269" s="2" t="str">
        <f aca="false">IF(D2269="","",IF(D2269&lt;C2269,1,0))</f>
        <v/>
      </c>
      <c r="Q2269" s="2" t="n">
        <f aca="false">IF(K2269=0,1,0)</f>
        <v>1</v>
      </c>
      <c r="R2269" s="2"/>
      <c r="S2269" s="2" t="n">
        <f aca="false">C2269</f>
        <v>0</v>
      </c>
      <c r="T2269" s="2" t="n">
        <f aca="false">D2269</f>
        <v>0</v>
      </c>
      <c r="U2269" s="3"/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/>
      <c r="B2270" s="2"/>
      <c r="C2270" s="2"/>
      <c r="D2270" s="2"/>
      <c r="E2270" s="2" t="str">
        <f aca="false">IF(C2270="","",IF(C2270&gt;D2270,3,IF(C2270=D2270,1,0)))</f>
        <v/>
      </c>
      <c r="F2270" s="2" t="str">
        <f aca="false">IF(C2270="","",IF(C2270&gt;D2270,1,0))</f>
        <v/>
      </c>
      <c r="G2270" s="2" t="str">
        <f aca="false">IF(C2270="","",IF(C2270=D2270,1,0))</f>
        <v/>
      </c>
      <c r="H2270" s="2" t="str">
        <f aca="false">IF(C2270="","",IF(C2270&lt;D2270,1,0))</f>
        <v/>
      </c>
      <c r="I2270" s="2" t="n">
        <f aca="false">IF(D2270=0,1,0)</f>
        <v>1</v>
      </c>
      <c r="J2270" s="2"/>
      <c r="K2270" s="2" t="n">
        <f aca="false">C2270</f>
        <v>0</v>
      </c>
      <c r="L2270" s="2" t="n">
        <f aca="false">D2270</f>
        <v>0</v>
      </c>
      <c r="M2270" s="2" t="str">
        <f aca="false">IF(D2270="","",IF(D2270&gt;C2270,3,IF(D2270=C2270,1,0)))</f>
        <v/>
      </c>
      <c r="N2270" s="2" t="str">
        <f aca="false">IF(D2270="","",IF(D2270&gt;C2270,1,0))</f>
        <v/>
      </c>
      <c r="O2270" s="2" t="str">
        <f aca="false">IF(D2270="","",IF(D2270=C2270,1,0))</f>
        <v/>
      </c>
      <c r="P2270" s="2" t="str">
        <f aca="false">IF(D2270="","",IF(D2270&lt;C2270,1,0))</f>
        <v/>
      </c>
      <c r="Q2270" s="2" t="n">
        <f aca="false">IF(K2270=0,1,0)</f>
        <v>1</v>
      </c>
      <c r="R2270" s="2"/>
      <c r="S2270" s="2" t="n">
        <f aca="false">C2270</f>
        <v>0</v>
      </c>
      <c r="T2270" s="2" t="n">
        <f aca="false">D2270</f>
        <v>0</v>
      </c>
      <c r="U2270" s="3"/>
      <c r="V2270" s="3"/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/>
      <c r="B2271" s="2"/>
      <c r="C2271" s="2"/>
      <c r="D2271" s="2"/>
      <c r="E2271" s="2" t="str">
        <f aca="false">IF(C2271="","",IF(C2271&gt;D2271,3,IF(C2271=D2271,1,0)))</f>
        <v/>
      </c>
      <c r="F2271" s="2" t="str">
        <f aca="false">IF(C2271="","",IF(C2271&gt;D2271,1,0))</f>
        <v/>
      </c>
      <c r="G2271" s="2" t="str">
        <f aca="false">IF(C2271="","",IF(C2271=D2271,1,0))</f>
        <v/>
      </c>
      <c r="H2271" s="2" t="str">
        <f aca="false">IF(C2271="","",IF(C2271&lt;D2271,1,0))</f>
        <v/>
      </c>
      <c r="I2271" s="2" t="n">
        <f aca="false">IF(D2271=0,1,0)</f>
        <v>1</v>
      </c>
      <c r="J2271" s="2"/>
      <c r="K2271" s="2" t="n">
        <f aca="false">C2271</f>
        <v>0</v>
      </c>
      <c r="L2271" s="2" t="n">
        <f aca="false">D2271</f>
        <v>0</v>
      </c>
      <c r="M2271" s="2" t="str">
        <f aca="false">IF(D2271="","",IF(D2271&gt;C2271,3,IF(D2271=C2271,1,0)))</f>
        <v/>
      </c>
      <c r="N2271" s="2" t="str">
        <f aca="false">IF(D2271="","",IF(D2271&gt;C2271,1,0))</f>
        <v/>
      </c>
      <c r="O2271" s="2" t="str">
        <f aca="false">IF(D2271="","",IF(D2271=C2271,1,0))</f>
        <v/>
      </c>
      <c r="P2271" s="2" t="str">
        <f aca="false">IF(D2271="","",IF(D2271&lt;C2271,1,0))</f>
        <v/>
      </c>
      <c r="Q2271" s="2" t="n">
        <f aca="false">IF(K2271=0,1,0)</f>
        <v>1</v>
      </c>
      <c r="R2271" s="2"/>
      <c r="S2271" s="2" t="n">
        <f aca="false">C2271</f>
        <v>0</v>
      </c>
      <c r="T2271" s="2" t="n">
        <f aca="false">D2271</f>
        <v>0</v>
      </c>
      <c r="U2271" s="3"/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/>
      <c r="B2272" s="2"/>
      <c r="C2272" s="2"/>
      <c r="D2272" s="2"/>
      <c r="E2272" s="2" t="str">
        <f aca="false">IF(C2272="","",IF(C2272&gt;D2272,3,IF(C2272=D2272,1,0)))</f>
        <v/>
      </c>
      <c r="F2272" s="2" t="str">
        <f aca="false">IF(C2272="","",IF(C2272&gt;D2272,1,0))</f>
        <v/>
      </c>
      <c r="G2272" s="2" t="str">
        <f aca="false">IF(C2272="","",IF(C2272=D2272,1,0))</f>
        <v/>
      </c>
      <c r="H2272" s="2" t="str">
        <f aca="false">IF(C2272="","",IF(C2272&lt;D2272,1,0))</f>
        <v/>
      </c>
      <c r="I2272" s="2" t="n">
        <f aca="false">IF(D2272=0,1,0)</f>
        <v>1</v>
      </c>
      <c r="J2272" s="2"/>
      <c r="K2272" s="2" t="n">
        <f aca="false">C2272</f>
        <v>0</v>
      </c>
      <c r="L2272" s="2" t="n">
        <f aca="false">D2272</f>
        <v>0</v>
      </c>
      <c r="M2272" s="2" t="str">
        <f aca="false">IF(D2272="","",IF(D2272&gt;C2272,3,IF(D2272=C2272,1,0)))</f>
        <v/>
      </c>
      <c r="N2272" s="2" t="str">
        <f aca="false">IF(D2272="","",IF(D2272&gt;C2272,1,0))</f>
        <v/>
      </c>
      <c r="O2272" s="2" t="str">
        <f aca="false">IF(D2272="","",IF(D2272=C2272,1,0))</f>
        <v/>
      </c>
      <c r="P2272" s="2" t="str">
        <f aca="false">IF(D2272="","",IF(D2272&lt;C2272,1,0))</f>
        <v/>
      </c>
      <c r="Q2272" s="2" t="n">
        <f aca="false">IF(K2272=0,1,0)</f>
        <v>1</v>
      </c>
      <c r="R2272" s="2"/>
      <c r="S2272" s="2" t="n">
        <f aca="false">C2272</f>
        <v>0</v>
      </c>
      <c r="T2272" s="2" t="n">
        <f aca="false">D2272</f>
        <v>0</v>
      </c>
      <c r="U2272" s="3"/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/>
      <c r="B2273" s="2"/>
      <c r="C2273" s="2"/>
      <c r="D2273" s="2"/>
      <c r="E2273" s="2" t="str">
        <f aca="false">IF(C2273="","",IF(C2273&gt;D2273,3,IF(C2273=D2273,1,0)))</f>
        <v/>
      </c>
      <c r="F2273" s="2" t="str">
        <f aca="false">IF(C2273="","",IF(C2273&gt;D2273,1,0))</f>
        <v/>
      </c>
      <c r="G2273" s="2" t="str">
        <f aca="false">IF(C2273="","",IF(C2273=D2273,1,0))</f>
        <v/>
      </c>
      <c r="H2273" s="2" t="str">
        <f aca="false">IF(C2273="","",IF(C2273&lt;D2273,1,0))</f>
        <v/>
      </c>
      <c r="I2273" s="2" t="n">
        <f aca="false">IF(D2273=0,1,0)</f>
        <v>1</v>
      </c>
      <c r="J2273" s="2"/>
      <c r="K2273" s="2" t="n">
        <f aca="false">C2273</f>
        <v>0</v>
      </c>
      <c r="L2273" s="2" t="n">
        <f aca="false">D2273</f>
        <v>0</v>
      </c>
      <c r="M2273" s="2" t="str">
        <f aca="false">IF(D2273="","",IF(D2273&gt;C2273,3,IF(D2273=C2273,1,0)))</f>
        <v/>
      </c>
      <c r="N2273" s="2" t="str">
        <f aca="false">IF(D2273="","",IF(D2273&gt;C2273,1,0))</f>
        <v/>
      </c>
      <c r="O2273" s="2" t="str">
        <f aca="false">IF(D2273="","",IF(D2273=C2273,1,0))</f>
        <v/>
      </c>
      <c r="P2273" s="2" t="str">
        <f aca="false">IF(D2273="","",IF(D2273&lt;C2273,1,0))</f>
        <v/>
      </c>
      <c r="Q2273" s="2" t="n">
        <f aca="false">IF(K2273=0,1,0)</f>
        <v>1</v>
      </c>
      <c r="R2273" s="2"/>
      <c r="S2273" s="2" t="n">
        <f aca="false">C2273</f>
        <v>0</v>
      </c>
      <c r="T2273" s="2" t="n">
        <f aca="false">D2273</f>
        <v>0</v>
      </c>
      <c r="U2273" s="3"/>
      <c r="V2273" s="3"/>
      <c r="W2273" s="3"/>
      <c r="X2273" s="3"/>
      <c r="Y2273" s="3"/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/>
      <c r="B2274" s="2"/>
      <c r="C2274" s="2"/>
      <c r="D2274" s="2"/>
      <c r="E2274" s="2" t="str">
        <f aca="false">IF(C2274="","",IF(C2274&gt;D2274,3,IF(C2274=D2274,1,0)))</f>
        <v/>
      </c>
      <c r="F2274" s="2" t="str">
        <f aca="false">IF(C2274="","",IF(C2274&gt;D2274,1,0))</f>
        <v/>
      </c>
      <c r="G2274" s="2" t="str">
        <f aca="false">IF(C2274="","",IF(C2274=D2274,1,0))</f>
        <v/>
      </c>
      <c r="H2274" s="2" t="str">
        <f aca="false">IF(C2274="","",IF(C2274&lt;D2274,1,0))</f>
        <v/>
      </c>
      <c r="I2274" s="2" t="n">
        <f aca="false">IF(D2274=0,1,0)</f>
        <v>1</v>
      </c>
      <c r="J2274" s="2"/>
      <c r="K2274" s="2" t="n">
        <f aca="false">C2274</f>
        <v>0</v>
      </c>
      <c r="L2274" s="2" t="n">
        <f aca="false">D2274</f>
        <v>0</v>
      </c>
      <c r="M2274" s="2" t="str">
        <f aca="false">IF(D2274="","",IF(D2274&gt;C2274,3,IF(D2274=C2274,1,0)))</f>
        <v/>
      </c>
      <c r="N2274" s="2" t="str">
        <f aca="false">IF(D2274="","",IF(D2274&gt;C2274,1,0))</f>
        <v/>
      </c>
      <c r="O2274" s="2" t="str">
        <f aca="false">IF(D2274="","",IF(D2274=C2274,1,0))</f>
        <v/>
      </c>
      <c r="P2274" s="2" t="str">
        <f aca="false">IF(D2274="","",IF(D2274&lt;C2274,1,0))</f>
        <v/>
      </c>
      <c r="Q2274" s="2" t="n">
        <f aca="false">IF(K2274=0,1,0)</f>
        <v>1</v>
      </c>
      <c r="R2274" s="2"/>
      <c r="S2274" s="2" t="n">
        <f aca="false">C2274</f>
        <v>0</v>
      </c>
      <c r="T2274" s="2" t="n">
        <f aca="false">D2274</f>
        <v>0</v>
      </c>
      <c r="U2274" s="3"/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/>
      <c r="B2275" s="2"/>
      <c r="C2275" s="2"/>
      <c r="D2275" s="2"/>
      <c r="E2275" s="2" t="str">
        <f aca="false">IF(C2275="","",IF(C2275&gt;D2275,3,IF(C2275=D2275,1,0)))</f>
        <v/>
      </c>
      <c r="F2275" s="2" t="str">
        <f aca="false">IF(C2275="","",IF(C2275&gt;D2275,1,0))</f>
        <v/>
      </c>
      <c r="G2275" s="2" t="str">
        <f aca="false">IF(C2275="","",IF(C2275=D2275,1,0))</f>
        <v/>
      </c>
      <c r="H2275" s="2" t="str">
        <f aca="false">IF(C2275="","",IF(C2275&lt;D2275,1,0))</f>
        <v/>
      </c>
      <c r="I2275" s="2" t="n">
        <f aca="false">IF(D2275=0,1,0)</f>
        <v>1</v>
      </c>
      <c r="J2275" s="2"/>
      <c r="K2275" s="2" t="n">
        <f aca="false">C2275</f>
        <v>0</v>
      </c>
      <c r="L2275" s="2" t="n">
        <f aca="false">D2275</f>
        <v>0</v>
      </c>
      <c r="M2275" s="2" t="str">
        <f aca="false">IF(D2275="","",IF(D2275&gt;C2275,3,IF(D2275=C2275,1,0)))</f>
        <v/>
      </c>
      <c r="N2275" s="2" t="str">
        <f aca="false">IF(D2275="","",IF(D2275&gt;C2275,1,0))</f>
        <v/>
      </c>
      <c r="O2275" s="2" t="str">
        <f aca="false">IF(D2275="","",IF(D2275=C2275,1,0))</f>
        <v/>
      </c>
      <c r="P2275" s="2" t="str">
        <f aca="false">IF(D2275="","",IF(D2275&lt;C2275,1,0))</f>
        <v/>
      </c>
      <c r="Q2275" s="2" t="n">
        <f aca="false">IF(K2275=0,1,0)</f>
        <v>1</v>
      </c>
      <c r="R2275" s="2"/>
      <c r="S2275" s="2" t="n">
        <f aca="false">C2275</f>
        <v>0</v>
      </c>
      <c r="T2275" s="2" t="n">
        <f aca="false">D2275</f>
        <v>0</v>
      </c>
      <c r="U2275" s="3"/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/>
      <c r="B2276" s="2"/>
      <c r="C2276" s="2"/>
      <c r="D2276" s="2"/>
      <c r="E2276" s="2" t="str">
        <f aca="false">IF(C2276="","",IF(C2276&gt;D2276,3,IF(C2276=D2276,1,0)))</f>
        <v/>
      </c>
      <c r="F2276" s="2" t="str">
        <f aca="false">IF(C2276="","",IF(C2276&gt;D2276,1,0))</f>
        <v/>
      </c>
      <c r="G2276" s="2" t="str">
        <f aca="false">IF(C2276="","",IF(C2276=D2276,1,0))</f>
        <v/>
      </c>
      <c r="H2276" s="2" t="str">
        <f aca="false">IF(C2276="","",IF(C2276&lt;D2276,1,0))</f>
        <v/>
      </c>
      <c r="I2276" s="2" t="n">
        <f aca="false">IF(D2276=0,1,0)</f>
        <v>1</v>
      </c>
      <c r="J2276" s="2"/>
      <c r="K2276" s="2" t="n">
        <f aca="false">C2276</f>
        <v>0</v>
      </c>
      <c r="L2276" s="2" t="n">
        <f aca="false">D2276</f>
        <v>0</v>
      </c>
      <c r="M2276" s="2" t="str">
        <f aca="false">IF(D2276="","",IF(D2276&gt;C2276,3,IF(D2276=C2276,1,0)))</f>
        <v/>
      </c>
      <c r="N2276" s="2" t="str">
        <f aca="false">IF(D2276="","",IF(D2276&gt;C2276,1,0))</f>
        <v/>
      </c>
      <c r="O2276" s="2" t="str">
        <f aca="false">IF(D2276="","",IF(D2276=C2276,1,0))</f>
        <v/>
      </c>
      <c r="P2276" s="2" t="str">
        <f aca="false">IF(D2276="","",IF(D2276&lt;C2276,1,0))</f>
        <v/>
      </c>
      <c r="Q2276" s="2" t="n">
        <f aca="false">IF(K2276=0,1,0)</f>
        <v>1</v>
      </c>
      <c r="R2276" s="2"/>
      <c r="S2276" s="2" t="n">
        <f aca="false">C2276</f>
        <v>0</v>
      </c>
      <c r="T2276" s="2" t="n">
        <f aca="false">D2276</f>
        <v>0</v>
      </c>
      <c r="U2276" s="3"/>
      <c r="V2276" s="3"/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/>
      <c r="B2277" s="2"/>
      <c r="C2277" s="2"/>
      <c r="D2277" s="2"/>
      <c r="E2277" s="2" t="str">
        <f aca="false">IF(C2277="","",IF(C2277&gt;D2277,3,IF(C2277=D2277,1,0)))</f>
        <v/>
      </c>
      <c r="F2277" s="2" t="str">
        <f aca="false">IF(C2277="","",IF(C2277&gt;D2277,1,0))</f>
        <v/>
      </c>
      <c r="G2277" s="2" t="str">
        <f aca="false">IF(C2277="","",IF(C2277=D2277,1,0))</f>
        <v/>
      </c>
      <c r="H2277" s="2" t="str">
        <f aca="false">IF(C2277="","",IF(C2277&lt;D2277,1,0))</f>
        <v/>
      </c>
      <c r="I2277" s="2" t="n">
        <f aca="false">IF(D2277=0,1,0)</f>
        <v>1</v>
      </c>
      <c r="J2277" s="2"/>
      <c r="K2277" s="2" t="n">
        <f aca="false">C2277</f>
        <v>0</v>
      </c>
      <c r="L2277" s="2" t="n">
        <f aca="false">D2277</f>
        <v>0</v>
      </c>
      <c r="M2277" s="2" t="str">
        <f aca="false">IF(D2277="","",IF(D2277&gt;C2277,3,IF(D2277=C2277,1,0)))</f>
        <v/>
      </c>
      <c r="N2277" s="2" t="str">
        <f aca="false">IF(D2277="","",IF(D2277&gt;C2277,1,0))</f>
        <v/>
      </c>
      <c r="O2277" s="2" t="str">
        <f aca="false">IF(D2277="","",IF(D2277=C2277,1,0))</f>
        <v/>
      </c>
      <c r="P2277" s="2" t="str">
        <f aca="false">IF(D2277="","",IF(D2277&lt;C2277,1,0))</f>
        <v/>
      </c>
      <c r="Q2277" s="2" t="n">
        <f aca="false">IF(K2277=0,1,0)</f>
        <v>1</v>
      </c>
      <c r="R2277" s="2"/>
      <c r="S2277" s="2" t="n">
        <f aca="false">C2277</f>
        <v>0</v>
      </c>
      <c r="T2277" s="2" t="n">
        <f aca="false">D2277</f>
        <v>0</v>
      </c>
      <c r="U2277" s="3"/>
      <c r="V2277" s="3"/>
      <c r="W2277" s="3"/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/>
      <c r="B2278" s="7"/>
      <c r="C2278" s="2"/>
      <c r="D2278" s="2"/>
      <c r="E2278" s="2" t="str">
        <f aca="false">IF(C2278="","",IF(C2278&gt;D2278,3,IF(C2278=D2278,1,0)))</f>
        <v/>
      </c>
      <c r="F2278" s="2" t="str">
        <f aca="false">IF(C2278="","",IF(C2278&gt;D2278,1,0))</f>
        <v/>
      </c>
      <c r="G2278" s="2" t="str">
        <f aca="false">IF(C2278="","",IF(C2278=D2278,1,0))</f>
        <v/>
      </c>
      <c r="H2278" s="2" t="str">
        <f aca="false">IF(C2278="","",IF(C2278&lt;D2278,1,0))</f>
        <v/>
      </c>
      <c r="I2278" s="2" t="n">
        <f aca="false">IF(D2278=0,1,0)</f>
        <v>1</v>
      </c>
      <c r="J2278" s="2"/>
      <c r="K2278" s="2" t="n">
        <f aca="false">C2278</f>
        <v>0</v>
      </c>
      <c r="L2278" s="2" t="n">
        <f aca="false">D2278</f>
        <v>0</v>
      </c>
      <c r="M2278" s="2" t="str">
        <f aca="false">IF(D2278="","",IF(D2278&gt;C2278,3,IF(D2278=C2278,1,0)))</f>
        <v/>
      </c>
      <c r="N2278" s="2" t="str">
        <f aca="false">IF(D2278="","",IF(D2278&gt;C2278,1,0))</f>
        <v/>
      </c>
      <c r="O2278" s="2" t="str">
        <f aca="false">IF(D2278="","",IF(D2278=C2278,1,0))</f>
        <v/>
      </c>
      <c r="P2278" s="2" t="str">
        <f aca="false">IF(D2278="","",IF(D2278&lt;C2278,1,0))</f>
        <v/>
      </c>
      <c r="Q2278" s="2" t="n">
        <f aca="false">IF(K2278=0,1,0)</f>
        <v>1</v>
      </c>
      <c r="R2278" s="2"/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/>
      <c r="B2279" s="2"/>
      <c r="C2279" s="2"/>
      <c r="D2279" s="2"/>
      <c r="E2279" s="2" t="str">
        <f aca="false">IF(C2279="","",IF(C2279&gt;D2279,3,IF(C2279=D2279,1,0)))</f>
        <v/>
      </c>
      <c r="F2279" s="2" t="str">
        <f aca="false">IF(C2279="","",IF(C2279&gt;D2279,1,0))</f>
        <v/>
      </c>
      <c r="G2279" s="2" t="str">
        <f aca="false">IF(C2279="","",IF(C2279=D2279,1,0))</f>
        <v/>
      </c>
      <c r="H2279" s="2" t="str">
        <f aca="false">IF(C2279="","",IF(C2279&lt;D2279,1,0))</f>
        <v/>
      </c>
      <c r="I2279" s="2" t="n">
        <f aca="false">IF(D2279=0,1,0)</f>
        <v>1</v>
      </c>
      <c r="J2279" s="2"/>
      <c r="K2279" s="2" t="n">
        <f aca="false">C2279</f>
        <v>0</v>
      </c>
      <c r="L2279" s="2" t="n">
        <f aca="false">D2279</f>
        <v>0</v>
      </c>
      <c r="M2279" s="2" t="str">
        <f aca="false">IF(D2279="","",IF(D2279&gt;C2279,3,IF(D2279=C2279,1,0)))</f>
        <v/>
      </c>
      <c r="N2279" s="2" t="str">
        <f aca="false">IF(D2279="","",IF(D2279&gt;C2279,1,0))</f>
        <v/>
      </c>
      <c r="O2279" s="2" t="str">
        <f aca="false">IF(D2279="","",IF(D2279=C2279,1,0))</f>
        <v/>
      </c>
      <c r="P2279" s="2" t="str">
        <f aca="false">IF(D2279="","",IF(D2279&lt;C2279,1,0))</f>
        <v/>
      </c>
      <c r="Q2279" s="2" t="n">
        <f aca="false">IF(K2279=0,1,0)</f>
        <v>1</v>
      </c>
      <c r="R2279" s="2"/>
      <c r="S2279" s="2" t="n">
        <f aca="false">C2279</f>
        <v>0</v>
      </c>
      <c r="T2279" s="2" t="n">
        <f aca="false">D2279</f>
        <v>0</v>
      </c>
      <c r="U2279" s="3"/>
      <c r="V2279" s="3"/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/>
      <c r="B2280" s="2"/>
      <c r="C2280" s="2"/>
      <c r="D2280" s="2"/>
      <c r="E2280" s="2" t="str">
        <f aca="false">IF(C2280="","",IF(C2280&gt;D2280,3,IF(C2280=D2280,1,0)))</f>
        <v/>
      </c>
      <c r="F2280" s="2" t="str">
        <f aca="false">IF(C2280="","",IF(C2280&gt;D2280,1,0))</f>
        <v/>
      </c>
      <c r="G2280" s="2" t="str">
        <f aca="false">IF(C2280="","",IF(C2280=D2280,1,0))</f>
        <v/>
      </c>
      <c r="H2280" s="2" t="str">
        <f aca="false">IF(C2280="","",IF(C2280&lt;D2280,1,0))</f>
        <v/>
      </c>
      <c r="I2280" s="2" t="n">
        <f aca="false">IF(D2280=0,1,0)</f>
        <v>1</v>
      </c>
      <c r="J2280" s="2"/>
      <c r="K2280" s="2" t="n">
        <f aca="false">C2280</f>
        <v>0</v>
      </c>
      <c r="L2280" s="2" t="n">
        <f aca="false">D2280</f>
        <v>0</v>
      </c>
      <c r="M2280" s="2" t="str">
        <f aca="false">IF(D2280="","",IF(D2280&gt;C2280,3,IF(D2280=C2280,1,0)))</f>
        <v/>
      </c>
      <c r="N2280" s="2" t="str">
        <f aca="false">IF(D2280="","",IF(D2280&gt;C2280,1,0))</f>
        <v/>
      </c>
      <c r="O2280" s="2" t="str">
        <f aca="false">IF(D2280="","",IF(D2280=C2280,1,0))</f>
        <v/>
      </c>
      <c r="P2280" s="2" t="str">
        <f aca="false">IF(D2280="","",IF(D2280&lt;C2280,1,0))</f>
        <v/>
      </c>
      <c r="Q2280" s="2" t="n">
        <f aca="false">IF(K2280=0,1,0)</f>
        <v>1</v>
      </c>
      <c r="R2280" s="2"/>
      <c r="S2280" s="2" t="n">
        <f aca="false">C2280</f>
        <v>0</v>
      </c>
      <c r="T2280" s="2" t="n">
        <f aca="false">D2280</f>
        <v>0</v>
      </c>
      <c r="U2280" s="3"/>
      <c r="V2280" s="3"/>
      <c r="W2280" s="3"/>
      <c r="X2280" s="3"/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/>
      <c r="B2281" s="2"/>
      <c r="C2281" s="2"/>
      <c r="D2281" s="2"/>
      <c r="E2281" s="2" t="str">
        <f aca="false">IF(C2281="","",IF(C2281&gt;D2281,3,IF(C2281=D2281,1,0)))</f>
        <v/>
      </c>
      <c r="F2281" s="2" t="str">
        <f aca="false">IF(C2281="","",IF(C2281&gt;D2281,1,0))</f>
        <v/>
      </c>
      <c r="G2281" s="2" t="str">
        <f aca="false">IF(C2281="","",IF(C2281=D2281,1,0))</f>
        <v/>
      </c>
      <c r="H2281" s="2" t="str">
        <f aca="false">IF(C2281="","",IF(C2281&lt;D2281,1,0))</f>
        <v/>
      </c>
      <c r="I2281" s="2" t="n">
        <f aca="false">IF(D2281=0,1,0)</f>
        <v>1</v>
      </c>
      <c r="J2281" s="2"/>
      <c r="K2281" s="2" t="n">
        <f aca="false">C2281</f>
        <v>0</v>
      </c>
      <c r="L2281" s="2" t="n">
        <f aca="false">D2281</f>
        <v>0</v>
      </c>
      <c r="M2281" s="2" t="str">
        <f aca="false">IF(D2281="","",IF(D2281&gt;C2281,3,IF(D2281=C2281,1,0)))</f>
        <v/>
      </c>
      <c r="N2281" s="2" t="str">
        <f aca="false">IF(D2281="","",IF(D2281&gt;C2281,1,0))</f>
        <v/>
      </c>
      <c r="O2281" s="2" t="str">
        <f aca="false">IF(D2281="","",IF(D2281=C2281,1,0))</f>
        <v/>
      </c>
      <c r="P2281" s="2" t="str">
        <f aca="false">IF(D2281="","",IF(D2281&lt;C2281,1,0))</f>
        <v/>
      </c>
      <c r="Q2281" s="2" t="n">
        <f aca="false">IF(K2281=0,1,0)</f>
        <v>1</v>
      </c>
      <c r="R2281" s="2"/>
      <c r="S2281" s="2" t="n">
        <f aca="false">C2281</f>
        <v>0</v>
      </c>
      <c r="T2281" s="2" t="n">
        <f aca="false">D2281</f>
        <v>0</v>
      </c>
      <c r="U2281" s="3"/>
      <c r="V2281" s="3"/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/>
      <c r="B2282" s="2"/>
      <c r="C2282" s="2"/>
      <c r="D2282" s="2"/>
      <c r="E2282" s="2" t="str">
        <f aca="false">IF(C2282="","",IF(C2282&gt;D2282,3,IF(C2282=D2282,1,0)))</f>
        <v/>
      </c>
      <c r="F2282" s="2" t="str">
        <f aca="false">IF(C2282="","",IF(C2282&gt;D2282,1,0))</f>
        <v/>
      </c>
      <c r="G2282" s="2" t="str">
        <f aca="false">IF(C2282="","",IF(C2282=D2282,1,0))</f>
        <v/>
      </c>
      <c r="H2282" s="2" t="str">
        <f aca="false">IF(C2282="","",IF(C2282&lt;D2282,1,0))</f>
        <v/>
      </c>
      <c r="I2282" s="2" t="n">
        <f aca="false">IF(D2282=0,1,0)</f>
        <v>1</v>
      </c>
      <c r="J2282" s="2"/>
      <c r="K2282" s="2" t="n">
        <f aca="false">C2282</f>
        <v>0</v>
      </c>
      <c r="L2282" s="2" t="n">
        <f aca="false">D2282</f>
        <v>0</v>
      </c>
      <c r="M2282" s="2" t="str">
        <f aca="false">IF(D2282="","",IF(D2282&gt;C2282,3,IF(D2282=C2282,1,0)))</f>
        <v/>
      </c>
      <c r="N2282" s="2" t="str">
        <f aca="false">IF(D2282="","",IF(D2282&gt;C2282,1,0))</f>
        <v/>
      </c>
      <c r="O2282" s="2" t="str">
        <f aca="false">IF(D2282="","",IF(D2282=C2282,1,0))</f>
        <v/>
      </c>
      <c r="P2282" s="2" t="str">
        <f aca="false">IF(D2282="","",IF(D2282&lt;C2282,1,0))</f>
        <v/>
      </c>
      <c r="Q2282" s="2" t="n">
        <f aca="false">IF(K2282=0,1,0)</f>
        <v>1</v>
      </c>
      <c r="R2282" s="2"/>
      <c r="S2282" s="2" t="n">
        <f aca="false">C2282</f>
        <v>0</v>
      </c>
      <c r="T2282" s="2" t="n">
        <f aca="false">D2282</f>
        <v>0</v>
      </c>
      <c r="U2282" s="3"/>
      <c r="V2282" s="3"/>
      <c r="W2282" s="3"/>
      <c r="X2282" s="3"/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/>
      <c r="B2283" s="2"/>
      <c r="C2283" s="2"/>
      <c r="D2283" s="2"/>
      <c r="E2283" s="2" t="str">
        <f aca="false">IF(C2283="","",IF(C2283&gt;D2283,3,IF(C2283=D2283,1,0)))</f>
        <v/>
      </c>
      <c r="F2283" s="2" t="str">
        <f aca="false">IF(C2283="","",IF(C2283&gt;D2283,1,0))</f>
        <v/>
      </c>
      <c r="G2283" s="2" t="str">
        <f aca="false">IF(C2283="","",IF(C2283=D2283,1,0))</f>
        <v/>
      </c>
      <c r="H2283" s="2" t="str">
        <f aca="false">IF(C2283="","",IF(C2283&lt;D2283,1,0))</f>
        <v/>
      </c>
      <c r="I2283" s="2" t="n">
        <f aca="false">IF(D2283=0,1,0)</f>
        <v>1</v>
      </c>
      <c r="J2283" s="2"/>
      <c r="K2283" s="2" t="n">
        <f aca="false">C2283</f>
        <v>0</v>
      </c>
      <c r="L2283" s="2" t="n">
        <f aca="false">D2283</f>
        <v>0</v>
      </c>
      <c r="M2283" s="2" t="str">
        <f aca="false">IF(D2283="","",IF(D2283&gt;C2283,3,IF(D2283=C2283,1,0)))</f>
        <v/>
      </c>
      <c r="N2283" s="2" t="str">
        <f aca="false">IF(D2283="","",IF(D2283&gt;C2283,1,0))</f>
        <v/>
      </c>
      <c r="O2283" s="2" t="str">
        <f aca="false">IF(D2283="","",IF(D2283=C2283,1,0))</f>
        <v/>
      </c>
      <c r="P2283" s="2" t="str">
        <f aca="false">IF(D2283="","",IF(D2283&lt;C2283,1,0))</f>
        <v/>
      </c>
      <c r="Q2283" s="2" t="n">
        <f aca="false">IF(K2283=0,1,0)</f>
        <v>1</v>
      </c>
      <c r="R2283" s="2"/>
      <c r="S2283" s="2" t="n">
        <f aca="false">C2283</f>
        <v>0</v>
      </c>
      <c r="T2283" s="2" t="n">
        <f aca="false">D2283</f>
        <v>0</v>
      </c>
      <c r="U2283" s="3"/>
      <c r="V2283" s="3"/>
      <c r="W2283" s="3"/>
      <c r="X2283" s="3"/>
      <c r="Y2283" s="3"/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/>
      <c r="B2284" s="2"/>
      <c r="C2284" s="2"/>
      <c r="D2284" s="2"/>
      <c r="E2284" s="2" t="str">
        <f aca="false">IF(C2284="","",IF(C2284&gt;D2284,3,IF(C2284=D2284,1,0)))</f>
        <v/>
      </c>
      <c r="F2284" s="2" t="str">
        <f aca="false">IF(C2284="","",IF(C2284&gt;D2284,1,0))</f>
        <v/>
      </c>
      <c r="G2284" s="2" t="str">
        <f aca="false">IF(C2284="","",IF(C2284=D2284,1,0))</f>
        <v/>
      </c>
      <c r="H2284" s="2" t="str">
        <f aca="false">IF(C2284="","",IF(C2284&lt;D2284,1,0))</f>
        <v/>
      </c>
      <c r="I2284" s="2" t="n">
        <f aca="false">IF(D2284=0,1,0)</f>
        <v>1</v>
      </c>
      <c r="J2284" s="2"/>
      <c r="K2284" s="2" t="n">
        <f aca="false">C2284</f>
        <v>0</v>
      </c>
      <c r="L2284" s="2" t="n">
        <f aca="false">D2284</f>
        <v>0</v>
      </c>
      <c r="M2284" s="2" t="str">
        <f aca="false">IF(D2284="","",IF(D2284&gt;C2284,3,IF(D2284=C2284,1,0)))</f>
        <v/>
      </c>
      <c r="N2284" s="2" t="str">
        <f aca="false">IF(D2284="","",IF(D2284&gt;C2284,1,0))</f>
        <v/>
      </c>
      <c r="O2284" s="2" t="str">
        <f aca="false">IF(D2284="","",IF(D2284=C2284,1,0))</f>
        <v/>
      </c>
      <c r="P2284" s="2" t="str">
        <f aca="false">IF(D2284="","",IF(D2284&lt;C2284,1,0))</f>
        <v/>
      </c>
      <c r="Q2284" s="2" t="n">
        <f aca="false">IF(K2284=0,1,0)</f>
        <v>1</v>
      </c>
      <c r="R2284" s="2"/>
      <c r="S2284" s="2" t="n">
        <f aca="false">C2284</f>
        <v>0</v>
      </c>
      <c r="T2284" s="2" t="n">
        <f aca="false">D2284</f>
        <v>0</v>
      </c>
      <c r="U2284" s="3"/>
      <c r="V2284" s="3"/>
      <c r="W2284" s="3"/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/>
      <c r="B2285" s="2"/>
      <c r="C2285" s="2"/>
      <c r="D2285" s="2"/>
      <c r="E2285" s="2" t="str">
        <f aca="false">IF(C2285="","",IF(C2285&gt;D2285,3,IF(C2285=D2285,1,0)))</f>
        <v/>
      </c>
      <c r="F2285" s="2" t="str">
        <f aca="false">IF(C2285="","",IF(C2285&gt;D2285,1,0))</f>
        <v/>
      </c>
      <c r="G2285" s="2" t="str">
        <f aca="false">IF(C2285="","",IF(C2285=D2285,1,0))</f>
        <v/>
      </c>
      <c r="H2285" s="2" t="str">
        <f aca="false">IF(C2285="","",IF(C2285&lt;D2285,1,0))</f>
        <v/>
      </c>
      <c r="I2285" s="2" t="n">
        <f aca="false">IF(D2285=0,1,0)</f>
        <v>1</v>
      </c>
      <c r="J2285" s="2"/>
      <c r="K2285" s="2" t="n">
        <f aca="false">C2285</f>
        <v>0</v>
      </c>
      <c r="L2285" s="2" t="n">
        <f aca="false">D2285</f>
        <v>0</v>
      </c>
      <c r="M2285" s="2" t="str">
        <f aca="false">IF(D2285="","",IF(D2285&gt;C2285,3,IF(D2285=C2285,1,0)))</f>
        <v/>
      </c>
      <c r="N2285" s="2" t="str">
        <f aca="false">IF(D2285="","",IF(D2285&gt;C2285,1,0))</f>
        <v/>
      </c>
      <c r="O2285" s="2" t="str">
        <f aca="false">IF(D2285="","",IF(D2285=C2285,1,0))</f>
        <v/>
      </c>
      <c r="P2285" s="2" t="str">
        <f aca="false">IF(D2285="","",IF(D2285&lt;C2285,1,0))</f>
        <v/>
      </c>
      <c r="Q2285" s="2" t="n">
        <f aca="false">IF(K2285=0,1,0)</f>
        <v>1</v>
      </c>
      <c r="R2285" s="2"/>
      <c r="S2285" s="2" t="n">
        <f aca="false">C2285</f>
        <v>0</v>
      </c>
      <c r="T2285" s="2" t="n">
        <f aca="false">D2285</f>
        <v>0</v>
      </c>
      <c r="U2285" s="3"/>
      <c r="V2285" s="3"/>
      <c r="W2285" s="3"/>
      <c r="X2285" s="3"/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/>
      <c r="B2286" s="2"/>
      <c r="C2286" s="2"/>
      <c r="D2286" s="2"/>
      <c r="E2286" s="2" t="str">
        <f aca="false">IF(C2286="","",IF(C2286&gt;D2286,3,IF(C2286=D2286,1,0)))</f>
        <v/>
      </c>
      <c r="F2286" s="2" t="str">
        <f aca="false">IF(C2286="","",IF(C2286&gt;D2286,1,0))</f>
        <v/>
      </c>
      <c r="G2286" s="2" t="str">
        <f aca="false">IF(C2286="","",IF(C2286=D2286,1,0))</f>
        <v/>
      </c>
      <c r="H2286" s="2" t="str">
        <f aca="false">IF(C2286="","",IF(C2286&lt;D2286,1,0))</f>
        <v/>
      </c>
      <c r="I2286" s="2" t="n">
        <f aca="false">IF(D2286=0,1,0)</f>
        <v>1</v>
      </c>
      <c r="J2286" s="2"/>
      <c r="K2286" s="2" t="n">
        <f aca="false">C2286</f>
        <v>0</v>
      </c>
      <c r="L2286" s="2" t="n">
        <f aca="false">D2286</f>
        <v>0</v>
      </c>
      <c r="M2286" s="2" t="str">
        <f aca="false">IF(D2286="","",IF(D2286&gt;C2286,3,IF(D2286=C2286,1,0)))</f>
        <v/>
      </c>
      <c r="N2286" s="2" t="str">
        <f aca="false">IF(D2286="","",IF(D2286&gt;C2286,1,0))</f>
        <v/>
      </c>
      <c r="O2286" s="2" t="str">
        <f aca="false">IF(D2286="","",IF(D2286=C2286,1,0))</f>
        <v/>
      </c>
      <c r="P2286" s="2" t="str">
        <f aca="false">IF(D2286="","",IF(D2286&lt;C2286,1,0))</f>
        <v/>
      </c>
      <c r="Q2286" s="2" t="n">
        <f aca="false">IF(K2286=0,1,0)</f>
        <v>1</v>
      </c>
      <c r="R2286" s="2"/>
      <c r="S2286" s="2" t="n">
        <f aca="false">C2286</f>
        <v>0</v>
      </c>
      <c r="T2286" s="2" t="n">
        <f aca="false">D2286</f>
        <v>0</v>
      </c>
      <c r="U2286" s="3"/>
      <c r="V2286" s="3"/>
      <c r="W2286" s="3"/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/>
      <c r="B2287" s="2"/>
      <c r="C2287" s="2"/>
      <c r="D2287" s="2"/>
      <c r="E2287" s="2" t="str">
        <f aca="false">IF(C2287="","",IF(C2287&gt;D2287,3,IF(C2287=D2287,1,0)))</f>
        <v/>
      </c>
      <c r="F2287" s="2" t="str">
        <f aca="false">IF(C2287="","",IF(C2287&gt;D2287,1,0))</f>
        <v/>
      </c>
      <c r="G2287" s="2" t="str">
        <f aca="false">IF(C2287="","",IF(C2287=D2287,1,0))</f>
        <v/>
      </c>
      <c r="H2287" s="2" t="str">
        <f aca="false">IF(C2287="","",IF(C2287&lt;D2287,1,0))</f>
        <v/>
      </c>
      <c r="I2287" s="2" t="n">
        <f aca="false">IF(D2287=0,1,0)</f>
        <v>1</v>
      </c>
      <c r="J2287" s="2"/>
      <c r="K2287" s="2" t="n">
        <f aca="false">C2287</f>
        <v>0</v>
      </c>
      <c r="L2287" s="2" t="n">
        <f aca="false">D2287</f>
        <v>0</v>
      </c>
      <c r="M2287" s="2" t="str">
        <f aca="false">IF(D2287="","",IF(D2287&gt;C2287,3,IF(D2287=C2287,1,0)))</f>
        <v/>
      </c>
      <c r="N2287" s="2" t="str">
        <f aca="false">IF(D2287="","",IF(D2287&gt;C2287,1,0))</f>
        <v/>
      </c>
      <c r="O2287" s="2" t="str">
        <f aca="false">IF(D2287="","",IF(D2287=C2287,1,0))</f>
        <v/>
      </c>
      <c r="P2287" s="2" t="str">
        <f aca="false">IF(D2287="","",IF(D2287&lt;C2287,1,0))</f>
        <v/>
      </c>
      <c r="Q2287" s="2" t="n">
        <f aca="false">IF(K2287=0,1,0)</f>
        <v>1</v>
      </c>
      <c r="R2287" s="2"/>
      <c r="S2287" s="2" t="n">
        <f aca="false">C2287</f>
        <v>0</v>
      </c>
      <c r="T2287" s="2" t="n">
        <f aca="false">D2287</f>
        <v>0</v>
      </c>
      <c r="U2287" s="3"/>
      <c r="V2287" s="3"/>
      <c r="W2287" s="3"/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/>
      <c r="B2288" s="2"/>
      <c r="C2288" s="2"/>
      <c r="D2288" s="2"/>
      <c r="E2288" s="2" t="str">
        <f aca="false">IF(C2288="","",IF(C2288&gt;D2288,3,IF(C2288=D2288,1,0)))</f>
        <v/>
      </c>
      <c r="F2288" s="2" t="str">
        <f aca="false">IF(C2288="","",IF(C2288&gt;D2288,1,0))</f>
        <v/>
      </c>
      <c r="G2288" s="2" t="str">
        <f aca="false">IF(C2288="","",IF(C2288=D2288,1,0))</f>
        <v/>
      </c>
      <c r="H2288" s="2" t="str">
        <f aca="false">IF(C2288="","",IF(C2288&lt;D2288,1,0))</f>
        <v/>
      </c>
      <c r="I2288" s="2" t="n">
        <f aca="false">IF(D2288=0,1,0)</f>
        <v>1</v>
      </c>
      <c r="J2288" s="2"/>
      <c r="K2288" s="2" t="n">
        <f aca="false">C2288</f>
        <v>0</v>
      </c>
      <c r="L2288" s="2" t="n">
        <f aca="false">D2288</f>
        <v>0</v>
      </c>
      <c r="M2288" s="2" t="str">
        <f aca="false">IF(D2288="","",IF(D2288&gt;C2288,3,IF(D2288=C2288,1,0)))</f>
        <v/>
      </c>
      <c r="N2288" s="2" t="str">
        <f aca="false">IF(D2288="","",IF(D2288&gt;C2288,1,0))</f>
        <v/>
      </c>
      <c r="O2288" s="2" t="str">
        <f aca="false">IF(D2288="","",IF(D2288=C2288,1,0))</f>
        <v/>
      </c>
      <c r="P2288" s="2" t="str">
        <f aca="false">IF(D2288="","",IF(D2288&lt;C2288,1,0))</f>
        <v/>
      </c>
      <c r="Q2288" s="2" t="n">
        <f aca="false">IF(K2288=0,1,0)</f>
        <v>1</v>
      </c>
      <c r="R2288" s="2"/>
      <c r="S2288" s="2" t="n">
        <f aca="false">C2288</f>
        <v>0</v>
      </c>
      <c r="T2288" s="2" t="n">
        <f aca="false">D2288</f>
        <v>0</v>
      </c>
      <c r="U2288" s="3"/>
      <c r="V2288" s="3"/>
      <c r="W2288" s="3"/>
      <c r="X2288" s="3"/>
      <c r="Y2288" s="3"/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/>
      <c r="B2289" s="2"/>
      <c r="C2289" s="2"/>
      <c r="D2289" s="2"/>
      <c r="E2289" s="2" t="str">
        <f aca="false">IF(C2289="","",IF(C2289&gt;D2289,3,IF(C2289=D2289,1,0)))</f>
        <v/>
      </c>
      <c r="F2289" s="2" t="str">
        <f aca="false">IF(C2289="","",IF(C2289&gt;D2289,1,0))</f>
        <v/>
      </c>
      <c r="G2289" s="2" t="str">
        <f aca="false">IF(C2289="","",IF(C2289=D2289,1,0))</f>
        <v/>
      </c>
      <c r="H2289" s="2" t="str">
        <f aca="false">IF(C2289="","",IF(C2289&lt;D2289,1,0))</f>
        <v/>
      </c>
      <c r="I2289" s="2" t="n">
        <f aca="false">IF(D2289=0,1,0)</f>
        <v>1</v>
      </c>
      <c r="J2289" s="2"/>
      <c r="K2289" s="2" t="n">
        <f aca="false">C2289</f>
        <v>0</v>
      </c>
      <c r="L2289" s="2" t="n">
        <f aca="false">D2289</f>
        <v>0</v>
      </c>
      <c r="M2289" s="2" t="str">
        <f aca="false">IF(D2289="","",IF(D2289&gt;C2289,3,IF(D2289=C2289,1,0)))</f>
        <v/>
      </c>
      <c r="N2289" s="2" t="str">
        <f aca="false">IF(D2289="","",IF(D2289&gt;C2289,1,0))</f>
        <v/>
      </c>
      <c r="O2289" s="2" t="str">
        <f aca="false">IF(D2289="","",IF(D2289=C2289,1,0))</f>
        <v/>
      </c>
      <c r="P2289" s="2" t="str">
        <f aca="false">IF(D2289="","",IF(D2289&lt;C2289,1,0))</f>
        <v/>
      </c>
      <c r="Q2289" s="2" t="n">
        <f aca="false">IF(K2289=0,1,0)</f>
        <v>1</v>
      </c>
      <c r="R2289" s="2"/>
      <c r="S2289" s="2" t="n">
        <f aca="false">C2289</f>
        <v>0</v>
      </c>
      <c r="T2289" s="2" t="n">
        <f aca="false">D2289</f>
        <v>0</v>
      </c>
      <c r="U2289" s="3"/>
      <c r="V2289" s="3"/>
      <c r="W2289" s="3"/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/>
      <c r="B2290" s="2"/>
      <c r="C2290" s="2"/>
      <c r="D2290" s="2"/>
      <c r="E2290" s="2" t="str">
        <f aca="false">IF(C2290="","",IF(C2290&gt;D2290,3,IF(C2290=D2290,1,0)))</f>
        <v/>
      </c>
      <c r="F2290" s="2" t="str">
        <f aca="false">IF(C2290="","",IF(C2290&gt;D2290,1,0))</f>
        <v/>
      </c>
      <c r="G2290" s="2" t="str">
        <f aca="false">IF(C2290="","",IF(C2290=D2290,1,0))</f>
        <v/>
      </c>
      <c r="H2290" s="2" t="str">
        <f aca="false">IF(C2290="","",IF(C2290&lt;D2290,1,0))</f>
        <v/>
      </c>
      <c r="I2290" s="2" t="n">
        <f aca="false">IF(D2290=0,1,0)</f>
        <v>1</v>
      </c>
      <c r="J2290" s="2"/>
      <c r="K2290" s="2" t="n">
        <f aca="false">C2290</f>
        <v>0</v>
      </c>
      <c r="L2290" s="2" t="n">
        <f aca="false">D2290</f>
        <v>0</v>
      </c>
      <c r="M2290" s="2" t="str">
        <f aca="false">IF(D2290="","",IF(D2290&gt;C2290,3,IF(D2290=C2290,1,0)))</f>
        <v/>
      </c>
      <c r="N2290" s="2" t="str">
        <f aca="false">IF(D2290="","",IF(D2290&gt;C2290,1,0))</f>
        <v/>
      </c>
      <c r="O2290" s="2" t="str">
        <f aca="false">IF(D2290="","",IF(D2290=C2290,1,0))</f>
        <v/>
      </c>
      <c r="P2290" s="2" t="str">
        <f aca="false">IF(D2290="","",IF(D2290&lt;C2290,1,0))</f>
        <v/>
      </c>
      <c r="Q2290" s="2" t="n">
        <f aca="false">IF(K2290=0,1,0)</f>
        <v>1</v>
      </c>
      <c r="R2290" s="2"/>
      <c r="S2290" s="2" t="n">
        <f aca="false">C2290</f>
        <v>0</v>
      </c>
      <c r="T2290" s="2" t="n">
        <f aca="false">D2290</f>
        <v>0</v>
      </c>
      <c r="U2290" s="3"/>
      <c r="V2290" s="3"/>
      <c r="W2290" s="3"/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/>
      <c r="B2291" s="2"/>
      <c r="C2291" s="2"/>
      <c r="D2291" s="2"/>
      <c r="E2291" s="2" t="str">
        <f aca="false">IF(C2291="","",IF(C2291&gt;D2291,3,IF(C2291=D2291,1,0)))</f>
        <v/>
      </c>
      <c r="F2291" s="2" t="str">
        <f aca="false">IF(C2291="","",IF(C2291&gt;D2291,1,0))</f>
        <v/>
      </c>
      <c r="G2291" s="2" t="str">
        <f aca="false">IF(C2291="","",IF(C2291=D2291,1,0))</f>
        <v/>
      </c>
      <c r="H2291" s="2" t="str">
        <f aca="false">IF(C2291="","",IF(C2291&lt;D2291,1,0))</f>
        <v/>
      </c>
      <c r="I2291" s="2" t="n">
        <f aca="false">IF(D2291=0,1,0)</f>
        <v>1</v>
      </c>
      <c r="J2291" s="2"/>
      <c r="K2291" s="2" t="n">
        <f aca="false">C2291</f>
        <v>0</v>
      </c>
      <c r="L2291" s="2" t="n">
        <f aca="false">D2291</f>
        <v>0</v>
      </c>
      <c r="M2291" s="2" t="str">
        <f aca="false">IF(D2291="","",IF(D2291&gt;C2291,3,IF(D2291=C2291,1,0)))</f>
        <v/>
      </c>
      <c r="N2291" s="2" t="str">
        <f aca="false">IF(D2291="","",IF(D2291&gt;C2291,1,0))</f>
        <v/>
      </c>
      <c r="O2291" s="2" t="str">
        <f aca="false">IF(D2291="","",IF(D2291=C2291,1,0))</f>
        <v/>
      </c>
      <c r="P2291" s="2" t="str">
        <f aca="false">IF(D2291="","",IF(D2291&lt;C2291,1,0))</f>
        <v/>
      </c>
      <c r="Q2291" s="2" t="n">
        <f aca="false">IF(K2291=0,1,0)</f>
        <v>1</v>
      </c>
      <c r="R2291" s="2"/>
      <c r="S2291" s="2" t="n">
        <f aca="false">C2291</f>
        <v>0</v>
      </c>
      <c r="T2291" s="2" t="n">
        <f aca="false">D2291</f>
        <v>0</v>
      </c>
      <c r="U2291" s="3"/>
      <c r="V2291" s="3"/>
      <c r="W2291" s="3"/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/>
      <c r="B2292" s="2"/>
      <c r="C2292" s="2"/>
      <c r="D2292" s="2"/>
      <c r="E2292" s="2" t="str">
        <f aca="false">IF(C2292="","",IF(C2292&gt;D2292,3,IF(C2292=D2292,1,0)))</f>
        <v/>
      </c>
      <c r="F2292" s="2" t="str">
        <f aca="false">IF(C2292="","",IF(C2292&gt;D2292,1,0))</f>
        <v/>
      </c>
      <c r="G2292" s="2" t="str">
        <f aca="false">IF(C2292="","",IF(C2292=D2292,1,0))</f>
        <v/>
      </c>
      <c r="H2292" s="2" t="str">
        <f aca="false">IF(C2292="","",IF(C2292&lt;D2292,1,0))</f>
        <v/>
      </c>
      <c r="I2292" s="2" t="n">
        <f aca="false">IF(D2292=0,1,0)</f>
        <v>1</v>
      </c>
      <c r="J2292" s="2"/>
      <c r="K2292" s="2" t="n">
        <f aca="false">C2292</f>
        <v>0</v>
      </c>
      <c r="L2292" s="2" t="n">
        <f aca="false">D2292</f>
        <v>0</v>
      </c>
      <c r="M2292" s="2" t="str">
        <f aca="false">IF(D2292="","",IF(D2292&gt;C2292,3,IF(D2292=C2292,1,0)))</f>
        <v/>
      </c>
      <c r="N2292" s="2" t="str">
        <f aca="false">IF(D2292="","",IF(D2292&gt;C2292,1,0))</f>
        <v/>
      </c>
      <c r="O2292" s="2" t="str">
        <f aca="false">IF(D2292="","",IF(D2292=C2292,1,0))</f>
        <v/>
      </c>
      <c r="P2292" s="2" t="str">
        <f aca="false">IF(D2292="","",IF(D2292&lt;C2292,1,0))</f>
        <v/>
      </c>
      <c r="Q2292" s="2" t="n">
        <f aca="false">IF(K2292=0,1,0)</f>
        <v>1</v>
      </c>
      <c r="R2292" s="2"/>
      <c r="S2292" s="2" t="n">
        <f aca="false">C2292</f>
        <v>0</v>
      </c>
      <c r="T2292" s="2" t="n">
        <f aca="false">D2292</f>
        <v>0</v>
      </c>
      <c r="U2292" s="3"/>
      <c r="V2292" s="3"/>
      <c r="W2292" s="3"/>
      <c r="X2292" s="3"/>
      <c r="Y2292" s="3"/>
      <c r="Z2292" s="3"/>
      <c r="AA2292" s="2"/>
      <c r="AB2292" s="2"/>
      <c r="AC2292" s="2"/>
      <c r="AD2292" s="2"/>
      <c r="AE2292" s="2"/>
      <c r="AF2292" s="2"/>
    </row>
    <row r="2293" customFormat="false" ht="15.75" hidden="false" customHeight="true" outlineLevel="0" collapsed="false">
      <c r="A2293" s="4"/>
      <c r="B2293" s="2"/>
      <c r="C2293" s="2"/>
      <c r="D2293" s="2"/>
      <c r="E2293" s="2" t="str">
        <f aca="false">IF(C2293="","",IF(C2293&gt;D2293,3,IF(C2293=D2293,1,0)))</f>
        <v/>
      </c>
      <c r="F2293" s="2" t="str">
        <f aca="false">IF(C2293="","",IF(C2293&gt;D2293,1,0))</f>
        <v/>
      </c>
      <c r="G2293" s="2" t="str">
        <f aca="false">IF(C2293="","",IF(C2293=D2293,1,0))</f>
        <v/>
      </c>
      <c r="H2293" s="2" t="str">
        <f aca="false">IF(C2293="","",IF(C2293&lt;D2293,1,0))</f>
        <v/>
      </c>
      <c r="I2293" s="2" t="n">
        <f aca="false">IF(D2293=0,1,0)</f>
        <v>1</v>
      </c>
      <c r="J2293" s="2"/>
      <c r="K2293" s="2" t="n">
        <f aca="false">C2293</f>
        <v>0</v>
      </c>
      <c r="L2293" s="2" t="n">
        <f aca="false">D2293</f>
        <v>0</v>
      </c>
      <c r="M2293" s="2" t="str">
        <f aca="false">IF(D2293="","",IF(D2293&gt;C2293,3,IF(D2293=C2293,1,0)))</f>
        <v/>
      </c>
      <c r="N2293" s="2" t="str">
        <f aca="false">IF(D2293="","",IF(D2293&gt;C2293,1,0))</f>
        <v/>
      </c>
      <c r="O2293" s="2" t="str">
        <f aca="false">IF(D2293="","",IF(D2293=C2293,1,0))</f>
        <v/>
      </c>
      <c r="P2293" s="2" t="str">
        <f aca="false">IF(D2293="","",IF(D2293&lt;C2293,1,0))</f>
        <v/>
      </c>
      <c r="Q2293" s="2" t="n">
        <f aca="false">IF(K2293=0,1,0)</f>
        <v>1</v>
      </c>
      <c r="R2293" s="2"/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/>
      <c r="B2294" s="2"/>
      <c r="C2294" s="2"/>
      <c r="D2294" s="2"/>
      <c r="E2294" s="2" t="str">
        <f aca="false">IF(C2294="","",IF(C2294&gt;D2294,3,IF(C2294=D2294,1,0)))</f>
        <v/>
      </c>
      <c r="F2294" s="2" t="str">
        <f aca="false">IF(C2294="","",IF(C2294&gt;D2294,1,0))</f>
        <v/>
      </c>
      <c r="G2294" s="2" t="str">
        <f aca="false">IF(C2294="","",IF(C2294=D2294,1,0))</f>
        <v/>
      </c>
      <c r="H2294" s="2" t="str">
        <f aca="false">IF(C2294="","",IF(C2294&lt;D2294,1,0))</f>
        <v/>
      </c>
      <c r="I2294" s="2" t="n">
        <f aca="false">IF(D2294=0,1,0)</f>
        <v>1</v>
      </c>
      <c r="J2294" s="2"/>
      <c r="K2294" s="2" t="n">
        <f aca="false">C2294</f>
        <v>0</v>
      </c>
      <c r="L2294" s="2" t="n">
        <f aca="false">D2294</f>
        <v>0</v>
      </c>
      <c r="M2294" s="2" t="str">
        <f aca="false">IF(D2294="","",IF(D2294&gt;C2294,3,IF(D2294=C2294,1,0)))</f>
        <v/>
      </c>
      <c r="N2294" s="2" t="str">
        <f aca="false">IF(D2294="","",IF(D2294&gt;C2294,1,0))</f>
        <v/>
      </c>
      <c r="O2294" s="2" t="str">
        <f aca="false">IF(D2294="","",IF(D2294=C2294,1,0))</f>
        <v/>
      </c>
      <c r="P2294" s="2" t="str">
        <f aca="false">IF(D2294="","",IF(D2294&lt;C2294,1,0))</f>
        <v/>
      </c>
      <c r="Q2294" s="2" t="n">
        <f aca="false">IF(K2294=0,1,0)</f>
        <v>1</v>
      </c>
      <c r="R2294" s="2"/>
      <c r="S2294" s="2" t="n">
        <f aca="false">C2294</f>
        <v>0</v>
      </c>
      <c r="T2294" s="2" t="n">
        <f aca="false">D2294</f>
        <v>0</v>
      </c>
      <c r="U2294" s="3"/>
      <c r="V2294" s="3"/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/>
      <c r="B2295" s="2"/>
      <c r="C2295" s="2"/>
      <c r="D2295" s="2"/>
      <c r="E2295" s="2" t="str">
        <f aca="false">IF(C2295="","",IF(C2295&gt;D2295,3,IF(C2295=D2295,1,0)))</f>
        <v/>
      </c>
      <c r="F2295" s="2" t="str">
        <f aca="false">IF(C2295="","",IF(C2295&gt;D2295,1,0))</f>
        <v/>
      </c>
      <c r="G2295" s="2" t="str">
        <f aca="false">IF(C2295="","",IF(C2295=D2295,1,0))</f>
        <v/>
      </c>
      <c r="H2295" s="2" t="str">
        <f aca="false">IF(C2295="","",IF(C2295&lt;D2295,1,0))</f>
        <v/>
      </c>
      <c r="I2295" s="2" t="n">
        <f aca="false">IF(D2295=0,1,0)</f>
        <v>1</v>
      </c>
      <c r="J2295" s="2"/>
      <c r="K2295" s="2" t="n">
        <f aca="false">C2295</f>
        <v>0</v>
      </c>
      <c r="L2295" s="2" t="n">
        <f aca="false">D2295</f>
        <v>0</v>
      </c>
      <c r="M2295" s="2" t="str">
        <f aca="false">IF(D2295="","",IF(D2295&gt;C2295,3,IF(D2295=C2295,1,0)))</f>
        <v/>
      </c>
      <c r="N2295" s="2" t="str">
        <f aca="false">IF(D2295="","",IF(D2295&gt;C2295,1,0))</f>
        <v/>
      </c>
      <c r="O2295" s="2" t="str">
        <f aca="false">IF(D2295="","",IF(D2295=C2295,1,0))</f>
        <v/>
      </c>
      <c r="P2295" s="2" t="str">
        <f aca="false">IF(D2295="","",IF(D2295&lt;C2295,1,0))</f>
        <v/>
      </c>
      <c r="Q2295" s="2" t="n">
        <f aca="false">IF(K2295=0,1,0)</f>
        <v>1</v>
      </c>
      <c r="R2295" s="2"/>
      <c r="S2295" s="2" t="n">
        <f aca="false">C2295</f>
        <v>0</v>
      </c>
      <c r="T2295" s="2" t="n">
        <f aca="false">D2295</f>
        <v>0</v>
      </c>
      <c r="U2295" s="3"/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/>
      <c r="B2296" s="2"/>
      <c r="C2296" s="2"/>
      <c r="D2296" s="2"/>
      <c r="E2296" s="2" t="str">
        <f aca="false">IF(C2296="","",IF(C2296&gt;D2296,3,IF(C2296=D2296,1,0)))</f>
        <v/>
      </c>
      <c r="F2296" s="2" t="str">
        <f aca="false">IF(C2296="","",IF(C2296&gt;D2296,1,0))</f>
        <v/>
      </c>
      <c r="G2296" s="2" t="str">
        <f aca="false">IF(C2296="","",IF(C2296=D2296,1,0))</f>
        <v/>
      </c>
      <c r="H2296" s="2" t="str">
        <f aca="false">IF(C2296="","",IF(C2296&lt;D2296,1,0))</f>
        <v/>
      </c>
      <c r="I2296" s="2" t="n">
        <f aca="false">IF(D2296=0,1,0)</f>
        <v>1</v>
      </c>
      <c r="J2296" s="2"/>
      <c r="K2296" s="2" t="n">
        <f aca="false">C2296</f>
        <v>0</v>
      </c>
      <c r="L2296" s="2" t="n">
        <f aca="false">D2296</f>
        <v>0</v>
      </c>
      <c r="M2296" s="2" t="str">
        <f aca="false">IF(D2296="","",IF(D2296&gt;C2296,3,IF(D2296=C2296,1,0)))</f>
        <v/>
      </c>
      <c r="N2296" s="2" t="str">
        <f aca="false">IF(D2296="","",IF(D2296&gt;C2296,1,0))</f>
        <v/>
      </c>
      <c r="O2296" s="2" t="str">
        <f aca="false">IF(D2296="","",IF(D2296=C2296,1,0))</f>
        <v/>
      </c>
      <c r="P2296" s="2" t="str">
        <f aca="false">IF(D2296="","",IF(D2296&lt;C2296,1,0))</f>
        <v/>
      </c>
      <c r="Q2296" s="2" t="n">
        <f aca="false">IF(K2296=0,1,0)</f>
        <v>1</v>
      </c>
      <c r="R2296" s="2"/>
      <c r="S2296" s="2" t="n">
        <f aca="false">C2296</f>
        <v>0</v>
      </c>
      <c r="T2296" s="2" t="n">
        <f aca="false">D2296</f>
        <v>0</v>
      </c>
      <c r="U2296" s="3"/>
      <c r="V2296" s="3"/>
      <c r="W2296" s="3"/>
      <c r="X2296" s="3"/>
      <c r="Y2296" s="3"/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/>
      <c r="B2297" s="2"/>
      <c r="C2297" s="2"/>
      <c r="D2297" s="2"/>
      <c r="E2297" s="2" t="str">
        <f aca="false">IF(C2297="","",IF(C2297&gt;D2297,3,IF(C2297=D2297,1,0)))</f>
        <v/>
      </c>
      <c r="F2297" s="2" t="str">
        <f aca="false">IF(C2297="","",IF(C2297&gt;D2297,1,0))</f>
        <v/>
      </c>
      <c r="G2297" s="2" t="str">
        <f aca="false">IF(C2297="","",IF(C2297=D2297,1,0))</f>
        <v/>
      </c>
      <c r="H2297" s="2" t="str">
        <f aca="false">IF(C2297="","",IF(C2297&lt;D2297,1,0))</f>
        <v/>
      </c>
      <c r="I2297" s="2" t="n">
        <f aca="false">IF(D2297=0,1,0)</f>
        <v>1</v>
      </c>
      <c r="J2297" s="2"/>
      <c r="K2297" s="2" t="n">
        <f aca="false">C2297</f>
        <v>0</v>
      </c>
      <c r="L2297" s="2" t="n">
        <f aca="false">D2297</f>
        <v>0</v>
      </c>
      <c r="M2297" s="2" t="str">
        <f aca="false">IF(D2297="","",IF(D2297&gt;C2297,3,IF(D2297=C2297,1,0)))</f>
        <v/>
      </c>
      <c r="N2297" s="2" t="str">
        <f aca="false">IF(D2297="","",IF(D2297&gt;C2297,1,0))</f>
        <v/>
      </c>
      <c r="O2297" s="2" t="str">
        <f aca="false">IF(D2297="","",IF(D2297=C2297,1,0))</f>
        <v/>
      </c>
      <c r="P2297" s="2" t="str">
        <f aca="false">IF(D2297="","",IF(D2297&lt;C2297,1,0))</f>
        <v/>
      </c>
      <c r="Q2297" s="2" t="n">
        <f aca="false">IF(K2297=0,1,0)</f>
        <v>1</v>
      </c>
      <c r="R2297" s="2"/>
      <c r="S2297" s="2" t="n">
        <f aca="false">C2297</f>
        <v>0</v>
      </c>
      <c r="T2297" s="2" t="n">
        <f aca="false">D2297</f>
        <v>0</v>
      </c>
      <c r="U2297" s="3"/>
      <c r="V2297" s="3"/>
      <c r="W2297" s="3"/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/>
      <c r="B2298" s="2"/>
      <c r="C2298" s="2"/>
      <c r="D2298" s="2"/>
      <c r="E2298" s="2" t="str">
        <f aca="false">IF(C2298="","",IF(C2298&gt;D2298,3,IF(C2298=D2298,1,0)))</f>
        <v/>
      </c>
      <c r="F2298" s="2" t="str">
        <f aca="false">IF(C2298="","",IF(C2298&gt;D2298,1,0))</f>
        <v/>
      </c>
      <c r="G2298" s="2" t="str">
        <f aca="false">IF(C2298="","",IF(C2298=D2298,1,0))</f>
        <v/>
      </c>
      <c r="H2298" s="2" t="str">
        <f aca="false">IF(C2298="","",IF(C2298&lt;D2298,1,0))</f>
        <v/>
      </c>
      <c r="I2298" s="2" t="n">
        <f aca="false">IF(D2298=0,1,0)</f>
        <v>1</v>
      </c>
      <c r="J2298" s="2"/>
      <c r="K2298" s="2" t="n">
        <f aca="false">C2298</f>
        <v>0</v>
      </c>
      <c r="L2298" s="2" t="n">
        <f aca="false">D2298</f>
        <v>0</v>
      </c>
      <c r="M2298" s="2" t="str">
        <f aca="false">IF(D2298="","",IF(D2298&gt;C2298,3,IF(D2298=C2298,1,0)))</f>
        <v/>
      </c>
      <c r="N2298" s="2" t="str">
        <f aca="false">IF(D2298="","",IF(D2298&gt;C2298,1,0))</f>
        <v/>
      </c>
      <c r="O2298" s="2" t="str">
        <f aca="false">IF(D2298="","",IF(D2298=C2298,1,0))</f>
        <v/>
      </c>
      <c r="P2298" s="2" t="str">
        <f aca="false">IF(D2298="","",IF(D2298&lt;C2298,1,0))</f>
        <v/>
      </c>
      <c r="Q2298" s="2" t="n">
        <f aca="false">IF(K2298=0,1,0)</f>
        <v>1</v>
      </c>
      <c r="R2298" s="2"/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/>
      <c r="B2299" s="2"/>
      <c r="C2299" s="2"/>
      <c r="D2299" s="2"/>
      <c r="E2299" s="2" t="str">
        <f aca="false">IF(C2299="","",IF(C2299&gt;D2299,3,IF(C2299=D2299,1,0)))</f>
        <v/>
      </c>
      <c r="F2299" s="2" t="str">
        <f aca="false">IF(C2299="","",IF(C2299&gt;D2299,1,0))</f>
        <v/>
      </c>
      <c r="G2299" s="2" t="str">
        <f aca="false">IF(C2299="","",IF(C2299=D2299,1,0))</f>
        <v/>
      </c>
      <c r="H2299" s="2" t="str">
        <f aca="false">IF(C2299="","",IF(C2299&lt;D2299,1,0))</f>
        <v/>
      </c>
      <c r="I2299" s="2" t="n">
        <f aca="false">IF(D2299=0,1,0)</f>
        <v>1</v>
      </c>
      <c r="J2299" s="2"/>
      <c r="K2299" s="2" t="n">
        <f aca="false">C2299</f>
        <v>0</v>
      </c>
      <c r="L2299" s="2" t="n">
        <f aca="false">D2299</f>
        <v>0</v>
      </c>
      <c r="M2299" s="2" t="str">
        <f aca="false">IF(D2299="","",IF(D2299&gt;C2299,3,IF(D2299=C2299,1,0)))</f>
        <v/>
      </c>
      <c r="N2299" s="2" t="str">
        <f aca="false">IF(D2299="","",IF(D2299&gt;C2299,1,0))</f>
        <v/>
      </c>
      <c r="O2299" s="2" t="str">
        <f aca="false">IF(D2299="","",IF(D2299=C2299,1,0))</f>
        <v/>
      </c>
      <c r="P2299" s="2" t="str">
        <f aca="false">IF(D2299="","",IF(D2299&lt;C2299,1,0))</f>
        <v/>
      </c>
      <c r="Q2299" s="2" t="n">
        <f aca="false">IF(K2299=0,1,0)</f>
        <v>1</v>
      </c>
      <c r="R2299" s="2"/>
      <c r="S2299" s="2" t="n">
        <f aca="false">C2299</f>
        <v>0</v>
      </c>
      <c r="T2299" s="2" t="n">
        <f aca="false">D2299</f>
        <v>0</v>
      </c>
      <c r="U2299" s="3"/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/>
      <c r="B2300" s="2"/>
      <c r="C2300" s="2"/>
      <c r="D2300" s="2"/>
      <c r="E2300" s="2" t="str">
        <f aca="false">IF(C2300="","",IF(C2300&gt;D2300,3,IF(C2300=D2300,1,0)))</f>
        <v/>
      </c>
      <c r="F2300" s="2" t="str">
        <f aca="false">IF(C2300="","",IF(C2300&gt;D2300,1,0))</f>
        <v/>
      </c>
      <c r="G2300" s="2" t="str">
        <f aca="false">IF(C2300="","",IF(C2300=D2300,1,0))</f>
        <v/>
      </c>
      <c r="H2300" s="2" t="str">
        <f aca="false">IF(C2300="","",IF(C2300&lt;D2300,1,0))</f>
        <v/>
      </c>
      <c r="I2300" s="2" t="n">
        <f aca="false">IF(D2300=0,1,0)</f>
        <v>1</v>
      </c>
      <c r="J2300" s="2"/>
      <c r="K2300" s="2" t="n">
        <f aca="false">C2300</f>
        <v>0</v>
      </c>
      <c r="L2300" s="2" t="n">
        <f aca="false">D2300</f>
        <v>0</v>
      </c>
      <c r="M2300" s="2" t="str">
        <f aca="false">IF(D2300="","",IF(D2300&gt;C2300,3,IF(D2300=C2300,1,0)))</f>
        <v/>
      </c>
      <c r="N2300" s="2" t="str">
        <f aca="false">IF(D2300="","",IF(D2300&gt;C2300,1,0))</f>
        <v/>
      </c>
      <c r="O2300" s="2" t="str">
        <f aca="false">IF(D2300="","",IF(D2300=C2300,1,0))</f>
        <v/>
      </c>
      <c r="P2300" s="2" t="str">
        <f aca="false">IF(D2300="","",IF(D2300&lt;C2300,1,0))</f>
        <v/>
      </c>
      <c r="Q2300" s="2" t="n">
        <f aca="false">IF(K2300=0,1,0)</f>
        <v>1</v>
      </c>
      <c r="R2300" s="2"/>
      <c r="S2300" s="2" t="n">
        <f aca="false">C2300</f>
        <v>0</v>
      </c>
      <c r="T2300" s="2" t="n">
        <f aca="false">D2300</f>
        <v>0</v>
      </c>
      <c r="U2300" s="3"/>
      <c r="V2300" s="3"/>
      <c r="W2300" s="3"/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/>
      <c r="B2301" s="2"/>
      <c r="C2301" s="2"/>
      <c r="D2301" s="2"/>
      <c r="E2301" s="2" t="str">
        <f aca="false">IF(C2301="","",IF(C2301&gt;D2301,3,IF(C2301=D2301,1,0)))</f>
        <v/>
      </c>
      <c r="F2301" s="2" t="str">
        <f aca="false">IF(C2301="","",IF(C2301&gt;D2301,1,0))</f>
        <v/>
      </c>
      <c r="G2301" s="2" t="str">
        <f aca="false">IF(C2301="","",IF(C2301=D2301,1,0))</f>
        <v/>
      </c>
      <c r="H2301" s="2" t="str">
        <f aca="false">IF(C2301="","",IF(C2301&lt;D2301,1,0))</f>
        <v/>
      </c>
      <c r="I2301" s="2" t="n">
        <f aca="false">IF(D2301=0,1,0)</f>
        <v>1</v>
      </c>
      <c r="J2301" s="2"/>
      <c r="K2301" s="2" t="n">
        <f aca="false">C2301</f>
        <v>0</v>
      </c>
      <c r="L2301" s="2" t="n">
        <f aca="false">D2301</f>
        <v>0</v>
      </c>
      <c r="M2301" s="2" t="str">
        <f aca="false">IF(D2301="","",IF(D2301&gt;C2301,3,IF(D2301=C2301,1,0)))</f>
        <v/>
      </c>
      <c r="N2301" s="2" t="str">
        <f aca="false">IF(D2301="","",IF(D2301&gt;C2301,1,0))</f>
        <v/>
      </c>
      <c r="O2301" s="2" t="str">
        <f aca="false">IF(D2301="","",IF(D2301=C2301,1,0))</f>
        <v/>
      </c>
      <c r="P2301" s="2" t="str">
        <f aca="false">IF(D2301="","",IF(D2301&lt;C2301,1,0))</f>
        <v/>
      </c>
      <c r="Q2301" s="2" t="n">
        <f aca="false">IF(K2301=0,1,0)</f>
        <v>1</v>
      </c>
      <c r="R2301" s="2"/>
      <c r="S2301" s="2" t="n">
        <f aca="false">C2301</f>
        <v>0</v>
      </c>
      <c r="T2301" s="2" t="n">
        <f aca="false">D2301</f>
        <v>0</v>
      </c>
      <c r="U2301" s="3"/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/>
      <c r="B2302" s="2"/>
      <c r="C2302" s="2"/>
      <c r="D2302" s="2"/>
      <c r="E2302" s="2" t="str">
        <f aca="false">IF(C2302="","",IF(C2302&gt;D2302,3,IF(C2302=D2302,1,0)))</f>
        <v/>
      </c>
      <c r="F2302" s="2" t="str">
        <f aca="false">IF(C2302="","",IF(C2302&gt;D2302,1,0))</f>
        <v/>
      </c>
      <c r="G2302" s="2" t="str">
        <f aca="false">IF(C2302="","",IF(C2302=D2302,1,0))</f>
        <v/>
      </c>
      <c r="H2302" s="2" t="str">
        <f aca="false">IF(C2302="","",IF(C2302&lt;D2302,1,0))</f>
        <v/>
      </c>
      <c r="I2302" s="2" t="n">
        <f aca="false">IF(D2302=0,1,0)</f>
        <v>1</v>
      </c>
      <c r="J2302" s="2"/>
      <c r="K2302" s="2" t="n">
        <f aca="false">C2302</f>
        <v>0</v>
      </c>
      <c r="L2302" s="2" t="n">
        <f aca="false">D2302</f>
        <v>0</v>
      </c>
      <c r="M2302" s="2" t="str">
        <f aca="false">IF(D2302="","",IF(D2302&gt;C2302,3,IF(D2302=C2302,1,0)))</f>
        <v/>
      </c>
      <c r="N2302" s="2" t="str">
        <f aca="false">IF(D2302="","",IF(D2302&gt;C2302,1,0))</f>
        <v/>
      </c>
      <c r="O2302" s="2" t="str">
        <f aca="false">IF(D2302="","",IF(D2302=C2302,1,0))</f>
        <v/>
      </c>
      <c r="P2302" s="2" t="str">
        <f aca="false">IF(D2302="","",IF(D2302&lt;C2302,1,0))</f>
        <v/>
      </c>
      <c r="Q2302" s="2" t="n">
        <f aca="false">IF(K2302=0,1,0)</f>
        <v>1</v>
      </c>
      <c r="R2302" s="2"/>
      <c r="S2302" s="2" t="n">
        <f aca="false">C2302</f>
        <v>0</v>
      </c>
      <c r="T2302" s="2" t="n">
        <f aca="false">D2302</f>
        <v>0</v>
      </c>
      <c r="U2302" s="3"/>
      <c r="V2302" s="3"/>
      <c r="W2302" s="3"/>
      <c r="X2302" s="3"/>
      <c r="Y2302" s="3"/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/>
      <c r="B2303" s="2"/>
      <c r="C2303" s="2"/>
      <c r="D2303" s="2"/>
      <c r="E2303" s="2" t="str">
        <f aca="false">IF(C2303="","",IF(C2303&gt;D2303,3,IF(C2303=D2303,1,0)))</f>
        <v/>
      </c>
      <c r="F2303" s="2" t="str">
        <f aca="false">IF(C2303="","",IF(C2303&gt;D2303,1,0))</f>
        <v/>
      </c>
      <c r="G2303" s="2" t="str">
        <f aca="false">IF(C2303="","",IF(C2303=D2303,1,0))</f>
        <v/>
      </c>
      <c r="H2303" s="2" t="str">
        <f aca="false">IF(C2303="","",IF(C2303&lt;D2303,1,0))</f>
        <v/>
      </c>
      <c r="I2303" s="2" t="n">
        <f aca="false">IF(D2303=0,1,0)</f>
        <v>1</v>
      </c>
      <c r="J2303" s="2"/>
      <c r="K2303" s="2" t="n">
        <f aca="false">C2303</f>
        <v>0</v>
      </c>
      <c r="L2303" s="2" t="n">
        <f aca="false">D2303</f>
        <v>0</v>
      </c>
      <c r="M2303" s="2" t="str">
        <f aca="false">IF(D2303="","",IF(D2303&gt;C2303,3,IF(D2303=C2303,1,0)))</f>
        <v/>
      </c>
      <c r="N2303" s="2" t="str">
        <f aca="false">IF(D2303="","",IF(D2303&gt;C2303,1,0))</f>
        <v/>
      </c>
      <c r="O2303" s="2" t="str">
        <f aca="false">IF(D2303="","",IF(D2303=C2303,1,0))</f>
        <v/>
      </c>
      <c r="P2303" s="2" t="str">
        <f aca="false">IF(D2303="","",IF(D2303&lt;C2303,1,0))</f>
        <v/>
      </c>
      <c r="Q2303" s="2" t="n">
        <f aca="false">IF(K2303=0,1,0)</f>
        <v>1</v>
      </c>
      <c r="R2303" s="2"/>
      <c r="S2303" s="2" t="n">
        <f aca="false">C2303</f>
        <v>0</v>
      </c>
      <c r="T2303" s="2" t="n">
        <f aca="false">D2303</f>
        <v>0</v>
      </c>
      <c r="U2303" s="3"/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/>
      <c r="B2304" s="2"/>
      <c r="C2304" s="2"/>
      <c r="D2304" s="2"/>
      <c r="E2304" s="2" t="str">
        <f aca="false">IF(C2304="","",IF(C2304&gt;D2304,3,IF(C2304=D2304,1,0)))</f>
        <v/>
      </c>
      <c r="F2304" s="2" t="str">
        <f aca="false">IF(C2304="","",IF(C2304&gt;D2304,1,0))</f>
        <v/>
      </c>
      <c r="G2304" s="2" t="str">
        <f aca="false">IF(C2304="","",IF(C2304=D2304,1,0))</f>
        <v/>
      </c>
      <c r="H2304" s="2" t="str">
        <f aca="false">IF(C2304="","",IF(C2304&lt;D2304,1,0))</f>
        <v/>
      </c>
      <c r="I2304" s="2" t="n">
        <f aca="false">IF(D2304=0,1,0)</f>
        <v>1</v>
      </c>
      <c r="J2304" s="2"/>
      <c r="K2304" s="2" t="n">
        <f aca="false">C2304</f>
        <v>0</v>
      </c>
      <c r="L2304" s="2" t="n">
        <f aca="false">D2304</f>
        <v>0</v>
      </c>
      <c r="M2304" s="2" t="str">
        <f aca="false">IF(D2304="","",IF(D2304&gt;C2304,3,IF(D2304=C2304,1,0)))</f>
        <v/>
      </c>
      <c r="N2304" s="2" t="str">
        <f aca="false">IF(D2304="","",IF(D2304&gt;C2304,1,0))</f>
        <v/>
      </c>
      <c r="O2304" s="2" t="str">
        <f aca="false">IF(D2304="","",IF(D2304=C2304,1,0))</f>
        <v/>
      </c>
      <c r="P2304" s="2" t="str">
        <f aca="false">IF(D2304="","",IF(D2304&lt;C2304,1,0))</f>
        <v/>
      </c>
      <c r="Q2304" s="2" t="n">
        <f aca="false">IF(K2304=0,1,0)</f>
        <v>1</v>
      </c>
      <c r="R2304" s="2"/>
      <c r="S2304" s="2" t="n">
        <f aca="false">C2304</f>
        <v>0</v>
      </c>
      <c r="T2304" s="2" t="n">
        <f aca="false">D2304</f>
        <v>0</v>
      </c>
      <c r="U2304" s="3"/>
      <c r="V2304" s="3"/>
      <c r="W2304" s="3"/>
      <c r="X2304" s="3"/>
      <c r="Y2304" s="3"/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/>
      <c r="B2305" s="2"/>
      <c r="C2305" s="2"/>
      <c r="D2305" s="2"/>
      <c r="E2305" s="2" t="str">
        <f aca="false">IF(C2305="","",IF(C2305&gt;D2305,3,IF(C2305=D2305,1,0)))</f>
        <v/>
      </c>
      <c r="F2305" s="2" t="str">
        <f aca="false">IF(C2305="","",IF(C2305&gt;D2305,1,0))</f>
        <v/>
      </c>
      <c r="G2305" s="2" t="str">
        <f aca="false">IF(C2305="","",IF(C2305=D2305,1,0))</f>
        <v/>
      </c>
      <c r="H2305" s="2" t="str">
        <f aca="false">IF(C2305="","",IF(C2305&lt;D2305,1,0))</f>
        <v/>
      </c>
      <c r="I2305" s="2" t="n">
        <f aca="false">IF(D2305=0,1,0)</f>
        <v>1</v>
      </c>
      <c r="J2305" s="2"/>
      <c r="K2305" s="2" t="n">
        <f aca="false">C2305</f>
        <v>0</v>
      </c>
      <c r="L2305" s="2" t="n">
        <f aca="false">D2305</f>
        <v>0</v>
      </c>
      <c r="M2305" s="2" t="str">
        <f aca="false">IF(D2305="","",IF(D2305&gt;C2305,3,IF(D2305=C2305,1,0)))</f>
        <v/>
      </c>
      <c r="N2305" s="2" t="str">
        <f aca="false">IF(D2305="","",IF(D2305&gt;C2305,1,0))</f>
        <v/>
      </c>
      <c r="O2305" s="2" t="str">
        <f aca="false">IF(D2305="","",IF(D2305=C2305,1,0))</f>
        <v/>
      </c>
      <c r="P2305" s="2" t="str">
        <f aca="false">IF(D2305="","",IF(D2305&lt;C2305,1,0))</f>
        <v/>
      </c>
      <c r="Q2305" s="2" t="n">
        <f aca="false">IF(K2305=0,1,0)</f>
        <v>1</v>
      </c>
      <c r="R2305" s="2"/>
      <c r="S2305" s="2" t="n">
        <f aca="false">C2305</f>
        <v>0</v>
      </c>
      <c r="T2305" s="2" t="n">
        <f aca="false">D2305</f>
        <v>0</v>
      </c>
      <c r="U2305" s="3"/>
      <c r="V2305" s="3"/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/>
      <c r="B2306" s="2"/>
      <c r="C2306" s="2"/>
      <c r="D2306" s="2"/>
      <c r="E2306" s="2" t="str">
        <f aca="false">IF(C2306="","",IF(C2306&gt;D2306,3,IF(C2306=D2306,1,0)))</f>
        <v/>
      </c>
      <c r="F2306" s="2" t="str">
        <f aca="false">IF(C2306="","",IF(C2306&gt;D2306,1,0))</f>
        <v/>
      </c>
      <c r="G2306" s="2" t="str">
        <f aca="false">IF(C2306="","",IF(C2306=D2306,1,0))</f>
        <v/>
      </c>
      <c r="H2306" s="2" t="str">
        <f aca="false">IF(C2306="","",IF(C2306&lt;D2306,1,0))</f>
        <v/>
      </c>
      <c r="I2306" s="2" t="n">
        <f aca="false">IF(D2306=0,1,0)</f>
        <v>1</v>
      </c>
      <c r="J2306" s="2"/>
      <c r="K2306" s="2" t="n">
        <f aca="false">C2306</f>
        <v>0</v>
      </c>
      <c r="L2306" s="2" t="n">
        <f aca="false">D2306</f>
        <v>0</v>
      </c>
      <c r="M2306" s="2" t="str">
        <f aca="false">IF(D2306="","",IF(D2306&gt;C2306,3,IF(D2306=C2306,1,0)))</f>
        <v/>
      </c>
      <c r="N2306" s="2" t="str">
        <f aca="false">IF(D2306="","",IF(D2306&gt;C2306,1,0))</f>
        <v/>
      </c>
      <c r="O2306" s="2" t="str">
        <f aca="false">IF(D2306="","",IF(D2306=C2306,1,0))</f>
        <v/>
      </c>
      <c r="P2306" s="2" t="str">
        <f aca="false">IF(D2306="","",IF(D2306&lt;C2306,1,0))</f>
        <v/>
      </c>
      <c r="Q2306" s="2" t="n">
        <f aca="false">IF(K2306=0,1,0)</f>
        <v>1</v>
      </c>
      <c r="R2306" s="2"/>
      <c r="S2306" s="2" t="n">
        <f aca="false">C2306</f>
        <v>0</v>
      </c>
      <c r="T2306" s="2" t="n">
        <f aca="false">D2306</f>
        <v>0</v>
      </c>
      <c r="U2306" s="3"/>
      <c r="V2306" s="3"/>
      <c r="W2306" s="3"/>
      <c r="X2306" s="3"/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/>
      <c r="B2307" s="2"/>
      <c r="C2307" s="2"/>
      <c r="D2307" s="2"/>
      <c r="E2307" s="2" t="str">
        <f aca="false">IF(C2307="","",IF(C2307&gt;D2307,3,IF(C2307=D2307,1,0)))</f>
        <v/>
      </c>
      <c r="F2307" s="2" t="str">
        <f aca="false">IF(C2307="","",IF(C2307&gt;D2307,1,0))</f>
        <v/>
      </c>
      <c r="G2307" s="2" t="str">
        <f aca="false">IF(C2307="","",IF(C2307=D2307,1,0))</f>
        <v/>
      </c>
      <c r="H2307" s="2" t="str">
        <f aca="false">IF(C2307="","",IF(C2307&lt;D2307,1,0))</f>
        <v/>
      </c>
      <c r="I2307" s="2" t="n">
        <f aca="false">IF(D2307=0,1,0)</f>
        <v>1</v>
      </c>
      <c r="J2307" s="2"/>
      <c r="K2307" s="2" t="n">
        <f aca="false">C2307</f>
        <v>0</v>
      </c>
      <c r="L2307" s="2" t="n">
        <f aca="false">D2307</f>
        <v>0</v>
      </c>
      <c r="M2307" s="2" t="str">
        <f aca="false">IF(D2307="","",IF(D2307&gt;C2307,3,IF(D2307=C2307,1,0)))</f>
        <v/>
      </c>
      <c r="N2307" s="2" t="str">
        <f aca="false">IF(D2307="","",IF(D2307&gt;C2307,1,0))</f>
        <v/>
      </c>
      <c r="O2307" s="2" t="str">
        <f aca="false">IF(D2307="","",IF(D2307=C2307,1,0))</f>
        <v/>
      </c>
      <c r="P2307" s="2" t="str">
        <f aca="false">IF(D2307="","",IF(D2307&lt;C2307,1,0))</f>
        <v/>
      </c>
      <c r="Q2307" s="2" t="n">
        <f aca="false">IF(K2307=0,1,0)</f>
        <v>1</v>
      </c>
      <c r="R2307" s="2"/>
      <c r="S2307" s="2" t="n">
        <f aca="false">C2307</f>
        <v>0</v>
      </c>
      <c r="T2307" s="2" t="n">
        <f aca="false">D2307</f>
        <v>0</v>
      </c>
      <c r="U2307" s="3"/>
      <c r="V2307" s="3"/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/>
      <c r="B2308" s="2"/>
      <c r="C2308" s="2"/>
      <c r="D2308" s="2"/>
      <c r="E2308" s="2" t="str">
        <f aca="false">IF(C2308="","",IF(C2308&gt;D2308,3,IF(C2308=D2308,1,0)))</f>
        <v/>
      </c>
      <c r="F2308" s="2" t="str">
        <f aca="false">IF(C2308="","",IF(C2308&gt;D2308,1,0))</f>
        <v/>
      </c>
      <c r="G2308" s="2" t="str">
        <f aca="false">IF(C2308="","",IF(C2308=D2308,1,0))</f>
        <v/>
      </c>
      <c r="H2308" s="2" t="str">
        <f aca="false">IF(C2308="","",IF(C2308&lt;D2308,1,0))</f>
        <v/>
      </c>
      <c r="I2308" s="2" t="n">
        <f aca="false">IF(D2308=0,1,0)</f>
        <v>1</v>
      </c>
      <c r="J2308" s="2"/>
      <c r="K2308" s="2" t="n">
        <f aca="false">C2308</f>
        <v>0</v>
      </c>
      <c r="L2308" s="2" t="n">
        <f aca="false">D2308</f>
        <v>0</v>
      </c>
      <c r="M2308" s="2" t="str">
        <f aca="false">IF(D2308="","",IF(D2308&gt;C2308,3,IF(D2308=C2308,1,0)))</f>
        <v/>
      </c>
      <c r="N2308" s="2" t="str">
        <f aca="false">IF(D2308="","",IF(D2308&gt;C2308,1,0))</f>
        <v/>
      </c>
      <c r="O2308" s="2" t="str">
        <f aca="false">IF(D2308="","",IF(D2308=C2308,1,0))</f>
        <v/>
      </c>
      <c r="P2308" s="2" t="str">
        <f aca="false">IF(D2308="","",IF(D2308&lt;C2308,1,0))</f>
        <v/>
      </c>
      <c r="Q2308" s="2" t="n">
        <f aca="false">IF(K2308=0,1,0)</f>
        <v>1</v>
      </c>
      <c r="R2308" s="2"/>
      <c r="S2308" s="2" t="n">
        <f aca="false">C2308</f>
        <v>0</v>
      </c>
      <c r="T2308" s="2" t="n">
        <f aca="false">D2308</f>
        <v>0</v>
      </c>
      <c r="U2308" s="3"/>
      <c r="V2308" s="3"/>
      <c r="W2308" s="3"/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/>
      <c r="B2309" s="2"/>
      <c r="C2309" s="2"/>
      <c r="D2309" s="2"/>
      <c r="E2309" s="2" t="str">
        <f aca="false">IF(C2309="","",IF(C2309&gt;D2309,3,IF(C2309=D2309,1,0)))</f>
        <v/>
      </c>
      <c r="F2309" s="2" t="str">
        <f aca="false">IF(C2309="","",IF(C2309&gt;D2309,1,0))</f>
        <v/>
      </c>
      <c r="G2309" s="2" t="str">
        <f aca="false">IF(C2309="","",IF(C2309=D2309,1,0))</f>
        <v/>
      </c>
      <c r="H2309" s="2" t="str">
        <f aca="false">IF(C2309="","",IF(C2309&lt;D2309,1,0))</f>
        <v/>
      </c>
      <c r="I2309" s="2" t="n">
        <f aca="false">IF(D2309=0,1,0)</f>
        <v>1</v>
      </c>
      <c r="J2309" s="2"/>
      <c r="K2309" s="2" t="n">
        <f aca="false">C2309</f>
        <v>0</v>
      </c>
      <c r="L2309" s="2" t="n">
        <f aca="false">D2309</f>
        <v>0</v>
      </c>
      <c r="M2309" s="2" t="str">
        <f aca="false">IF(D2309="","",IF(D2309&gt;C2309,3,IF(D2309=C2309,1,0)))</f>
        <v/>
      </c>
      <c r="N2309" s="2" t="str">
        <f aca="false">IF(D2309="","",IF(D2309&gt;C2309,1,0))</f>
        <v/>
      </c>
      <c r="O2309" s="2" t="str">
        <f aca="false">IF(D2309="","",IF(D2309=C2309,1,0))</f>
        <v/>
      </c>
      <c r="P2309" s="2" t="str">
        <f aca="false">IF(D2309="","",IF(D2309&lt;C2309,1,0))</f>
        <v/>
      </c>
      <c r="Q2309" s="2" t="n">
        <f aca="false">IF(K2309=0,1,0)</f>
        <v>1</v>
      </c>
      <c r="R2309" s="2"/>
      <c r="S2309" s="2" t="n">
        <f aca="false">C2309</f>
        <v>0</v>
      </c>
      <c r="T2309" s="2" t="n">
        <f aca="false">D2309</f>
        <v>0</v>
      </c>
      <c r="U2309" s="3"/>
      <c r="V2309" s="3"/>
      <c r="W2309" s="3"/>
      <c r="X2309" s="3"/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/>
      <c r="B2310" s="2"/>
      <c r="C2310" s="2"/>
      <c r="D2310" s="2"/>
      <c r="E2310" s="2" t="str">
        <f aca="false">IF(C2310="","",IF(C2310&gt;D2310,3,IF(C2310=D2310,1,0)))</f>
        <v/>
      </c>
      <c r="F2310" s="2" t="str">
        <f aca="false">IF(C2310="","",IF(C2310&gt;D2310,1,0))</f>
        <v/>
      </c>
      <c r="G2310" s="2" t="str">
        <f aca="false">IF(C2310="","",IF(C2310=D2310,1,0))</f>
        <v/>
      </c>
      <c r="H2310" s="2" t="str">
        <f aca="false">IF(C2310="","",IF(C2310&lt;D2310,1,0))</f>
        <v/>
      </c>
      <c r="I2310" s="2" t="n">
        <f aca="false">IF(D2310=0,1,0)</f>
        <v>1</v>
      </c>
      <c r="J2310" s="2"/>
      <c r="K2310" s="2" t="n">
        <f aca="false">C2310</f>
        <v>0</v>
      </c>
      <c r="L2310" s="2" t="n">
        <f aca="false">D2310</f>
        <v>0</v>
      </c>
      <c r="M2310" s="2" t="str">
        <f aca="false">IF(D2310="","",IF(D2310&gt;C2310,3,IF(D2310=C2310,1,0)))</f>
        <v/>
      </c>
      <c r="N2310" s="2" t="str">
        <f aca="false">IF(D2310="","",IF(D2310&gt;C2310,1,0))</f>
        <v/>
      </c>
      <c r="O2310" s="2" t="str">
        <f aca="false">IF(D2310="","",IF(D2310=C2310,1,0))</f>
        <v/>
      </c>
      <c r="P2310" s="2" t="str">
        <f aca="false">IF(D2310="","",IF(D2310&lt;C2310,1,0))</f>
        <v/>
      </c>
      <c r="Q2310" s="2" t="n">
        <f aca="false">IF(K2310=0,1,0)</f>
        <v>1</v>
      </c>
      <c r="R2310" s="2"/>
      <c r="S2310" s="2" t="n">
        <f aca="false">C2310</f>
        <v>0</v>
      </c>
      <c r="T2310" s="2" t="n">
        <f aca="false">D2310</f>
        <v>0</v>
      </c>
      <c r="U2310" s="3"/>
      <c r="V2310" s="3"/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/>
      <c r="B2311" s="2"/>
      <c r="C2311" s="2"/>
      <c r="D2311" s="2"/>
      <c r="E2311" s="2" t="str">
        <f aca="false">IF(C2311="","",IF(C2311&gt;D2311,3,IF(C2311=D2311,1,0)))</f>
        <v/>
      </c>
      <c r="F2311" s="2" t="str">
        <f aca="false">IF(C2311="","",IF(C2311&gt;D2311,1,0))</f>
        <v/>
      </c>
      <c r="G2311" s="2" t="str">
        <f aca="false">IF(C2311="","",IF(C2311=D2311,1,0))</f>
        <v/>
      </c>
      <c r="H2311" s="2" t="str">
        <f aca="false">IF(C2311="","",IF(C2311&lt;D2311,1,0))</f>
        <v/>
      </c>
      <c r="I2311" s="2" t="n">
        <f aca="false">IF(D2311=0,1,0)</f>
        <v>1</v>
      </c>
      <c r="J2311" s="2"/>
      <c r="K2311" s="2" t="n">
        <f aca="false">C2311</f>
        <v>0</v>
      </c>
      <c r="L2311" s="2" t="n">
        <f aca="false">D2311</f>
        <v>0</v>
      </c>
      <c r="M2311" s="2" t="str">
        <f aca="false">IF(D2311="","",IF(D2311&gt;C2311,3,IF(D2311=C2311,1,0)))</f>
        <v/>
      </c>
      <c r="N2311" s="2" t="str">
        <f aca="false">IF(D2311="","",IF(D2311&gt;C2311,1,0))</f>
        <v/>
      </c>
      <c r="O2311" s="2" t="str">
        <f aca="false">IF(D2311="","",IF(D2311=C2311,1,0))</f>
        <v/>
      </c>
      <c r="P2311" s="2" t="str">
        <f aca="false">IF(D2311="","",IF(D2311&lt;C2311,1,0))</f>
        <v/>
      </c>
      <c r="Q2311" s="2" t="n">
        <f aca="false">IF(K2311=0,1,0)</f>
        <v>1</v>
      </c>
      <c r="R2311" s="2"/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/>
      <c r="B2312" s="2"/>
      <c r="C2312" s="2"/>
      <c r="D2312" s="2"/>
      <c r="E2312" s="2" t="str">
        <f aca="false">IF(C2312="","",IF(C2312&gt;D2312,3,IF(C2312=D2312,1,0)))</f>
        <v/>
      </c>
      <c r="F2312" s="2" t="str">
        <f aca="false">IF(C2312="","",IF(C2312&gt;D2312,1,0))</f>
        <v/>
      </c>
      <c r="G2312" s="2" t="str">
        <f aca="false">IF(C2312="","",IF(C2312=D2312,1,0))</f>
        <v/>
      </c>
      <c r="H2312" s="2" t="str">
        <f aca="false">IF(C2312="","",IF(C2312&lt;D2312,1,0))</f>
        <v/>
      </c>
      <c r="I2312" s="2" t="n">
        <f aca="false">IF(D2312=0,1,0)</f>
        <v>1</v>
      </c>
      <c r="J2312" s="2"/>
      <c r="K2312" s="2" t="n">
        <f aca="false">C2312</f>
        <v>0</v>
      </c>
      <c r="L2312" s="2" t="n">
        <f aca="false">D2312</f>
        <v>0</v>
      </c>
      <c r="M2312" s="2" t="str">
        <f aca="false">IF(D2312="","",IF(D2312&gt;C2312,3,IF(D2312=C2312,1,0)))</f>
        <v/>
      </c>
      <c r="N2312" s="2" t="str">
        <f aca="false">IF(D2312="","",IF(D2312&gt;C2312,1,0))</f>
        <v/>
      </c>
      <c r="O2312" s="2" t="str">
        <f aca="false">IF(D2312="","",IF(D2312=C2312,1,0))</f>
        <v/>
      </c>
      <c r="P2312" s="2" t="str">
        <f aca="false">IF(D2312="","",IF(D2312&lt;C2312,1,0))</f>
        <v/>
      </c>
      <c r="Q2312" s="2" t="n">
        <f aca="false">IF(K2312=0,1,0)</f>
        <v>1</v>
      </c>
      <c r="R2312" s="2"/>
      <c r="S2312" s="2" t="n">
        <f aca="false">C2312</f>
        <v>0</v>
      </c>
      <c r="T2312" s="2" t="n">
        <f aca="false">D2312</f>
        <v>0</v>
      </c>
      <c r="U2312" s="3"/>
      <c r="V2312" s="3"/>
      <c r="W2312" s="3"/>
      <c r="X2312" s="3"/>
      <c r="Y2312" s="3"/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/>
      <c r="B2313" s="2"/>
      <c r="C2313" s="2"/>
      <c r="D2313" s="2"/>
      <c r="E2313" s="2" t="str">
        <f aca="false">IF(C2313="","",IF(C2313&gt;D2313,3,IF(C2313=D2313,1,0)))</f>
        <v/>
      </c>
      <c r="F2313" s="2" t="str">
        <f aca="false">IF(C2313="","",IF(C2313&gt;D2313,1,0))</f>
        <v/>
      </c>
      <c r="G2313" s="2" t="str">
        <f aca="false">IF(C2313="","",IF(C2313=D2313,1,0))</f>
        <v/>
      </c>
      <c r="H2313" s="2" t="str">
        <f aca="false">IF(C2313="","",IF(C2313&lt;D2313,1,0))</f>
        <v/>
      </c>
      <c r="I2313" s="2" t="n">
        <f aca="false">IF(D2313=0,1,0)</f>
        <v>1</v>
      </c>
      <c r="J2313" s="2"/>
      <c r="K2313" s="2" t="n">
        <f aca="false">C2313</f>
        <v>0</v>
      </c>
      <c r="L2313" s="2" t="n">
        <f aca="false">D2313</f>
        <v>0</v>
      </c>
      <c r="M2313" s="2" t="str">
        <f aca="false">IF(D2313="","",IF(D2313&gt;C2313,3,IF(D2313=C2313,1,0)))</f>
        <v/>
      </c>
      <c r="N2313" s="2" t="str">
        <f aca="false">IF(D2313="","",IF(D2313&gt;C2313,1,0))</f>
        <v/>
      </c>
      <c r="O2313" s="2" t="str">
        <f aca="false">IF(D2313="","",IF(D2313=C2313,1,0))</f>
        <v/>
      </c>
      <c r="P2313" s="2" t="str">
        <f aca="false">IF(D2313="","",IF(D2313&lt;C2313,1,0))</f>
        <v/>
      </c>
      <c r="Q2313" s="2" t="n">
        <f aca="false">IF(K2313=0,1,0)</f>
        <v>1</v>
      </c>
      <c r="R2313" s="2"/>
      <c r="S2313" s="2" t="n">
        <f aca="false">C2313</f>
        <v>0</v>
      </c>
      <c r="T2313" s="2" t="n">
        <f aca="false">D2313</f>
        <v>0</v>
      </c>
      <c r="U2313" s="3"/>
      <c r="V2313" s="3"/>
      <c r="W2313" s="3"/>
      <c r="X2313" s="3"/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/>
      <c r="B2314" s="2"/>
      <c r="C2314" s="2"/>
      <c r="D2314" s="2"/>
      <c r="E2314" s="2" t="str">
        <f aca="false">IF(C2314="","",IF(C2314&gt;D2314,3,IF(C2314=D2314,1,0)))</f>
        <v/>
      </c>
      <c r="F2314" s="2" t="str">
        <f aca="false">IF(C2314="","",IF(C2314&gt;D2314,1,0))</f>
        <v/>
      </c>
      <c r="G2314" s="2" t="str">
        <f aca="false">IF(C2314="","",IF(C2314=D2314,1,0))</f>
        <v/>
      </c>
      <c r="H2314" s="2" t="str">
        <f aca="false">IF(C2314="","",IF(C2314&lt;D2314,1,0))</f>
        <v/>
      </c>
      <c r="I2314" s="2" t="n">
        <f aca="false">IF(D2314=0,1,0)</f>
        <v>1</v>
      </c>
      <c r="J2314" s="2"/>
      <c r="K2314" s="2" t="n">
        <f aca="false">C2314</f>
        <v>0</v>
      </c>
      <c r="L2314" s="2" t="n">
        <f aca="false">D2314</f>
        <v>0</v>
      </c>
      <c r="M2314" s="2" t="str">
        <f aca="false">IF(D2314="","",IF(D2314&gt;C2314,3,IF(D2314=C2314,1,0)))</f>
        <v/>
      </c>
      <c r="N2314" s="2" t="str">
        <f aca="false">IF(D2314="","",IF(D2314&gt;C2314,1,0))</f>
        <v/>
      </c>
      <c r="O2314" s="2" t="str">
        <f aca="false">IF(D2314="","",IF(D2314=C2314,1,0))</f>
        <v/>
      </c>
      <c r="P2314" s="2" t="str">
        <f aca="false">IF(D2314="","",IF(D2314&lt;C2314,1,0))</f>
        <v/>
      </c>
      <c r="Q2314" s="2" t="n">
        <f aca="false">IF(K2314=0,1,0)</f>
        <v>1</v>
      </c>
      <c r="R2314" s="2"/>
      <c r="S2314" s="2" t="n">
        <f aca="false">C2314</f>
        <v>0</v>
      </c>
      <c r="T2314" s="2" t="n">
        <f aca="false">D2314</f>
        <v>0</v>
      </c>
      <c r="U2314" s="3"/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/>
      <c r="B2315" s="2"/>
      <c r="C2315" s="2"/>
      <c r="D2315" s="2"/>
      <c r="E2315" s="2" t="str">
        <f aca="false">IF(C2315="","",IF(C2315&gt;D2315,3,IF(C2315=D2315,1,0)))</f>
        <v/>
      </c>
      <c r="F2315" s="2" t="str">
        <f aca="false">IF(C2315="","",IF(C2315&gt;D2315,1,0))</f>
        <v/>
      </c>
      <c r="G2315" s="2" t="str">
        <f aca="false">IF(C2315="","",IF(C2315=D2315,1,0))</f>
        <v/>
      </c>
      <c r="H2315" s="2" t="str">
        <f aca="false">IF(C2315="","",IF(C2315&lt;D2315,1,0))</f>
        <v/>
      </c>
      <c r="I2315" s="2" t="n">
        <f aca="false">IF(D2315=0,1,0)</f>
        <v>1</v>
      </c>
      <c r="J2315" s="2"/>
      <c r="K2315" s="2" t="n">
        <f aca="false">C2315</f>
        <v>0</v>
      </c>
      <c r="L2315" s="2" t="n">
        <f aca="false">D2315</f>
        <v>0</v>
      </c>
      <c r="M2315" s="2" t="str">
        <f aca="false">IF(D2315="","",IF(D2315&gt;C2315,3,IF(D2315=C2315,1,0)))</f>
        <v/>
      </c>
      <c r="N2315" s="2" t="str">
        <f aca="false">IF(D2315="","",IF(D2315&gt;C2315,1,0))</f>
        <v/>
      </c>
      <c r="O2315" s="2" t="str">
        <f aca="false">IF(D2315="","",IF(D2315=C2315,1,0))</f>
        <v/>
      </c>
      <c r="P2315" s="2" t="str">
        <f aca="false">IF(D2315="","",IF(D2315&lt;C2315,1,0))</f>
        <v/>
      </c>
      <c r="Q2315" s="2" t="n">
        <f aca="false">IF(K2315=0,1,0)</f>
        <v>1</v>
      </c>
      <c r="R2315" s="2"/>
      <c r="S2315" s="2" t="n">
        <f aca="false">C2315</f>
        <v>0</v>
      </c>
      <c r="T2315" s="2" t="n">
        <f aca="false">D2315</f>
        <v>0</v>
      </c>
      <c r="U2315" s="3"/>
      <c r="V2315" s="3"/>
      <c r="W2315" s="3"/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/>
      <c r="B2316" s="2"/>
      <c r="C2316" s="2"/>
      <c r="D2316" s="2"/>
      <c r="E2316" s="2" t="str">
        <f aca="false">IF(C2316="","",IF(C2316&gt;D2316,3,IF(C2316=D2316,1,0)))</f>
        <v/>
      </c>
      <c r="F2316" s="2" t="str">
        <f aca="false">IF(C2316="","",IF(C2316&gt;D2316,1,0))</f>
        <v/>
      </c>
      <c r="G2316" s="2" t="str">
        <f aca="false">IF(C2316="","",IF(C2316=D2316,1,0))</f>
        <v/>
      </c>
      <c r="H2316" s="2" t="str">
        <f aca="false">IF(C2316="","",IF(C2316&lt;D2316,1,0))</f>
        <v/>
      </c>
      <c r="I2316" s="2" t="n">
        <f aca="false">IF(D2316=0,1,0)</f>
        <v>1</v>
      </c>
      <c r="J2316" s="2"/>
      <c r="K2316" s="2" t="n">
        <f aca="false">C2316</f>
        <v>0</v>
      </c>
      <c r="L2316" s="2" t="n">
        <f aca="false">D2316</f>
        <v>0</v>
      </c>
      <c r="M2316" s="2" t="str">
        <f aca="false">IF(D2316="","",IF(D2316&gt;C2316,3,IF(D2316=C2316,1,0)))</f>
        <v/>
      </c>
      <c r="N2316" s="2" t="str">
        <f aca="false">IF(D2316="","",IF(D2316&gt;C2316,1,0))</f>
        <v/>
      </c>
      <c r="O2316" s="2" t="str">
        <f aca="false">IF(D2316="","",IF(D2316=C2316,1,0))</f>
        <v/>
      </c>
      <c r="P2316" s="2" t="str">
        <f aca="false">IF(D2316="","",IF(D2316&lt;C2316,1,0))</f>
        <v/>
      </c>
      <c r="Q2316" s="2" t="n">
        <f aca="false">IF(K2316=0,1,0)</f>
        <v>1</v>
      </c>
      <c r="R2316" s="2"/>
      <c r="S2316" s="2" t="n">
        <f aca="false">C2316</f>
        <v>0</v>
      </c>
      <c r="T2316" s="2" t="n">
        <f aca="false">D2316</f>
        <v>0</v>
      </c>
      <c r="U2316" s="3"/>
      <c r="V2316" s="3"/>
      <c r="W2316" s="3"/>
      <c r="X2316" s="3"/>
      <c r="Y2316" s="3"/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/>
      <c r="B2317" s="2"/>
      <c r="C2317" s="2"/>
      <c r="D2317" s="2"/>
      <c r="E2317" s="2" t="str">
        <f aca="false">IF(C2317="","",IF(C2317&gt;D2317,3,IF(C2317=D2317,1,0)))</f>
        <v/>
      </c>
      <c r="F2317" s="2" t="str">
        <f aca="false">IF(C2317="","",IF(C2317&gt;D2317,1,0))</f>
        <v/>
      </c>
      <c r="G2317" s="2" t="str">
        <f aca="false">IF(C2317="","",IF(C2317=D2317,1,0))</f>
        <v/>
      </c>
      <c r="H2317" s="2" t="str">
        <f aca="false">IF(C2317="","",IF(C2317&lt;D2317,1,0))</f>
        <v/>
      </c>
      <c r="I2317" s="2" t="n">
        <f aca="false">IF(D2317=0,1,0)</f>
        <v>1</v>
      </c>
      <c r="J2317" s="2"/>
      <c r="K2317" s="2" t="n">
        <f aca="false">C2317</f>
        <v>0</v>
      </c>
      <c r="L2317" s="2" t="n">
        <f aca="false">D2317</f>
        <v>0</v>
      </c>
      <c r="M2317" s="2" t="str">
        <f aca="false">IF(D2317="","",IF(D2317&gt;C2317,3,IF(D2317=C2317,1,0)))</f>
        <v/>
      </c>
      <c r="N2317" s="2" t="str">
        <f aca="false">IF(D2317="","",IF(D2317&gt;C2317,1,0))</f>
        <v/>
      </c>
      <c r="O2317" s="2" t="str">
        <f aca="false">IF(D2317="","",IF(D2317=C2317,1,0))</f>
        <v/>
      </c>
      <c r="P2317" s="2" t="str">
        <f aca="false">IF(D2317="","",IF(D2317&lt;C2317,1,0))</f>
        <v/>
      </c>
      <c r="Q2317" s="2" t="n">
        <f aca="false">IF(K2317=0,1,0)</f>
        <v>1</v>
      </c>
      <c r="R2317" s="2"/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/>
      <c r="B2318" s="2"/>
      <c r="C2318" s="2"/>
      <c r="D2318" s="2"/>
      <c r="E2318" s="2" t="str">
        <f aca="false">IF(C2318="","",IF(C2318&gt;D2318,3,IF(C2318=D2318,1,0)))</f>
        <v/>
      </c>
      <c r="F2318" s="2" t="str">
        <f aca="false">IF(C2318="","",IF(C2318&gt;D2318,1,0))</f>
        <v/>
      </c>
      <c r="G2318" s="2" t="str">
        <f aca="false">IF(C2318="","",IF(C2318=D2318,1,0))</f>
        <v/>
      </c>
      <c r="H2318" s="2" t="str">
        <f aca="false">IF(C2318="","",IF(C2318&lt;D2318,1,0))</f>
        <v/>
      </c>
      <c r="I2318" s="2" t="n">
        <f aca="false">IF(D2318=0,1,0)</f>
        <v>1</v>
      </c>
      <c r="J2318" s="2"/>
      <c r="K2318" s="2" t="n">
        <f aca="false">C2318</f>
        <v>0</v>
      </c>
      <c r="L2318" s="2" t="n">
        <f aca="false">D2318</f>
        <v>0</v>
      </c>
      <c r="M2318" s="2" t="str">
        <f aca="false">IF(D2318="","",IF(D2318&gt;C2318,3,IF(D2318=C2318,1,0)))</f>
        <v/>
      </c>
      <c r="N2318" s="2" t="str">
        <f aca="false">IF(D2318="","",IF(D2318&gt;C2318,1,0))</f>
        <v/>
      </c>
      <c r="O2318" s="2" t="str">
        <f aca="false">IF(D2318="","",IF(D2318=C2318,1,0))</f>
        <v/>
      </c>
      <c r="P2318" s="2" t="str">
        <f aca="false">IF(D2318="","",IF(D2318&lt;C2318,1,0))</f>
        <v/>
      </c>
      <c r="Q2318" s="2" t="n">
        <f aca="false">IF(K2318=0,1,0)</f>
        <v>1</v>
      </c>
      <c r="R2318" s="2"/>
      <c r="S2318" s="2" t="n">
        <f aca="false">C2318</f>
        <v>0</v>
      </c>
      <c r="T2318" s="2" t="n">
        <f aca="false">D2318</f>
        <v>0</v>
      </c>
      <c r="U2318" s="3"/>
      <c r="V2318" s="3"/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/>
      <c r="B2319" s="2"/>
      <c r="C2319" s="2"/>
      <c r="D2319" s="2"/>
      <c r="E2319" s="2" t="str">
        <f aca="false">IF(C2319="","",IF(C2319&gt;D2319,3,IF(C2319=D2319,1,0)))</f>
        <v/>
      </c>
      <c r="F2319" s="2" t="str">
        <f aca="false">IF(C2319="","",IF(C2319&gt;D2319,1,0))</f>
        <v/>
      </c>
      <c r="G2319" s="2" t="str">
        <f aca="false">IF(C2319="","",IF(C2319=D2319,1,0))</f>
        <v/>
      </c>
      <c r="H2319" s="2" t="str">
        <f aca="false">IF(C2319="","",IF(C2319&lt;D2319,1,0))</f>
        <v/>
      </c>
      <c r="I2319" s="2" t="n">
        <f aca="false">IF(D2319=0,1,0)</f>
        <v>1</v>
      </c>
      <c r="J2319" s="2"/>
      <c r="K2319" s="2" t="n">
        <f aca="false">C2319</f>
        <v>0</v>
      </c>
      <c r="L2319" s="2" t="n">
        <f aca="false">D2319</f>
        <v>0</v>
      </c>
      <c r="M2319" s="2" t="str">
        <f aca="false">IF(D2319="","",IF(D2319&gt;C2319,3,IF(D2319=C2319,1,0)))</f>
        <v/>
      </c>
      <c r="N2319" s="2" t="str">
        <f aca="false">IF(D2319="","",IF(D2319&gt;C2319,1,0))</f>
        <v/>
      </c>
      <c r="O2319" s="2" t="str">
        <f aca="false">IF(D2319="","",IF(D2319=C2319,1,0))</f>
        <v/>
      </c>
      <c r="P2319" s="2" t="str">
        <f aca="false">IF(D2319="","",IF(D2319&lt;C2319,1,0))</f>
        <v/>
      </c>
      <c r="Q2319" s="2" t="n">
        <f aca="false">IF(K2319=0,1,0)</f>
        <v>1</v>
      </c>
      <c r="R2319" s="2"/>
      <c r="S2319" s="2" t="n">
        <f aca="false">C2319</f>
        <v>0</v>
      </c>
      <c r="T2319" s="2" t="n">
        <f aca="false">D2319</f>
        <v>0</v>
      </c>
      <c r="U2319" s="3"/>
      <c r="V2319" s="3"/>
      <c r="W2319" s="3"/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/>
      <c r="B2320" s="2"/>
      <c r="C2320" s="2"/>
      <c r="D2320" s="2"/>
      <c r="E2320" s="2" t="str">
        <f aca="false">IF(C2320="","",IF(C2320&gt;D2320,3,IF(C2320=D2320,1,0)))</f>
        <v/>
      </c>
      <c r="F2320" s="2" t="str">
        <f aca="false">IF(C2320="","",IF(C2320&gt;D2320,1,0))</f>
        <v/>
      </c>
      <c r="G2320" s="2" t="str">
        <f aca="false">IF(C2320="","",IF(C2320=D2320,1,0))</f>
        <v/>
      </c>
      <c r="H2320" s="2" t="str">
        <f aca="false">IF(C2320="","",IF(C2320&lt;D2320,1,0))</f>
        <v/>
      </c>
      <c r="I2320" s="2" t="n">
        <f aca="false">IF(D2320=0,1,0)</f>
        <v>1</v>
      </c>
      <c r="J2320" s="2"/>
      <c r="K2320" s="2" t="n">
        <f aca="false">C2320</f>
        <v>0</v>
      </c>
      <c r="L2320" s="2" t="n">
        <f aca="false">D2320</f>
        <v>0</v>
      </c>
      <c r="M2320" s="2" t="str">
        <f aca="false">IF(D2320="","",IF(D2320&gt;C2320,3,IF(D2320=C2320,1,0)))</f>
        <v/>
      </c>
      <c r="N2320" s="2" t="str">
        <f aca="false">IF(D2320="","",IF(D2320&gt;C2320,1,0))</f>
        <v/>
      </c>
      <c r="O2320" s="2" t="str">
        <f aca="false">IF(D2320="","",IF(D2320=C2320,1,0))</f>
        <v/>
      </c>
      <c r="P2320" s="2" t="str">
        <f aca="false">IF(D2320="","",IF(D2320&lt;C2320,1,0))</f>
        <v/>
      </c>
      <c r="Q2320" s="2" t="n">
        <f aca="false">IF(K2320=0,1,0)</f>
        <v>1</v>
      </c>
      <c r="R2320" s="2"/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/>
      <c r="B2321" s="2"/>
      <c r="C2321" s="2"/>
      <c r="D2321" s="2"/>
      <c r="E2321" s="2" t="str">
        <f aca="false">IF(C2321="","",IF(C2321&gt;D2321,3,IF(C2321=D2321,1,0)))</f>
        <v/>
      </c>
      <c r="F2321" s="2" t="str">
        <f aca="false">IF(C2321="","",IF(C2321&gt;D2321,1,0))</f>
        <v/>
      </c>
      <c r="G2321" s="2" t="str">
        <f aca="false">IF(C2321="","",IF(C2321=D2321,1,0))</f>
        <v/>
      </c>
      <c r="H2321" s="2" t="str">
        <f aca="false">IF(C2321="","",IF(C2321&lt;D2321,1,0))</f>
        <v/>
      </c>
      <c r="I2321" s="2" t="n">
        <f aca="false">IF(D2321=0,1,0)</f>
        <v>1</v>
      </c>
      <c r="J2321" s="2"/>
      <c r="K2321" s="2" t="n">
        <f aca="false">C2321</f>
        <v>0</v>
      </c>
      <c r="L2321" s="2" t="n">
        <f aca="false">D2321</f>
        <v>0</v>
      </c>
      <c r="M2321" s="2" t="str">
        <f aca="false">IF(D2321="","",IF(D2321&gt;C2321,3,IF(D2321=C2321,1,0)))</f>
        <v/>
      </c>
      <c r="N2321" s="2" t="str">
        <f aca="false">IF(D2321="","",IF(D2321&gt;C2321,1,0))</f>
        <v/>
      </c>
      <c r="O2321" s="2" t="str">
        <f aca="false">IF(D2321="","",IF(D2321=C2321,1,0))</f>
        <v/>
      </c>
      <c r="P2321" s="2" t="str">
        <f aca="false">IF(D2321="","",IF(D2321&lt;C2321,1,0))</f>
        <v/>
      </c>
      <c r="Q2321" s="2" t="n">
        <f aca="false">IF(K2321=0,1,0)</f>
        <v>1</v>
      </c>
      <c r="R2321" s="2"/>
      <c r="S2321" s="2" t="n">
        <f aca="false">C2321</f>
        <v>0</v>
      </c>
      <c r="T2321" s="2" t="n">
        <f aca="false">D2321</f>
        <v>0</v>
      </c>
      <c r="U2321" s="3"/>
      <c r="V2321" s="3"/>
      <c r="W2321" s="3"/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/>
      <c r="B2322" s="2"/>
      <c r="C2322" s="2"/>
      <c r="D2322" s="2"/>
      <c r="E2322" s="2" t="str">
        <f aca="false">IF(C2322="","",IF(C2322&gt;D2322,3,IF(C2322=D2322,1,0)))</f>
        <v/>
      </c>
      <c r="F2322" s="2" t="str">
        <f aca="false">IF(C2322="","",IF(C2322&gt;D2322,1,0))</f>
        <v/>
      </c>
      <c r="G2322" s="2" t="str">
        <f aca="false">IF(C2322="","",IF(C2322=D2322,1,0))</f>
        <v/>
      </c>
      <c r="H2322" s="2" t="str">
        <f aca="false">IF(C2322="","",IF(C2322&lt;D2322,1,0))</f>
        <v/>
      </c>
      <c r="I2322" s="2" t="n">
        <f aca="false">IF(D2322=0,1,0)</f>
        <v>1</v>
      </c>
      <c r="J2322" s="2"/>
      <c r="K2322" s="2" t="n">
        <f aca="false">C2322</f>
        <v>0</v>
      </c>
      <c r="L2322" s="2" t="n">
        <f aca="false">D2322</f>
        <v>0</v>
      </c>
      <c r="M2322" s="2" t="str">
        <f aca="false">IF(D2322="","",IF(D2322&gt;C2322,3,IF(D2322=C2322,1,0)))</f>
        <v/>
      </c>
      <c r="N2322" s="2" t="str">
        <f aca="false">IF(D2322="","",IF(D2322&gt;C2322,1,0))</f>
        <v/>
      </c>
      <c r="O2322" s="2" t="str">
        <f aca="false">IF(D2322="","",IF(D2322=C2322,1,0))</f>
        <v/>
      </c>
      <c r="P2322" s="2" t="str">
        <f aca="false">IF(D2322="","",IF(D2322&lt;C2322,1,0))</f>
        <v/>
      </c>
      <c r="Q2322" s="2" t="n">
        <f aca="false">IF(K2322=0,1,0)</f>
        <v>1</v>
      </c>
      <c r="R2322" s="2"/>
      <c r="S2322" s="2" t="n">
        <f aca="false">C2322</f>
        <v>0</v>
      </c>
      <c r="T2322" s="2" t="n">
        <f aca="false">D2322</f>
        <v>0</v>
      </c>
      <c r="U2322" s="3"/>
      <c r="V2322" s="3"/>
      <c r="W2322" s="3"/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/>
      <c r="B2323" s="2"/>
      <c r="C2323" s="2"/>
      <c r="D2323" s="2"/>
      <c r="E2323" s="2" t="str">
        <f aca="false">IF(C2323="","",IF(C2323&gt;D2323,3,IF(C2323=D2323,1,0)))</f>
        <v/>
      </c>
      <c r="F2323" s="2" t="str">
        <f aca="false">IF(C2323="","",IF(C2323&gt;D2323,1,0))</f>
        <v/>
      </c>
      <c r="G2323" s="2" t="str">
        <f aca="false">IF(C2323="","",IF(C2323=D2323,1,0))</f>
        <v/>
      </c>
      <c r="H2323" s="2" t="str">
        <f aca="false">IF(C2323="","",IF(C2323&lt;D2323,1,0))</f>
        <v/>
      </c>
      <c r="I2323" s="2" t="n">
        <f aca="false">IF(D2323=0,1,0)</f>
        <v>1</v>
      </c>
      <c r="J2323" s="2"/>
      <c r="K2323" s="2" t="n">
        <f aca="false">C2323</f>
        <v>0</v>
      </c>
      <c r="L2323" s="2" t="n">
        <f aca="false">D2323</f>
        <v>0</v>
      </c>
      <c r="M2323" s="2" t="str">
        <f aca="false">IF(D2323="","",IF(D2323&gt;C2323,3,IF(D2323=C2323,1,0)))</f>
        <v/>
      </c>
      <c r="N2323" s="2" t="str">
        <f aca="false">IF(D2323="","",IF(D2323&gt;C2323,1,0))</f>
        <v/>
      </c>
      <c r="O2323" s="2" t="str">
        <f aca="false">IF(D2323="","",IF(D2323=C2323,1,0))</f>
        <v/>
      </c>
      <c r="P2323" s="2" t="str">
        <f aca="false">IF(D2323="","",IF(D2323&lt;C2323,1,0))</f>
        <v/>
      </c>
      <c r="Q2323" s="2" t="n">
        <f aca="false">IF(K2323=0,1,0)</f>
        <v>1</v>
      </c>
      <c r="R2323" s="2"/>
      <c r="S2323" s="2" t="n">
        <f aca="false">C2323</f>
        <v>0</v>
      </c>
      <c r="T2323" s="2" t="n">
        <f aca="false">D2323</f>
        <v>0</v>
      </c>
      <c r="U2323" s="3"/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/>
      <c r="B2324" s="2"/>
      <c r="C2324" s="2"/>
      <c r="D2324" s="2"/>
      <c r="E2324" s="2" t="str">
        <f aca="false">IF(C2324="","",IF(C2324&gt;D2324,3,IF(C2324=D2324,1,0)))</f>
        <v/>
      </c>
      <c r="F2324" s="2" t="str">
        <f aca="false">IF(C2324="","",IF(C2324&gt;D2324,1,0))</f>
        <v/>
      </c>
      <c r="G2324" s="2" t="str">
        <f aca="false">IF(C2324="","",IF(C2324=D2324,1,0))</f>
        <v/>
      </c>
      <c r="H2324" s="2" t="str">
        <f aca="false">IF(C2324="","",IF(C2324&lt;D2324,1,0))</f>
        <v/>
      </c>
      <c r="I2324" s="2" t="n">
        <f aca="false">IF(D2324=0,1,0)</f>
        <v>1</v>
      </c>
      <c r="J2324" s="2"/>
      <c r="K2324" s="2" t="n">
        <f aca="false">C2324</f>
        <v>0</v>
      </c>
      <c r="L2324" s="2" t="n">
        <f aca="false">D2324</f>
        <v>0</v>
      </c>
      <c r="M2324" s="2" t="str">
        <f aca="false">IF(D2324="","",IF(D2324&gt;C2324,3,IF(D2324=C2324,1,0)))</f>
        <v/>
      </c>
      <c r="N2324" s="2" t="str">
        <f aca="false">IF(D2324="","",IF(D2324&gt;C2324,1,0))</f>
        <v/>
      </c>
      <c r="O2324" s="2" t="str">
        <f aca="false">IF(D2324="","",IF(D2324=C2324,1,0))</f>
        <v/>
      </c>
      <c r="P2324" s="2" t="str">
        <f aca="false">IF(D2324="","",IF(D2324&lt;C2324,1,0))</f>
        <v/>
      </c>
      <c r="Q2324" s="2" t="n">
        <f aca="false">IF(K2324=0,1,0)</f>
        <v>1</v>
      </c>
      <c r="R2324" s="2"/>
      <c r="S2324" s="2" t="n">
        <f aca="false">C2324</f>
        <v>0</v>
      </c>
      <c r="T2324" s="2" t="n">
        <f aca="false">D2324</f>
        <v>0</v>
      </c>
      <c r="U2324" s="3"/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/>
      <c r="B2325" s="2"/>
      <c r="C2325" s="2"/>
      <c r="D2325" s="2"/>
      <c r="E2325" s="2" t="str">
        <f aca="false">IF(C2325="","",IF(C2325&gt;D2325,3,IF(C2325=D2325,1,0)))</f>
        <v/>
      </c>
      <c r="F2325" s="2" t="str">
        <f aca="false">IF(C2325="","",IF(C2325&gt;D2325,1,0))</f>
        <v/>
      </c>
      <c r="G2325" s="2" t="str">
        <f aca="false">IF(C2325="","",IF(C2325=D2325,1,0))</f>
        <v/>
      </c>
      <c r="H2325" s="2" t="str">
        <f aca="false">IF(C2325="","",IF(C2325&lt;D2325,1,0))</f>
        <v/>
      </c>
      <c r="I2325" s="2" t="n">
        <f aca="false">IF(D2325=0,1,0)</f>
        <v>1</v>
      </c>
      <c r="J2325" s="2"/>
      <c r="K2325" s="2" t="n">
        <f aca="false">C2325</f>
        <v>0</v>
      </c>
      <c r="L2325" s="2" t="n">
        <f aca="false">D2325</f>
        <v>0</v>
      </c>
      <c r="M2325" s="2" t="str">
        <f aca="false">IF(D2325="","",IF(D2325&gt;C2325,3,IF(D2325=C2325,1,0)))</f>
        <v/>
      </c>
      <c r="N2325" s="2" t="str">
        <f aca="false">IF(D2325="","",IF(D2325&gt;C2325,1,0))</f>
        <v/>
      </c>
      <c r="O2325" s="2" t="str">
        <f aca="false">IF(D2325="","",IF(D2325=C2325,1,0))</f>
        <v/>
      </c>
      <c r="P2325" s="2" t="str">
        <f aca="false">IF(D2325="","",IF(D2325&lt;C2325,1,0))</f>
        <v/>
      </c>
      <c r="Q2325" s="2" t="n">
        <f aca="false">IF(K2325=0,1,0)</f>
        <v>1</v>
      </c>
      <c r="R2325" s="2"/>
      <c r="S2325" s="2" t="n">
        <f aca="false">C2325</f>
        <v>0</v>
      </c>
      <c r="T2325" s="2" t="n">
        <f aca="false">D2325</f>
        <v>0</v>
      </c>
      <c r="U2325" s="3"/>
      <c r="V2325" s="3"/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/>
      <c r="B2326" s="2"/>
      <c r="C2326" s="2"/>
      <c r="D2326" s="2"/>
      <c r="E2326" s="2" t="str">
        <f aca="false">IF(C2326="","",IF(C2326&gt;D2326,3,IF(C2326=D2326,1,0)))</f>
        <v/>
      </c>
      <c r="F2326" s="2" t="str">
        <f aca="false">IF(C2326="","",IF(C2326&gt;D2326,1,0))</f>
        <v/>
      </c>
      <c r="G2326" s="2" t="str">
        <f aca="false">IF(C2326="","",IF(C2326=D2326,1,0))</f>
        <v/>
      </c>
      <c r="H2326" s="2" t="str">
        <f aca="false">IF(C2326="","",IF(C2326&lt;D2326,1,0))</f>
        <v/>
      </c>
      <c r="I2326" s="2" t="n">
        <f aca="false">IF(D2326=0,1,0)</f>
        <v>1</v>
      </c>
      <c r="J2326" s="2"/>
      <c r="K2326" s="2" t="n">
        <f aca="false">C2326</f>
        <v>0</v>
      </c>
      <c r="L2326" s="2" t="n">
        <f aca="false">D2326</f>
        <v>0</v>
      </c>
      <c r="M2326" s="2" t="str">
        <f aca="false">IF(D2326="","",IF(D2326&gt;C2326,3,IF(D2326=C2326,1,0)))</f>
        <v/>
      </c>
      <c r="N2326" s="2" t="str">
        <f aca="false">IF(D2326="","",IF(D2326&gt;C2326,1,0))</f>
        <v/>
      </c>
      <c r="O2326" s="2" t="str">
        <f aca="false">IF(D2326="","",IF(D2326=C2326,1,0))</f>
        <v/>
      </c>
      <c r="P2326" s="2" t="str">
        <f aca="false">IF(D2326="","",IF(D2326&lt;C2326,1,0))</f>
        <v/>
      </c>
      <c r="Q2326" s="2" t="n">
        <f aca="false">IF(K2326=0,1,0)</f>
        <v>1</v>
      </c>
      <c r="R2326" s="2"/>
      <c r="S2326" s="2" t="n">
        <f aca="false">C2326</f>
        <v>0</v>
      </c>
      <c r="T2326" s="2" t="n">
        <f aca="false">D2326</f>
        <v>0</v>
      </c>
      <c r="U2326" s="3"/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/>
      <c r="B2327" s="2"/>
      <c r="C2327" s="2"/>
      <c r="D2327" s="2"/>
      <c r="E2327" s="2" t="str">
        <f aca="false">IF(C2327="","",IF(C2327&gt;D2327,3,IF(C2327=D2327,1,0)))</f>
        <v/>
      </c>
      <c r="F2327" s="2" t="str">
        <f aca="false">IF(C2327="","",IF(C2327&gt;D2327,1,0))</f>
        <v/>
      </c>
      <c r="G2327" s="2" t="str">
        <f aca="false">IF(C2327="","",IF(C2327=D2327,1,0))</f>
        <v/>
      </c>
      <c r="H2327" s="2" t="str">
        <f aca="false">IF(C2327="","",IF(C2327&lt;D2327,1,0))</f>
        <v/>
      </c>
      <c r="I2327" s="2" t="n">
        <f aca="false">IF(D2327=0,1,0)</f>
        <v>1</v>
      </c>
      <c r="J2327" s="2"/>
      <c r="K2327" s="2" t="n">
        <f aca="false">C2327</f>
        <v>0</v>
      </c>
      <c r="L2327" s="2" t="n">
        <f aca="false">D2327</f>
        <v>0</v>
      </c>
      <c r="M2327" s="2" t="str">
        <f aca="false">IF(D2327="","",IF(D2327&gt;C2327,3,IF(D2327=C2327,1,0)))</f>
        <v/>
      </c>
      <c r="N2327" s="2" t="str">
        <f aca="false">IF(D2327="","",IF(D2327&gt;C2327,1,0))</f>
        <v/>
      </c>
      <c r="O2327" s="2" t="str">
        <f aca="false">IF(D2327="","",IF(D2327=C2327,1,0))</f>
        <v/>
      </c>
      <c r="P2327" s="2" t="str">
        <f aca="false">IF(D2327="","",IF(D2327&lt;C2327,1,0))</f>
        <v/>
      </c>
      <c r="Q2327" s="2" t="n">
        <f aca="false">IF(K2327=0,1,0)</f>
        <v>1</v>
      </c>
      <c r="R2327" s="2"/>
      <c r="S2327" s="2" t="n">
        <f aca="false">C2327</f>
        <v>0</v>
      </c>
      <c r="T2327" s="2" t="n">
        <f aca="false">D2327</f>
        <v>0</v>
      </c>
      <c r="U2327" s="3"/>
      <c r="V2327" s="3"/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/>
      <c r="B2328" s="2"/>
      <c r="C2328" s="2"/>
      <c r="D2328" s="2"/>
      <c r="E2328" s="2" t="str">
        <f aca="false">IF(C2328="","",IF(C2328&gt;D2328,3,IF(C2328=D2328,1,0)))</f>
        <v/>
      </c>
      <c r="F2328" s="2" t="str">
        <f aca="false">IF(C2328="","",IF(C2328&gt;D2328,1,0))</f>
        <v/>
      </c>
      <c r="G2328" s="2" t="str">
        <f aca="false">IF(C2328="","",IF(C2328=D2328,1,0))</f>
        <v/>
      </c>
      <c r="H2328" s="2" t="str">
        <f aca="false">IF(C2328="","",IF(C2328&lt;D2328,1,0))</f>
        <v/>
      </c>
      <c r="I2328" s="2" t="n">
        <f aca="false">IF(D2328=0,1,0)</f>
        <v>1</v>
      </c>
      <c r="J2328" s="2"/>
      <c r="K2328" s="2" t="n">
        <f aca="false">C2328</f>
        <v>0</v>
      </c>
      <c r="L2328" s="2" t="n">
        <f aca="false">D2328</f>
        <v>0</v>
      </c>
      <c r="M2328" s="2" t="str">
        <f aca="false">IF(D2328="","",IF(D2328&gt;C2328,3,IF(D2328=C2328,1,0)))</f>
        <v/>
      </c>
      <c r="N2328" s="2" t="str">
        <f aca="false">IF(D2328="","",IF(D2328&gt;C2328,1,0))</f>
        <v/>
      </c>
      <c r="O2328" s="2" t="str">
        <f aca="false">IF(D2328="","",IF(D2328=C2328,1,0))</f>
        <v/>
      </c>
      <c r="P2328" s="2" t="str">
        <f aca="false">IF(D2328="","",IF(D2328&lt;C2328,1,0))</f>
        <v/>
      </c>
      <c r="Q2328" s="2" t="n">
        <f aca="false">IF(K2328=0,1,0)</f>
        <v>1</v>
      </c>
      <c r="R2328" s="2"/>
      <c r="S2328" s="2" t="n">
        <f aca="false">C2328</f>
        <v>0</v>
      </c>
      <c r="T2328" s="2" t="n">
        <f aca="false">D2328</f>
        <v>0</v>
      </c>
      <c r="U2328" s="3"/>
      <c r="V2328" s="3"/>
      <c r="W2328" s="3"/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/>
      <c r="B2329" s="2"/>
      <c r="C2329" s="2"/>
      <c r="D2329" s="2"/>
      <c r="E2329" s="2" t="str">
        <f aca="false">IF(C2329="","",IF(C2329&gt;D2329,3,IF(C2329=D2329,1,0)))</f>
        <v/>
      </c>
      <c r="F2329" s="2" t="str">
        <f aca="false">IF(C2329="","",IF(C2329&gt;D2329,1,0))</f>
        <v/>
      </c>
      <c r="G2329" s="2" t="str">
        <f aca="false">IF(C2329="","",IF(C2329=D2329,1,0))</f>
        <v/>
      </c>
      <c r="H2329" s="2" t="str">
        <f aca="false">IF(C2329="","",IF(C2329&lt;D2329,1,0))</f>
        <v/>
      </c>
      <c r="I2329" s="2" t="n">
        <f aca="false">IF(D2329=0,1,0)</f>
        <v>1</v>
      </c>
      <c r="J2329" s="2"/>
      <c r="K2329" s="2" t="n">
        <f aca="false">C2329</f>
        <v>0</v>
      </c>
      <c r="L2329" s="2" t="n">
        <f aca="false">D2329</f>
        <v>0</v>
      </c>
      <c r="M2329" s="2" t="str">
        <f aca="false">IF(D2329="","",IF(D2329&gt;C2329,3,IF(D2329=C2329,1,0)))</f>
        <v/>
      </c>
      <c r="N2329" s="2" t="str">
        <f aca="false">IF(D2329="","",IF(D2329&gt;C2329,1,0))</f>
        <v/>
      </c>
      <c r="O2329" s="2" t="str">
        <f aca="false">IF(D2329="","",IF(D2329=C2329,1,0))</f>
        <v/>
      </c>
      <c r="P2329" s="2" t="str">
        <f aca="false">IF(D2329="","",IF(D2329&lt;C2329,1,0))</f>
        <v/>
      </c>
      <c r="Q2329" s="2" t="n">
        <f aca="false">IF(K2329=0,1,0)</f>
        <v>1</v>
      </c>
      <c r="R2329" s="2"/>
      <c r="S2329" s="2" t="n">
        <f aca="false">C2329</f>
        <v>0</v>
      </c>
      <c r="T2329" s="2" t="n">
        <f aca="false">D2329</f>
        <v>0</v>
      </c>
      <c r="U2329" s="3"/>
      <c r="V2329" s="3"/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/>
      <c r="B2330" s="2"/>
      <c r="C2330" s="2"/>
      <c r="D2330" s="2"/>
      <c r="E2330" s="2" t="str">
        <f aca="false">IF(C2330="","",IF(C2330&gt;D2330,3,IF(C2330=D2330,1,0)))</f>
        <v/>
      </c>
      <c r="F2330" s="2" t="str">
        <f aca="false">IF(C2330="","",IF(C2330&gt;D2330,1,0))</f>
        <v/>
      </c>
      <c r="G2330" s="2" t="str">
        <f aca="false">IF(C2330="","",IF(C2330=D2330,1,0))</f>
        <v/>
      </c>
      <c r="H2330" s="2" t="str">
        <f aca="false">IF(C2330="","",IF(C2330&lt;D2330,1,0))</f>
        <v/>
      </c>
      <c r="I2330" s="2" t="n">
        <f aca="false">IF(D2330=0,1,0)</f>
        <v>1</v>
      </c>
      <c r="J2330" s="2"/>
      <c r="K2330" s="2" t="n">
        <f aca="false">C2330</f>
        <v>0</v>
      </c>
      <c r="L2330" s="2" t="n">
        <f aca="false">D2330</f>
        <v>0</v>
      </c>
      <c r="M2330" s="2" t="str">
        <f aca="false">IF(D2330="","",IF(D2330&gt;C2330,3,IF(D2330=C2330,1,0)))</f>
        <v/>
      </c>
      <c r="N2330" s="2" t="str">
        <f aca="false">IF(D2330="","",IF(D2330&gt;C2330,1,0))</f>
        <v/>
      </c>
      <c r="O2330" s="2" t="str">
        <f aca="false">IF(D2330="","",IF(D2330=C2330,1,0))</f>
        <v/>
      </c>
      <c r="P2330" s="2" t="str">
        <f aca="false">IF(D2330="","",IF(D2330&lt;C2330,1,0))</f>
        <v/>
      </c>
      <c r="Q2330" s="2" t="n">
        <f aca="false">IF(K2330=0,1,0)</f>
        <v>1</v>
      </c>
      <c r="R2330" s="2"/>
      <c r="S2330" s="2" t="n">
        <f aca="false">C2330</f>
        <v>0</v>
      </c>
      <c r="T2330" s="2" t="n">
        <f aca="false">D2330</f>
        <v>0</v>
      </c>
      <c r="U2330" s="3"/>
      <c r="V2330" s="3"/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/>
      <c r="B2331" s="2"/>
      <c r="C2331" s="2"/>
      <c r="D2331" s="2"/>
      <c r="E2331" s="2" t="str">
        <f aca="false">IF(C2331="","",IF(C2331&gt;D2331,3,IF(C2331=D2331,1,0)))</f>
        <v/>
      </c>
      <c r="F2331" s="2" t="str">
        <f aca="false">IF(C2331="","",IF(C2331&gt;D2331,1,0))</f>
        <v/>
      </c>
      <c r="G2331" s="2" t="str">
        <f aca="false">IF(C2331="","",IF(C2331=D2331,1,0))</f>
        <v/>
      </c>
      <c r="H2331" s="2" t="str">
        <f aca="false">IF(C2331="","",IF(C2331&lt;D2331,1,0))</f>
        <v/>
      </c>
      <c r="I2331" s="2" t="n">
        <f aca="false">IF(D2331=0,1,0)</f>
        <v>1</v>
      </c>
      <c r="J2331" s="2"/>
      <c r="K2331" s="2" t="n">
        <f aca="false">C2331</f>
        <v>0</v>
      </c>
      <c r="L2331" s="2" t="n">
        <f aca="false">D2331</f>
        <v>0</v>
      </c>
      <c r="M2331" s="2" t="str">
        <f aca="false">IF(D2331="","",IF(D2331&gt;C2331,3,IF(D2331=C2331,1,0)))</f>
        <v/>
      </c>
      <c r="N2331" s="2" t="str">
        <f aca="false">IF(D2331="","",IF(D2331&gt;C2331,1,0))</f>
        <v/>
      </c>
      <c r="O2331" s="2" t="str">
        <f aca="false">IF(D2331="","",IF(D2331=C2331,1,0))</f>
        <v/>
      </c>
      <c r="P2331" s="2" t="str">
        <f aca="false">IF(D2331="","",IF(D2331&lt;C2331,1,0))</f>
        <v/>
      </c>
      <c r="Q2331" s="2" t="n">
        <f aca="false">IF(K2331=0,1,0)</f>
        <v>1</v>
      </c>
      <c r="R2331" s="2"/>
      <c r="S2331" s="2" t="n">
        <f aca="false">C2331</f>
        <v>0</v>
      </c>
      <c r="T2331" s="2" t="n">
        <f aca="false">D2331</f>
        <v>0</v>
      </c>
      <c r="U2331" s="3"/>
      <c r="V2331" s="3"/>
      <c r="W2331" s="3"/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/>
      <c r="B2332" s="2"/>
      <c r="C2332" s="2"/>
      <c r="D2332" s="2"/>
      <c r="E2332" s="2" t="str">
        <f aca="false">IF(C2332="","",IF(C2332&gt;D2332,3,IF(C2332=D2332,1,0)))</f>
        <v/>
      </c>
      <c r="F2332" s="2" t="str">
        <f aca="false">IF(C2332="","",IF(C2332&gt;D2332,1,0))</f>
        <v/>
      </c>
      <c r="G2332" s="2" t="str">
        <f aca="false">IF(C2332="","",IF(C2332=D2332,1,0))</f>
        <v/>
      </c>
      <c r="H2332" s="2" t="str">
        <f aca="false">IF(C2332="","",IF(C2332&lt;D2332,1,0))</f>
        <v/>
      </c>
      <c r="I2332" s="2" t="n">
        <f aca="false">IF(D2332=0,1,0)</f>
        <v>1</v>
      </c>
      <c r="J2332" s="2"/>
      <c r="K2332" s="2" t="n">
        <f aca="false">C2332</f>
        <v>0</v>
      </c>
      <c r="L2332" s="2" t="n">
        <f aca="false">D2332</f>
        <v>0</v>
      </c>
      <c r="M2332" s="2" t="str">
        <f aca="false">IF(D2332="","",IF(D2332&gt;C2332,3,IF(D2332=C2332,1,0)))</f>
        <v/>
      </c>
      <c r="N2332" s="2" t="str">
        <f aca="false">IF(D2332="","",IF(D2332&gt;C2332,1,0))</f>
        <v/>
      </c>
      <c r="O2332" s="2" t="str">
        <f aca="false">IF(D2332="","",IF(D2332=C2332,1,0))</f>
        <v/>
      </c>
      <c r="P2332" s="2" t="str">
        <f aca="false">IF(D2332="","",IF(D2332&lt;C2332,1,0))</f>
        <v/>
      </c>
      <c r="Q2332" s="2" t="n">
        <f aca="false">IF(K2332=0,1,0)</f>
        <v>1</v>
      </c>
      <c r="R2332" s="2"/>
      <c r="S2332" s="2" t="n">
        <f aca="false">C2332</f>
        <v>0</v>
      </c>
      <c r="T2332" s="2" t="n">
        <f aca="false">D2332</f>
        <v>0</v>
      </c>
      <c r="U2332" s="3"/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/>
      <c r="B2333" s="2"/>
      <c r="C2333" s="2"/>
      <c r="D2333" s="2"/>
      <c r="E2333" s="2" t="str">
        <f aca="false">IF(C2333="","",IF(C2333&gt;D2333,3,IF(C2333=D2333,1,0)))</f>
        <v/>
      </c>
      <c r="F2333" s="2" t="str">
        <f aca="false">IF(C2333="","",IF(C2333&gt;D2333,1,0))</f>
        <v/>
      </c>
      <c r="G2333" s="2" t="str">
        <f aca="false">IF(C2333="","",IF(C2333=D2333,1,0))</f>
        <v/>
      </c>
      <c r="H2333" s="2" t="str">
        <f aca="false">IF(C2333="","",IF(C2333&lt;D2333,1,0))</f>
        <v/>
      </c>
      <c r="I2333" s="2" t="n">
        <f aca="false">IF(D2333=0,1,0)</f>
        <v>1</v>
      </c>
      <c r="J2333" s="2"/>
      <c r="K2333" s="2" t="n">
        <f aca="false">C2333</f>
        <v>0</v>
      </c>
      <c r="L2333" s="2" t="n">
        <f aca="false">D2333</f>
        <v>0</v>
      </c>
      <c r="M2333" s="2" t="str">
        <f aca="false">IF(D2333="","",IF(D2333&gt;C2333,3,IF(D2333=C2333,1,0)))</f>
        <v/>
      </c>
      <c r="N2333" s="2" t="str">
        <f aca="false">IF(D2333="","",IF(D2333&gt;C2333,1,0))</f>
        <v/>
      </c>
      <c r="O2333" s="2" t="str">
        <f aca="false">IF(D2333="","",IF(D2333=C2333,1,0))</f>
        <v/>
      </c>
      <c r="P2333" s="2" t="str">
        <f aca="false">IF(D2333="","",IF(D2333&lt;C2333,1,0))</f>
        <v/>
      </c>
      <c r="Q2333" s="2" t="n">
        <f aca="false">IF(K2333=0,1,0)</f>
        <v>1</v>
      </c>
      <c r="R2333" s="2"/>
      <c r="S2333" s="2" t="n">
        <f aca="false">C2333</f>
        <v>0</v>
      </c>
      <c r="T2333" s="2" t="n">
        <f aca="false">D2333</f>
        <v>0</v>
      </c>
      <c r="U2333" s="3"/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/>
      <c r="B2334" s="2"/>
      <c r="C2334" s="2"/>
      <c r="D2334" s="2"/>
      <c r="E2334" s="2" t="str">
        <f aca="false">IF(C2334="","",IF(C2334&gt;D2334,3,IF(C2334=D2334,1,0)))</f>
        <v/>
      </c>
      <c r="F2334" s="2" t="str">
        <f aca="false">IF(C2334="","",IF(C2334&gt;D2334,1,0))</f>
        <v/>
      </c>
      <c r="G2334" s="2" t="str">
        <f aca="false">IF(C2334="","",IF(C2334=D2334,1,0))</f>
        <v/>
      </c>
      <c r="H2334" s="2" t="str">
        <f aca="false">IF(C2334="","",IF(C2334&lt;D2334,1,0))</f>
        <v/>
      </c>
      <c r="I2334" s="2" t="n">
        <f aca="false">IF(D2334=0,1,0)</f>
        <v>1</v>
      </c>
      <c r="J2334" s="2"/>
      <c r="K2334" s="2" t="n">
        <f aca="false">C2334</f>
        <v>0</v>
      </c>
      <c r="L2334" s="2" t="n">
        <f aca="false">D2334</f>
        <v>0</v>
      </c>
      <c r="M2334" s="2" t="str">
        <f aca="false">IF(D2334="","",IF(D2334&gt;C2334,3,IF(D2334=C2334,1,0)))</f>
        <v/>
      </c>
      <c r="N2334" s="2" t="str">
        <f aca="false">IF(D2334="","",IF(D2334&gt;C2334,1,0))</f>
        <v/>
      </c>
      <c r="O2334" s="2" t="str">
        <f aca="false">IF(D2334="","",IF(D2334=C2334,1,0))</f>
        <v/>
      </c>
      <c r="P2334" s="2" t="str">
        <f aca="false">IF(D2334="","",IF(D2334&lt;C2334,1,0))</f>
        <v/>
      </c>
      <c r="Q2334" s="2" t="n">
        <f aca="false">IF(K2334=0,1,0)</f>
        <v>1</v>
      </c>
      <c r="R2334" s="2"/>
      <c r="S2334" s="2" t="n">
        <f aca="false">C2334</f>
        <v>0</v>
      </c>
      <c r="T2334" s="2" t="n">
        <f aca="false">D2334</f>
        <v>0</v>
      </c>
      <c r="U2334" s="3"/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/>
      <c r="B2335" s="2"/>
      <c r="C2335" s="2"/>
      <c r="D2335" s="2"/>
      <c r="E2335" s="2" t="str">
        <f aca="false">IF(C2335="","",IF(C2335&gt;D2335,3,IF(C2335=D2335,1,0)))</f>
        <v/>
      </c>
      <c r="F2335" s="2" t="str">
        <f aca="false">IF(C2335="","",IF(C2335&gt;D2335,1,0))</f>
        <v/>
      </c>
      <c r="G2335" s="2" t="str">
        <f aca="false">IF(C2335="","",IF(C2335=D2335,1,0))</f>
        <v/>
      </c>
      <c r="H2335" s="2" t="str">
        <f aca="false">IF(C2335="","",IF(C2335&lt;D2335,1,0))</f>
        <v/>
      </c>
      <c r="I2335" s="2" t="n">
        <f aca="false">IF(D2335=0,1,0)</f>
        <v>1</v>
      </c>
      <c r="J2335" s="2"/>
      <c r="K2335" s="2" t="n">
        <f aca="false">C2335</f>
        <v>0</v>
      </c>
      <c r="L2335" s="2" t="n">
        <f aca="false">D2335</f>
        <v>0</v>
      </c>
      <c r="M2335" s="2" t="str">
        <f aca="false">IF(D2335="","",IF(D2335&gt;C2335,3,IF(D2335=C2335,1,0)))</f>
        <v/>
      </c>
      <c r="N2335" s="2" t="str">
        <f aca="false">IF(D2335="","",IF(D2335&gt;C2335,1,0))</f>
        <v/>
      </c>
      <c r="O2335" s="2" t="str">
        <f aca="false">IF(D2335="","",IF(D2335=C2335,1,0))</f>
        <v/>
      </c>
      <c r="P2335" s="2" t="str">
        <f aca="false">IF(D2335="","",IF(D2335&lt;C2335,1,0))</f>
        <v/>
      </c>
      <c r="Q2335" s="2" t="n">
        <f aca="false">IF(K2335=0,1,0)</f>
        <v>1</v>
      </c>
      <c r="R2335" s="2"/>
      <c r="S2335" s="2" t="n">
        <f aca="false">C2335</f>
        <v>0</v>
      </c>
      <c r="T2335" s="2" t="n">
        <f aca="false">D2335</f>
        <v>0</v>
      </c>
      <c r="U2335" s="3"/>
      <c r="V2335" s="3"/>
      <c r="W2335" s="3"/>
      <c r="X2335" s="3"/>
      <c r="Y2335" s="3"/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/>
      <c r="B2336" s="2"/>
      <c r="C2336" s="2"/>
      <c r="D2336" s="2"/>
      <c r="E2336" s="2" t="str">
        <f aca="false">IF(C2336="","",IF(C2336&gt;D2336,3,IF(C2336=D2336,1,0)))</f>
        <v/>
      </c>
      <c r="F2336" s="2" t="str">
        <f aca="false">IF(C2336="","",IF(C2336&gt;D2336,1,0))</f>
        <v/>
      </c>
      <c r="G2336" s="2" t="str">
        <f aca="false">IF(C2336="","",IF(C2336=D2336,1,0))</f>
        <v/>
      </c>
      <c r="H2336" s="2" t="str">
        <f aca="false">IF(C2336="","",IF(C2336&lt;D2336,1,0))</f>
        <v/>
      </c>
      <c r="I2336" s="2" t="n">
        <f aca="false">IF(D2336=0,1,0)</f>
        <v>1</v>
      </c>
      <c r="J2336" s="2"/>
      <c r="K2336" s="2" t="n">
        <f aca="false">C2336</f>
        <v>0</v>
      </c>
      <c r="L2336" s="2" t="n">
        <f aca="false">D2336</f>
        <v>0</v>
      </c>
      <c r="M2336" s="2" t="str">
        <f aca="false">IF(D2336="","",IF(D2336&gt;C2336,3,IF(D2336=C2336,1,0)))</f>
        <v/>
      </c>
      <c r="N2336" s="2" t="str">
        <f aca="false">IF(D2336="","",IF(D2336&gt;C2336,1,0))</f>
        <v/>
      </c>
      <c r="O2336" s="2" t="str">
        <f aca="false">IF(D2336="","",IF(D2336=C2336,1,0))</f>
        <v/>
      </c>
      <c r="P2336" s="2" t="str">
        <f aca="false">IF(D2336="","",IF(D2336&lt;C2336,1,0))</f>
        <v/>
      </c>
      <c r="Q2336" s="2" t="n">
        <f aca="false">IF(K2336=0,1,0)</f>
        <v>1</v>
      </c>
      <c r="R2336" s="2"/>
      <c r="S2336" s="2" t="n">
        <f aca="false">C2336</f>
        <v>0</v>
      </c>
      <c r="T2336" s="2" t="n">
        <f aca="false">D2336</f>
        <v>0</v>
      </c>
      <c r="U2336" s="3"/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/>
      <c r="B2337" s="2"/>
      <c r="C2337" s="2"/>
      <c r="D2337" s="2"/>
      <c r="E2337" s="2" t="str">
        <f aca="false">IF(C2337="","",IF(C2337&gt;D2337,3,IF(C2337=D2337,1,0)))</f>
        <v/>
      </c>
      <c r="F2337" s="2" t="str">
        <f aca="false">IF(C2337="","",IF(C2337&gt;D2337,1,0))</f>
        <v/>
      </c>
      <c r="G2337" s="2" t="str">
        <f aca="false">IF(C2337="","",IF(C2337=D2337,1,0))</f>
        <v/>
      </c>
      <c r="H2337" s="2" t="str">
        <f aca="false">IF(C2337="","",IF(C2337&lt;D2337,1,0))</f>
        <v/>
      </c>
      <c r="I2337" s="2" t="n">
        <f aca="false">IF(D2337=0,1,0)</f>
        <v>1</v>
      </c>
      <c r="J2337" s="2"/>
      <c r="K2337" s="2" t="n">
        <f aca="false">C2337</f>
        <v>0</v>
      </c>
      <c r="L2337" s="2" t="n">
        <f aca="false">D2337</f>
        <v>0</v>
      </c>
      <c r="M2337" s="2" t="str">
        <f aca="false">IF(D2337="","",IF(D2337&gt;C2337,3,IF(D2337=C2337,1,0)))</f>
        <v/>
      </c>
      <c r="N2337" s="2" t="str">
        <f aca="false">IF(D2337="","",IF(D2337&gt;C2337,1,0))</f>
        <v/>
      </c>
      <c r="O2337" s="2" t="str">
        <f aca="false">IF(D2337="","",IF(D2337=C2337,1,0))</f>
        <v/>
      </c>
      <c r="P2337" s="2" t="str">
        <f aca="false">IF(D2337="","",IF(D2337&lt;C2337,1,0))</f>
        <v/>
      </c>
      <c r="Q2337" s="2" t="n">
        <f aca="false">IF(K2337=0,1,0)</f>
        <v>1</v>
      </c>
      <c r="R2337" s="2"/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/>
      <c r="B2338" s="2"/>
      <c r="C2338" s="2"/>
      <c r="D2338" s="2"/>
      <c r="E2338" s="2" t="str">
        <f aca="false">IF(C2338="","",IF(C2338&gt;D2338,3,IF(C2338=D2338,1,0)))</f>
        <v/>
      </c>
      <c r="F2338" s="2" t="str">
        <f aca="false">IF(C2338="","",IF(C2338&gt;D2338,1,0))</f>
        <v/>
      </c>
      <c r="G2338" s="2" t="str">
        <f aca="false">IF(C2338="","",IF(C2338=D2338,1,0))</f>
        <v/>
      </c>
      <c r="H2338" s="2" t="str">
        <f aca="false">IF(C2338="","",IF(C2338&lt;D2338,1,0))</f>
        <v/>
      </c>
      <c r="I2338" s="2" t="n">
        <f aca="false">IF(D2338=0,1,0)</f>
        <v>1</v>
      </c>
      <c r="J2338" s="2"/>
      <c r="K2338" s="2" t="n">
        <f aca="false">C2338</f>
        <v>0</v>
      </c>
      <c r="L2338" s="2" t="n">
        <f aca="false">D2338</f>
        <v>0</v>
      </c>
      <c r="M2338" s="2" t="str">
        <f aca="false">IF(D2338="","",IF(D2338&gt;C2338,3,IF(D2338=C2338,1,0)))</f>
        <v/>
      </c>
      <c r="N2338" s="2" t="str">
        <f aca="false">IF(D2338="","",IF(D2338&gt;C2338,1,0))</f>
        <v/>
      </c>
      <c r="O2338" s="2" t="str">
        <f aca="false">IF(D2338="","",IF(D2338=C2338,1,0))</f>
        <v/>
      </c>
      <c r="P2338" s="2" t="str">
        <f aca="false">IF(D2338="","",IF(D2338&lt;C2338,1,0))</f>
        <v/>
      </c>
      <c r="Q2338" s="2" t="n">
        <f aca="false">IF(K2338=0,1,0)</f>
        <v>1</v>
      </c>
      <c r="R2338" s="2"/>
      <c r="S2338" s="2" t="n">
        <f aca="false">C2338</f>
        <v>0</v>
      </c>
      <c r="T2338" s="2" t="n">
        <f aca="false">D2338</f>
        <v>0</v>
      </c>
      <c r="U2338" s="3"/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/>
      <c r="B2339" s="2"/>
      <c r="C2339" s="2"/>
      <c r="D2339" s="2"/>
      <c r="E2339" s="2" t="str">
        <f aca="false">IF(C2339="","",IF(C2339&gt;D2339,3,IF(C2339=D2339,1,0)))</f>
        <v/>
      </c>
      <c r="F2339" s="2" t="str">
        <f aca="false">IF(C2339="","",IF(C2339&gt;D2339,1,0))</f>
        <v/>
      </c>
      <c r="G2339" s="2" t="str">
        <f aca="false">IF(C2339="","",IF(C2339=D2339,1,0))</f>
        <v/>
      </c>
      <c r="H2339" s="2" t="str">
        <f aca="false">IF(C2339="","",IF(C2339&lt;D2339,1,0))</f>
        <v/>
      </c>
      <c r="I2339" s="2" t="n">
        <f aca="false">IF(D2339=0,1,0)</f>
        <v>1</v>
      </c>
      <c r="J2339" s="2"/>
      <c r="K2339" s="2" t="n">
        <f aca="false">C2339</f>
        <v>0</v>
      </c>
      <c r="L2339" s="2" t="n">
        <f aca="false">D2339</f>
        <v>0</v>
      </c>
      <c r="M2339" s="2" t="str">
        <f aca="false">IF(D2339="","",IF(D2339&gt;C2339,3,IF(D2339=C2339,1,0)))</f>
        <v/>
      </c>
      <c r="N2339" s="2" t="str">
        <f aca="false">IF(D2339="","",IF(D2339&gt;C2339,1,0))</f>
        <v/>
      </c>
      <c r="O2339" s="2" t="str">
        <f aca="false">IF(D2339="","",IF(D2339=C2339,1,0))</f>
        <v/>
      </c>
      <c r="P2339" s="2" t="str">
        <f aca="false">IF(D2339="","",IF(D2339&lt;C2339,1,0))</f>
        <v/>
      </c>
      <c r="Q2339" s="2" t="n">
        <f aca="false">IF(K2339=0,1,0)</f>
        <v>1</v>
      </c>
      <c r="R2339" s="2"/>
      <c r="S2339" s="2" t="n">
        <f aca="false">C2339</f>
        <v>0</v>
      </c>
      <c r="T2339" s="2" t="n">
        <f aca="false">D2339</f>
        <v>0</v>
      </c>
      <c r="U2339" s="3"/>
      <c r="V2339" s="3"/>
      <c r="W2339" s="3"/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/>
      <c r="B2340" s="2"/>
      <c r="C2340" s="2"/>
      <c r="D2340" s="2"/>
      <c r="E2340" s="2" t="str">
        <f aca="false">IF(C2340="","",IF(C2340&gt;D2340,3,IF(C2340=D2340,1,0)))</f>
        <v/>
      </c>
      <c r="F2340" s="2" t="str">
        <f aca="false">IF(C2340="","",IF(C2340&gt;D2340,1,0))</f>
        <v/>
      </c>
      <c r="G2340" s="2" t="str">
        <f aca="false">IF(C2340="","",IF(C2340=D2340,1,0))</f>
        <v/>
      </c>
      <c r="H2340" s="2" t="str">
        <f aca="false">IF(C2340="","",IF(C2340&lt;D2340,1,0))</f>
        <v/>
      </c>
      <c r="I2340" s="2" t="n">
        <f aca="false">IF(D2340=0,1,0)</f>
        <v>1</v>
      </c>
      <c r="J2340" s="2"/>
      <c r="K2340" s="2" t="n">
        <f aca="false">C2340</f>
        <v>0</v>
      </c>
      <c r="L2340" s="2" t="n">
        <f aca="false">D2340</f>
        <v>0</v>
      </c>
      <c r="M2340" s="2" t="str">
        <f aca="false">IF(D2340="","",IF(D2340&gt;C2340,3,IF(D2340=C2340,1,0)))</f>
        <v/>
      </c>
      <c r="N2340" s="2" t="str">
        <f aca="false">IF(D2340="","",IF(D2340&gt;C2340,1,0))</f>
        <v/>
      </c>
      <c r="O2340" s="2" t="str">
        <f aca="false">IF(D2340="","",IF(D2340=C2340,1,0))</f>
        <v/>
      </c>
      <c r="P2340" s="2" t="str">
        <f aca="false">IF(D2340="","",IF(D2340&lt;C2340,1,0))</f>
        <v/>
      </c>
      <c r="Q2340" s="2" t="n">
        <f aca="false">IF(K2340=0,1,0)</f>
        <v>1</v>
      </c>
      <c r="R2340" s="2"/>
      <c r="S2340" s="2" t="n">
        <f aca="false">C2340</f>
        <v>0</v>
      </c>
      <c r="T2340" s="2" t="n">
        <f aca="false">D2340</f>
        <v>0</v>
      </c>
      <c r="U2340" s="3"/>
      <c r="V2340" s="3"/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/>
      <c r="B2341" s="2"/>
      <c r="C2341" s="2"/>
      <c r="D2341" s="2"/>
      <c r="E2341" s="2" t="str">
        <f aca="false">IF(C2341="","",IF(C2341&gt;D2341,3,IF(C2341=D2341,1,0)))</f>
        <v/>
      </c>
      <c r="F2341" s="2" t="str">
        <f aca="false">IF(C2341="","",IF(C2341&gt;D2341,1,0))</f>
        <v/>
      </c>
      <c r="G2341" s="2" t="str">
        <f aca="false">IF(C2341="","",IF(C2341=D2341,1,0))</f>
        <v/>
      </c>
      <c r="H2341" s="2" t="str">
        <f aca="false">IF(C2341="","",IF(C2341&lt;D2341,1,0))</f>
        <v/>
      </c>
      <c r="I2341" s="2" t="n">
        <f aca="false">IF(D2341=0,1,0)</f>
        <v>1</v>
      </c>
      <c r="J2341" s="2"/>
      <c r="K2341" s="2" t="n">
        <f aca="false">C2341</f>
        <v>0</v>
      </c>
      <c r="L2341" s="2" t="n">
        <f aca="false">D2341</f>
        <v>0</v>
      </c>
      <c r="M2341" s="2" t="str">
        <f aca="false">IF(D2341="","",IF(D2341&gt;C2341,3,IF(D2341=C2341,1,0)))</f>
        <v/>
      </c>
      <c r="N2341" s="2" t="str">
        <f aca="false">IF(D2341="","",IF(D2341&gt;C2341,1,0))</f>
        <v/>
      </c>
      <c r="O2341" s="2" t="str">
        <f aca="false">IF(D2341="","",IF(D2341=C2341,1,0))</f>
        <v/>
      </c>
      <c r="P2341" s="2" t="str">
        <f aca="false">IF(D2341="","",IF(D2341&lt;C2341,1,0))</f>
        <v/>
      </c>
      <c r="Q2341" s="2" t="n">
        <f aca="false">IF(K2341=0,1,0)</f>
        <v>1</v>
      </c>
      <c r="R2341" s="2"/>
      <c r="S2341" s="2" t="n">
        <f aca="false">C2341</f>
        <v>0</v>
      </c>
      <c r="T2341" s="2" t="n">
        <f aca="false">D2341</f>
        <v>0</v>
      </c>
      <c r="U2341" s="3"/>
      <c r="V2341" s="3"/>
      <c r="W2341" s="3"/>
      <c r="X2341" s="3"/>
      <c r="Y2341" s="3"/>
      <c r="Z2341" s="3"/>
      <c r="AA2341" s="2"/>
      <c r="AB2341" s="2"/>
      <c r="AC2341" s="2"/>
      <c r="AD2341" s="2"/>
      <c r="AE2341" s="2"/>
      <c r="AF2341" s="2"/>
    </row>
    <row r="2342" customFormat="false" ht="15.75" hidden="false" customHeight="true" outlineLevel="0" collapsed="false">
      <c r="A2342" s="4"/>
      <c r="B2342" s="2"/>
      <c r="C2342" s="2"/>
      <c r="D2342" s="2"/>
      <c r="E2342" s="2" t="str">
        <f aca="false">IF(C2342="","",IF(C2342&gt;D2342,3,IF(C2342=D2342,1,0)))</f>
        <v/>
      </c>
      <c r="F2342" s="2" t="str">
        <f aca="false">IF(C2342="","",IF(C2342&gt;D2342,1,0))</f>
        <v/>
      </c>
      <c r="G2342" s="2" t="str">
        <f aca="false">IF(C2342="","",IF(C2342=D2342,1,0))</f>
        <v/>
      </c>
      <c r="H2342" s="2" t="str">
        <f aca="false">IF(C2342="","",IF(C2342&lt;D2342,1,0))</f>
        <v/>
      </c>
      <c r="I2342" s="2" t="n">
        <f aca="false">IF(D2342=0,1,0)</f>
        <v>1</v>
      </c>
      <c r="J2342" s="2"/>
      <c r="K2342" s="2" t="n">
        <f aca="false">C2342</f>
        <v>0</v>
      </c>
      <c r="L2342" s="2" t="n">
        <f aca="false">D2342</f>
        <v>0</v>
      </c>
      <c r="M2342" s="2" t="str">
        <f aca="false">IF(D2342="","",IF(D2342&gt;C2342,3,IF(D2342=C2342,1,0)))</f>
        <v/>
      </c>
      <c r="N2342" s="2" t="str">
        <f aca="false">IF(D2342="","",IF(D2342&gt;C2342,1,0))</f>
        <v/>
      </c>
      <c r="O2342" s="2" t="str">
        <f aca="false">IF(D2342="","",IF(D2342=C2342,1,0))</f>
        <v/>
      </c>
      <c r="P2342" s="2" t="str">
        <f aca="false">IF(D2342="","",IF(D2342&lt;C2342,1,0))</f>
        <v/>
      </c>
      <c r="Q2342" s="2" t="n">
        <f aca="false">IF(K2342=0,1,0)</f>
        <v>1</v>
      </c>
      <c r="R2342" s="2"/>
      <c r="S2342" s="2" t="n">
        <f aca="false">C2342</f>
        <v>0</v>
      </c>
      <c r="T2342" s="2" t="n">
        <f aca="false">D2342</f>
        <v>0</v>
      </c>
      <c r="U2342" s="3"/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/>
      <c r="B2343" s="2"/>
      <c r="C2343" s="2"/>
      <c r="D2343" s="2"/>
      <c r="E2343" s="2" t="str">
        <f aca="false">IF(C2343="","",IF(C2343&gt;D2343,3,IF(C2343=D2343,1,0)))</f>
        <v/>
      </c>
      <c r="F2343" s="2" t="str">
        <f aca="false">IF(C2343="","",IF(C2343&gt;D2343,1,0))</f>
        <v/>
      </c>
      <c r="G2343" s="2" t="str">
        <f aca="false">IF(C2343="","",IF(C2343=D2343,1,0))</f>
        <v/>
      </c>
      <c r="H2343" s="2" t="str">
        <f aca="false">IF(C2343="","",IF(C2343&lt;D2343,1,0))</f>
        <v/>
      </c>
      <c r="I2343" s="2" t="n">
        <f aca="false">IF(D2343=0,1,0)</f>
        <v>1</v>
      </c>
      <c r="J2343" s="2"/>
      <c r="K2343" s="2" t="n">
        <f aca="false">C2343</f>
        <v>0</v>
      </c>
      <c r="L2343" s="2" t="n">
        <f aca="false">D2343</f>
        <v>0</v>
      </c>
      <c r="M2343" s="2" t="str">
        <f aca="false">IF(D2343="","",IF(D2343&gt;C2343,3,IF(D2343=C2343,1,0)))</f>
        <v/>
      </c>
      <c r="N2343" s="2" t="str">
        <f aca="false">IF(D2343="","",IF(D2343&gt;C2343,1,0))</f>
        <v/>
      </c>
      <c r="O2343" s="2" t="str">
        <f aca="false">IF(D2343="","",IF(D2343=C2343,1,0))</f>
        <v/>
      </c>
      <c r="P2343" s="2" t="str">
        <f aca="false">IF(D2343="","",IF(D2343&lt;C2343,1,0))</f>
        <v/>
      </c>
      <c r="Q2343" s="2" t="n">
        <f aca="false">IF(K2343=0,1,0)</f>
        <v>1</v>
      </c>
      <c r="R2343" s="2"/>
      <c r="S2343" s="2" t="n">
        <f aca="false">C2343</f>
        <v>0</v>
      </c>
      <c r="T2343" s="2" t="n">
        <f aca="false">D2343</f>
        <v>0</v>
      </c>
      <c r="U2343" s="3"/>
      <c r="V2343" s="3"/>
      <c r="W2343" s="3"/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/>
      <c r="B2344" s="2"/>
      <c r="C2344" s="2"/>
      <c r="D2344" s="2"/>
      <c r="E2344" s="2" t="str">
        <f aca="false">IF(C2344="","",IF(C2344&gt;D2344,3,IF(C2344=D2344,1,0)))</f>
        <v/>
      </c>
      <c r="F2344" s="2" t="str">
        <f aca="false">IF(C2344="","",IF(C2344&gt;D2344,1,0))</f>
        <v/>
      </c>
      <c r="G2344" s="2" t="str">
        <f aca="false">IF(C2344="","",IF(C2344=D2344,1,0))</f>
        <v/>
      </c>
      <c r="H2344" s="2" t="str">
        <f aca="false">IF(C2344="","",IF(C2344&lt;D2344,1,0))</f>
        <v/>
      </c>
      <c r="I2344" s="2" t="n">
        <f aca="false">IF(D2344=0,1,0)</f>
        <v>1</v>
      </c>
      <c r="J2344" s="2"/>
      <c r="K2344" s="2" t="n">
        <f aca="false">C2344</f>
        <v>0</v>
      </c>
      <c r="L2344" s="2" t="n">
        <f aca="false">D2344</f>
        <v>0</v>
      </c>
      <c r="M2344" s="2" t="str">
        <f aca="false">IF(D2344="","",IF(D2344&gt;C2344,3,IF(D2344=C2344,1,0)))</f>
        <v/>
      </c>
      <c r="N2344" s="2" t="str">
        <f aca="false">IF(D2344="","",IF(D2344&gt;C2344,1,0))</f>
        <v/>
      </c>
      <c r="O2344" s="2" t="str">
        <f aca="false">IF(D2344="","",IF(D2344=C2344,1,0))</f>
        <v/>
      </c>
      <c r="P2344" s="2" t="str">
        <f aca="false">IF(D2344="","",IF(D2344&lt;C2344,1,0))</f>
        <v/>
      </c>
      <c r="Q2344" s="2" t="n">
        <f aca="false">IF(K2344=0,1,0)</f>
        <v>1</v>
      </c>
      <c r="R2344" s="2"/>
      <c r="S2344" s="2" t="n">
        <f aca="false">C2344</f>
        <v>0</v>
      </c>
      <c r="T2344" s="2" t="n">
        <f aca="false">D2344</f>
        <v>0</v>
      </c>
      <c r="U2344" s="3"/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/>
      <c r="B2345" s="2"/>
      <c r="C2345" s="2"/>
      <c r="D2345" s="2"/>
      <c r="E2345" s="2" t="str">
        <f aca="false">IF(C2345="","",IF(C2345&gt;D2345,3,IF(C2345=D2345,1,0)))</f>
        <v/>
      </c>
      <c r="F2345" s="2" t="str">
        <f aca="false">IF(C2345="","",IF(C2345&gt;D2345,1,0))</f>
        <v/>
      </c>
      <c r="G2345" s="2" t="str">
        <f aca="false">IF(C2345="","",IF(C2345=D2345,1,0))</f>
        <v/>
      </c>
      <c r="H2345" s="2" t="str">
        <f aca="false">IF(C2345="","",IF(C2345&lt;D2345,1,0))</f>
        <v/>
      </c>
      <c r="I2345" s="2" t="n">
        <f aca="false">IF(D2345=0,1,0)</f>
        <v>1</v>
      </c>
      <c r="J2345" s="2"/>
      <c r="K2345" s="2" t="n">
        <f aca="false">C2345</f>
        <v>0</v>
      </c>
      <c r="L2345" s="2" t="n">
        <f aca="false">D2345</f>
        <v>0</v>
      </c>
      <c r="M2345" s="2" t="str">
        <f aca="false">IF(D2345="","",IF(D2345&gt;C2345,3,IF(D2345=C2345,1,0)))</f>
        <v/>
      </c>
      <c r="N2345" s="2" t="str">
        <f aca="false">IF(D2345="","",IF(D2345&gt;C2345,1,0))</f>
        <v/>
      </c>
      <c r="O2345" s="2" t="str">
        <f aca="false">IF(D2345="","",IF(D2345=C2345,1,0))</f>
        <v/>
      </c>
      <c r="P2345" s="2" t="str">
        <f aca="false">IF(D2345="","",IF(D2345&lt;C2345,1,0))</f>
        <v/>
      </c>
      <c r="Q2345" s="2" t="n">
        <f aca="false">IF(K2345=0,1,0)</f>
        <v>1</v>
      </c>
      <c r="R2345" s="2"/>
      <c r="S2345" s="2" t="n">
        <f aca="false">C2345</f>
        <v>0</v>
      </c>
      <c r="T2345" s="2" t="n">
        <f aca="false">D2345</f>
        <v>0</v>
      </c>
      <c r="U2345" s="3"/>
      <c r="V2345" s="3"/>
      <c r="W2345" s="3"/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/>
      <c r="B2346" s="2"/>
      <c r="C2346" s="2"/>
      <c r="D2346" s="2"/>
      <c r="E2346" s="2" t="str">
        <f aca="false">IF(C2346="","",IF(C2346&gt;D2346,3,IF(C2346=D2346,1,0)))</f>
        <v/>
      </c>
      <c r="F2346" s="2" t="str">
        <f aca="false">IF(C2346="","",IF(C2346&gt;D2346,1,0))</f>
        <v/>
      </c>
      <c r="G2346" s="2" t="str">
        <f aca="false">IF(C2346="","",IF(C2346=D2346,1,0))</f>
        <v/>
      </c>
      <c r="H2346" s="2" t="str">
        <f aca="false">IF(C2346="","",IF(C2346&lt;D2346,1,0))</f>
        <v/>
      </c>
      <c r="I2346" s="2" t="n">
        <f aca="false">IF(D2346=0,1,0)</f>
        <v>1</v>
      </c>
      <c r="J2346" s="2"/>
      <c r="K2346" s="2" t="n">
        <f aca="false">C2346</f>
        <v>0</v>
      </c>
      <c r="L2346" s="2" t="n">
        <f aca="false">D2346</f>
        <v>0</v>
      </c>
      <c r="M2346" s="2" t="str">
        <f aca="false">IF(D2346="","",IF(D2346&gt;C2346,3,IF(D2346=C2346,1,0)))</f>
        <v/>
      </c>
      <c r="N2346" s="2" t="str">
        <f aca="false">IF(D2346="","",IF(D2346&gt;C2346,1,0))</f>
        <v/>
      </c>
      <c r="O2346" s="2" t="str">
        <f aca="false">IF(D2346="","",IF(D2346=C2346,1,0))</f>
        <v/>
      </c>
      <c r="P2346" s="2" t="str">
        <f aca="false">IF(D2346="","",IF(D2346&lt;C2346,1,0))</f>
        <v/>
      </c>
      <c r="Q2346" s="2" t="n">
        <f aca="false">IF(K2346=0,1,0)</f>
        <v>1</v>
      </c>
      <c r="R2346" s="2"/>
      <c r="S2346" s="2" t="n">
        <f aca="false">C2346</f>
        <v>0</v>
      </c>
      <c r="T2346" s="2" t="n">
        <f aca="false">D2346</f>
        <v>0</v>
      </c>
      <c r="U2346" s="3"/>
      <c r="V2346" s="3"/>
      <c r="W2346" s="3"/>
      <c r="X2346" s="3"/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/>
      <c r="B2347" s="2"/>
      <c r="C2347" s="2"/>
      <c r="D2347" s="2"/>
      <c r="E2347" s="2" t="str">
        <f aca="false">IF(C2347="","",IF(C2347&gt;D2347,3,IF(C2347=D2347,1,0)))</f>
        <v/>
      </c>
      <c r="F2347" s="2" t="str">
        <f aca="false">IF(C2347="","",IF(C2347&gt;D2347,1,0))</f>
        <v/>
      </c>
      <c r="G2347" s="2" t="str">
        <f aca="false">IF(C2347="","",IF(C2347=D2347,1,0))</f>
        <v/>
      </c>
      <c r="H2347" s="2" t="str">
        <f aca="false">IF(C2347="","",IF(C2347&lt;D2347,1,0))</f>
        <v/>
      </c>
      <c r="I2347" s="2" t="n">
        <f aca="false">IF(D2347=0,1,0)</f>
        <v>1</v>
      </c>
      <c r="J2347" s="2"/>
      <c r="K2347" s="2" t="n">
        <f aca="false">C2347</f>
        <v>0</v>
      </c>
      <c r="L2347" s="2" t="n">
        <f aca="false">D2347</f>
        <v>0</v>
      </c>
      <c r="M2347" s="2" t="str">
        <f aca="false">IF(D2347="","",IF(D2347&gt;C2347,3,IF(D2347=C2347,1,0)))</f>
        <v/>
      </c>
      <c r="N2347" s="2" t="str">
        <f aca="false">IF(D2347="","",IF(D2347&gt;C2347,1,0))</f>
        <v/>
      </c>
      <c r="O2347" s="2" t="str">
        <f aca="false">IF(D2347="","",IF(D2347=C2347,1,0))</f>
        <v/>
      </c>
      <c r="P2347" s="2" t="str">
        <f aca="false">IF(D2347="","",IF(D2347&lt;C2347,1,0))</f>
        <v/>
      </c>
      <c r="Q2347" s="2" t="n">
        <f aca="false">IF(K2347=0,1,0)</f>
        <v>1</v>
      </c>
      <c r="R2347" s="2"/>
      <c r="S2347" s="2" t="n">
        <f aca="false">C2347</f>
        <v>0</v>
      </c>
      <c r="T2347" s="2" t="n">
        <f aca="false">D2347</f>
        <v>0</v>
      </c>
      <c r="U2347" s="3"/>
      <c r="V2347" s="3"/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/>
      <c r="B2348" s="2"/>
      <c r="C2348" s="2"/>
      <c r="D2348" s="2"/>
      <c r="E2348" s="2" t="str">
        <f aca="false">IF(C2348="","",IF(C2348&gt;D2348,3,IF(C2348=D2348,1,0)))</f>
        <v/>
      </c>
      <c r="F2348" s="2" t="str">
        <f aca="false">IF(C2348="","",IF(C2348&gt;D2348,1,0))</f>
        <v/>
      </c>
      <c r="G2348" s="2" t="str">
        <f aca="false">IF(C2348="","",IF(C2348=D2348,1,0))</f>
        <v/>
      </c>
      <c r="H2348" s="2" t="str">
        <f aca="false">IF(C2348="","",IF(C2348&lt;D2348,1,0))</f>
        <v/>
      </c>
      <c r="I2348" s="2" t="n">
        <f aca="false">IF(D2348=0,1,0)</f>
        <v>1</v>
      </c>
      <c r="J2348" s="2"/>
      <c r="K2348" s="2" t="n">
        <f aca="false">C2348</f>
        <v>0</v>
      </c>
      <c r="L2348" s="2" t="n">
        <f aca="false">D2348</f>
        <v>0</v>
      </c>
      <c r="M2348" s="2" t="str">
        <f aca="false">IF(D2348="","",IF(D2348&gt;C2348,3,IF(D2348=C2348,1,0)))</f>
        <v/>
      </c>
      <c r="N2348" s="2" t="str">
        <f aca="false">IF(D2348="","",IF(D2348&gt;C2348,1,0))</f>
        <v/>
      </c>
      <c r="O2348" s="2" t="str">
        <f aca="false">IF(D2348="","",IF(D2348=C2348,1,0))</f>
        <v/>
      </c>
      <c r="P2348" s="2" t="str">
        <f aca="false">IF(D2348="","",IF(D2348&lt;C2348,1,0))</f>
        <v/>
      </c>
      <c r="Q2348" s="2" t="n">
        <f aca="false">IF(K2348=0,1,0)</f>
        <v>1</v>
      </c>
      <c r="R2348" s="2"/>
      <c r="S2348" s="2" t="n">
        <f aca="false">C2348</f>
        <v>0</v>
      </c>
      <c r="T2348" s="2" t="n">
        <f aca="false">D2348</f>
        <v>0</v>
      </c>
      <c r="U2348" s="3"/>
      <c r="V2348" s="3"/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/>
      <c r="B2349" s="2"/>
      <c r="C2349" s="2"/>
      <c r="D2349" s="2"/>
      <c r="E2349" s="2" t="str">
        <f aca="false">IF(C2349="","",IF(C2349&gt;D2349,3,IF(C2349=D2349,1,0)))</f>
        <v/>
      </c>
      <c r="F2349" s="2" t="str">
        <f aca="false">IF(C2349="","",IF(C2349&gt;D2349,1,0))</f>
        <v/>
      </c>
      <c r="G2349" s="2" t="str">
        <f aca="false">IF(C2349="","",IF(C2349=D2349,1,0))</f>
        <v/>
      </c>
      <c r="H2349" s="2" t="str">
        <f aca="false">IF(C2349="","",IF(C2349&lt;D2349,1,0))</f>
        <v/>
      </c>
      <c r="I2349" s="2" t="n">
        <f aca="false">IF(D2349=0,1,0)</f>
        <v>1</v>
      </c>
      <c r="J2349" s="2"/>
      <c r="K2349" s="2" t="n">
        <f aca="false">C2349</f>
        <v>0</v>
      </c>
      <c r="L2349" s="2" t="n">
        <f aca="false">D2349</f>
        <v>0</v>
      </c>
      <c r="M2349" s="2" t="str">
        <f aca="false">IF(D2349="","",IF(D2349&gt;C2349,3,IF(D2349=C2349,1,0)))</f>
        <v/>
      </c>
      <c r="N2349" s="2" t="str">
        <f aca="false">IF(D2349="","",IF(D2349&gt;C2349,1,0))</f>
        <v/>
      </c>
      <c r="O2349" s="2" t="str">
        <f aca="false">IF(D2349="","",IF(D2349=C2349,1,0))</f>
        <v/>
      </c>
      <c r="P2349" s="2" t="str">
        <f aca="false">IF(D2349="","",IF(D2349&lt;C2349,1,0))</f>
        <v/>
      </c>
      <c r="Q2349" s="2" t="n">
        <f aca="false">IF(K2349=0,1,0)</f>
        <v>1</v>
      </c>
      <c r="R2349" s="2"/>
      <c r="S2349" s="2" t="n">
        <f aca="false">C2349</f>
        <v>0</v>
      </c>
      <c r="T2349" s="2" t="n">
        <f aca="false">D2349</f>
        <v>0</v>
      </c>
      <c r="U2349" s="3"/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/>
      <c r="B2350" s="2"/>
      <c r="C2350" s="2"/>
      <c r="D2350" s="2"/>
      <c r="E2350" s="2" t="str">
        <f aca="false">IF(C2350="","",IF(C2350&gt;D2350,3,IF(C2350=D2350,1,0)))</f>
        <v/>
      </c>
      <c r="F2350" s="2" t="str">
        <f aca="false">IF(C2350="","",IF(C2350&gt;D2350,1,0))</f>
        <v/>
      </c>
      <c r="G2350" s="2" t="str">
        <f aca="false">IF(C2350="","",IF(C2350=D2350,1,0))</f>
        <v/>
      </c>
      <c r="H2350" s="2" t="str">
        <f aca="false">IF(C2350="","",IF(C2350&lt;D2350,1,0))</f>
        <v/>
      </c>
      <c r="I2350" s="2" t="n">
        <f aca="false">IF(D2350=0,1,0)</f>
        <v>1</v>
      </c>
      <c r="J2350" s="2"/>
      <c r="K2350" s="2" t="n">
        <f aca="false">C2350</f>
        <v>0</v>
      </c>
      <c r="L2350" s="2" t="n">
        <f aca="false">D2350</f>
        <v>0</v>
      </c>
      <c r="M2350" s="2" t="str">
        <f aca="false">IF(D2350="","",IF(D2350&gt;C2350,3,IF(D2350=C2350,1,0)))</f>
        <v/>
      </c>
      <c r="N2350" s="2" t="str">
        <f aca="false">IF(D2350="","",IF(D2350&gt;C2350,1,0))</f>
        <v/>
      </c>
      <c r="O2350" s="2" t="str">
        <f aca="false">IF(D2350="","",IF(D2350=C2350,1,0))</f>
        <v/>
      </c>
      <c r="P2350" s="2" t="str">
        <f aca="false">IF(D2350="","",IF(D2350&lt;C2350,1,0))</f>
        <v/>
      </c>
      <c r="Q2350" s="2" t="n">
        <f aca="false">IF(K2350=0,1,0)</f>
        <v>1</v>
      </c>
      <c r="R2350" s="2"/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/>
      <c r="B2351" s="2"/>
      <c r="C2351" s="2"/>
      <c r="D2351" s="2"/>
      <c r="E2351" s="2" t="str">
        <f aca="false">IF(C2351="","",IF(C2351&gt;D2351,3,IF(C2351=D2351,1,0)))</f>
        <v/>
      </c>
      <c r="F2351" s="2" t="str">
        <f aca="false">IF(C2351="","",IF(C2351&gt;D2351,1,0))</f>
        <v/>
      </c>
      <c r="G2351" s="2" t="str">
        <f aca="false">IF(C2351="","",IF(C2351=D2351,1,0))</f>
        <v/>
      </c>
      <c r="H2351" s="2" t="str">
        <f aca="false">IF(C2351="","",IF(C2351&lt;D2351,1,0))</f>
        <v/>
      </c>
      <c r="I2351" s="2" t="n">
        <f aca="false">IF(D2351=0,1,0)</f>
        <v>1</v>
      </c>
      <c r="J2351" s="2"/>
      <c r="K2351" s="2" t="n">
        <f aca="false">C2351</f>
        <v>0</v>
      </c>
      <c r="L2351" s="2" t="n">
        <f aca="false">D2351</f>
        <v>0</v>
      </c>
      <c r="M2351" s="2" t="str">
        <f aca="false">IF(D2351="","",IF(D2351&gt;C2351,3,IF(D2351=C2351,1,0)))</f>
        <v/>
      </c>
      <c r="N2351" s="2" t="str">
        <f aca="false">IF(D2351="","",IF(D2351&gt;C2351,1,0))</f>
        <v/>
      </c>
      <c r="O2351" s="2" t="str">
        <f aca="false">IF(D2351="","",IF(D2351=C2351,1,0))</f>
        <v/>
      </c>
      <c r="P2351" s="2" t="str">
        <f aca="false">IF(D2351="","",IF(D2351&lt;C2351,1,0))</f>
        <v/>
      </c>
      <c r="Q2351" s="2" t="n">
        <f aca="false">IF(K2351=0,1,0)</f>
        <v>1</v>
      </c>
      <c r="R2351" s="2"/>
      <c r="S2351" s="2" t="n">
        <f aca="false">C2351</f>
        <v>0</v>
      </c>
      <c r="T2351" s="2" t="n">
        <f aca="false">D2351</f>
        <v>0</v>
      </c>
      <c r="U2351" s="3"/>
      <c r="V2351" s="3"/>
      <c r="W2351" s="3"/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/>
      <c r="B2352" s="2"/>
      <c r="C2352" s="2"/>
      <c r="D2352" s="2"/>
      <c r="E2352" s="2" t="str">
        <f aca="false">IF(C2352="","",IF(C2352&gt;D2352,3,IF(C2352=D2352,1,0)))</f>
        <v/>
      </c>
      <c r="F2352" s="2" t="str">
        <f aca="false">IF(C2352="","",IF(C2352&gt;D2352,1,0))</f>
        <v/>
      </c>
      <c r="G2352" s="2" t="str">
        <f aca="false">IF(C2352="","",IF(C2352=D2352,1,0))</f>
        <v/>
      </c>
      <c r="H2352" s="2" t="str">
        <f aca="false">IF(C2352="","",IF(C2352&lt;D2352,1,0))</f>
        <v/>
      </c>
      <c r="I2352" s="2" t="n">
        <f aca="false">IF(D2352=0,1,0)</f>
        <v>1</v>
      </c>
      <c r="J2352" s="2"/>
      <c r="K2352" s="2" t="n">
        <f aca="false">C2352</f>
        <v>0</v>
      </c>
      <c r="L2352" s="2" t="n">
        <f aca="false">D2352</f>
        <v>0</v>
      </c>
      <c r="M2352" s="2" t="str">
        <f aca="false">IF(D2352="","",IF(D2352&gt;C2352,3,IF(D2352=C2352,1,0)))</f>
        <v/>
      </c>
      <c r="N2352" s="2" t="str">
        <f aca="false">IF(D2352="","",IF(D2352&gt;C2352,1,0))</f>
        <v/>
      </c>
      <c r="O2352" s="2" t="str">
        <f aca="false">IF(D2352="","",IF(D2352=C2352,1,0))</f>
        <v/>
      </c>
      <c r="P2352" s="2" t="str">
        <f aca="false">IF(D2352="","",IF(D2352&lt;C2352,1,0))</f>
        <v/>
      </c>
      <c r="Q2352" s="2" t="n">
        <f aca="false">IF(K2352=0,1,0)</f>
        <v>1</v>
      </c>
      <c r="R2352" s="2"/>
      <c r="S2352" s="2" t="n">
        <f aca="false">C2352</f>
        <v>0</v>
      </c>
      <c r="T2352" s="2" t="n">
        <f aca="false">D2352</f>
        <v>0</v>
      </c>
      <c r="U2352" s="3"/>
      <c r="V2352" s="3"/>
      <c r="W2352" s="3"/>
      <c r="X2352" s="3"/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/>
      <c r="B2353" s="2"/>
      <c r="C2353" s="2"/>
      <c r="D2353" s="2"/>
      <c r="E2353" s="2" t="str">
        <f aca="false">IF(C2353="","",IF(C2353&gt;D2353,3,IF(C2353=D2353,1,0)))</f>
        <v/>
      </c>
      <c r="F2353" s="2" t="str">
        <f aca="false">IF(C2353="","",IF(C2353&gt;D2353,1,0))</f>
        <v/>
      </c>
      <c r="G2353" s="2" t="str">
        <f aca="false">IF(C2353="","",IF(C2353=D2353,1,0))</f>
        <v/>
      </c>
      <c r="H2353" s="2" t="str">
        <f aca="false">IF(C2353="","",IF(C2353&lt;D2353,1,0))</f>
        <v/>
      </c>
      <c r="I2353" s="2" t="n">
        <f aca="false">IF(D2353=0,1,0)</f>
        <v>1</v>
      </c>
      <c r="J2353" s="2"/>
      <c r="K2353" s="2" t="n">
        <f aca="false">C2353</f>
        <v>0</v>
      </c>
      <c r="L2353" s="2" t="n">
        <f aca="false">D2353</f>
        <v>0</v>
      </c>
      <c r="M2353" s="2" t="str">
        <f aca="false">IF(D2353="","",IF(D2353&gt;C2353,3,IF(D2353=C2353,1,0)))</f>
        <v/>
      </c>
      <c r="N2353" s="2" t="str">
        <f aca="false">IF(D2353="","",IF(D2353&gt;C2353,1,0))</f>
        <v/>
      </c>
      <c r="O2353" s="2" t="str">
        <f aca="false">IF(D2353="","",IF(D2353=C2353,1,0))</f>
        <v/>
      </c>
      <c r="P2353" s="2" t="str">
        <f aca="false">IF(D2353="","",IF(D2353&lt;C2353,1,0))</f>
        <v/>
      </c>
      <c r="Q2353" s="2" t="n">
        <f aca="false">IF(K2353=0,1,0)</f>
        <v>1</v>
      </c>
      <c r="R2353" s="2"/>
      <c r="S2353" s="2" t="n">
        <f aca="false">C2353</f>
        <v>0</v>
      </c>
      <c r="T2353" s="2" t="n">
        <f aca="false">D2353</f>
        <v>0</v>
      </c>
      <c r="U2353" s="3"/>
      <c r="V2353" s="3"/>
      <c r="W2353" s="3"/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/>
      <c r="B2354" s="2"/>
      <c r="C2354" s="2"/>
      <c r="D2354" s="2"/>
      <c r="E2354" s="2" t="str">
        <f aca="false">IF(C2354="","",IF(C2354&gt;D2354,3,IF(C2354=D2354,1,0)))</f>
        <v/>
      </c>
      <c r="F2354" s="2" t="str">
        <f aca="false">IF(C2354="","",IF(C2354&gt;D2354,1,0))</f>
        <v/>
      </c>
      <c r="G2354" s="2" t="str">
        <f aca="false">IF(C2354="","",IF(C2354=D2354,1,0))</f>
        <v/>
      </c>
      <c r="H2354" s="2" t="str">
        <f aca="false">IF(C2354="","",IF(C2354&lt;D2354,1,0))</f>
        <v/>
      </c>
      <c r="I2354" s="2" t="n">
        <f aca="false">IF(D2354=0,1,0)</f>
        <v>1</v>
      </c>
      <c r="J2354" s="2"/>
      <c r="K2354" s="2" t="n">
        <f aca="false">C2354</f>
        <v>0</v>
      </c>
      <c r="L2354" s="2" t="n">
        <f aca="false">D2354</f>
        <v>0</v>
      </c>
      <c r="M2354" s="2" t="str">
        <f aca="false">IF(D2354="","",IF(D2354&gt;C2354,3,IF(D2354=C2354,1,0)))</f>
        <v/>
      </c>
      <c r="N2354" s="2" t="str">
        <f aca="false">IF(D2354="","",IF(D2354&gt;C2354,1,0))</f>
        <v/>
      </c>
      <c r="O2354" s="2" t="str">
        <f aca="false">IF(D2354="","",IF(D2354=C2354,1,0))</f>
        <v/>
      </c>
      <c r="P2354" s="2" t="str">
        <f aca="false">IF(D2354="","",IF(D2354&lt;C2354,1,0))</f>
        <v/>
      </c>
      <c r="Q2354" s="2" t="n">
        <f aca="false">IF(K2354=0,1,0)</f>
        <v>1</v>
      </c>
      <c r="R2354" s="2"/>
      <c r="S2354" s="2" t="n">
        <f aca="false">C2354</f>
        <v>0</v>
      </c>
      <c r="T2354" s="2" t="n">
        <f aca="false">D2354</f>
        <v>0</v>
      </c>
      <c r="U2354" s="3"/>
      <c r="V2354" s="3"/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/>
      <c r="B2355" s="2"/>
      <c r="C2355" s="2"/>
      <c r="D2355" s="2"/>
      <c r="E2355" s="2" t="str">
        <f aca="false">IF(C2355="","",IF(C2355&gt;D2355,3,IF(C2355=D2355,1,0)))</f>
        <v/>
      </c>
      <c r="F2355" s="2" t="str">
        <f aca="false">IF(C2355="","",IF(C2355&gt;D2355,1,0))</f>
        <v/>
      </c>
      <c r="G2355" s="2" t="str">
        <f aca="false">IF(C2355="","",IF(C2355=D2355,1,0))</f>
        <v/>
      </c>
      <c r="H2355" s="2" t="str">
        <f aca="false">IF(C2355="","",IF(C2355&lt;D2355,1,0))</f>
        <v/>
      </c>
      <c r="I2355" s="2" t="n">
        <f aca="false">IF(D2355=0,1,0)</f>
        <v>1</v>
      </c>
      <c r="J2355" s="2"/>
      <c r="K2355" s="2" t="n">
        <f aca="false">C2355</f>
        <v>0</v>
      </c>
      <c r="L2355" s="2" t="n">
        <f aca="false">D2355</f>
        <v>0</v>
      </c>
      <c r="M2355" s="2" t="str">
        <f aca="false">IF(D2355="","",IF(D2355&gt;C2355,3,IF(D2355=C2355,1,0)))</f>
        <v/>
      </c>
      <c r="N2355" s="2" t="str">
        <f aca="false">IF(D2355="","",IF(D2355&gt;C2355,1,0))</f>
        <v/>
      </c>
      <c r="O2355" s="2" t="str">
        <f aca="false">IF(D2355="","",IF(D2355=C2355,1,0))</f>
        <v/>
      </c>
      <c r="P2355" s="2" t="str">
        <f aca="false">IF(D2355="","",IF(D2355&lt;C2355,1,0))</f>
        <v/>
      </c>
      <c r="Q2355" s="2" t="n">
        <f aca="false">IF(K2355=0,1,0)</f>
        <v>1</v>
      </c>
      <c r="R2355" s="2"/>
      <c r="S2355" s="2" t="n">
        <f aca="false">C2355</f>
        <v>0</v>
      </c>
      <c r="T2355" s="2" t="n">
        <f aca="false">D2355</f>
        <v>0</v>
      </c>
      <c r="U2355" s="3"/>
      <c r="V2355" s="3"/>
      <c r="W2355" s="3"/>
      <c r="X2355" s="3"/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/>
      <c r="B2356" s="2"/>
      <c r="C2356" s="2"/>
      <c r="D2356" s="2"/>
      <c r="E2356" s="2" t="str">
        <f aca="false">IF(C2356="","",IF(C2356&gt;D2356,3,IF(C2356=D2356,1,0)))</f>
        <v/>
      </c>
      <c r="F2356" s="2" t="str">
        <f aca="false">IF(C2356="","",IF(C2356&gt;D2356,1,0))</f>
        <v/>
      </c>
      <c r="G2356" s="2" t="str">
        <f aca="false">IF(C2356="","",IF(C2356=D2356,1,0))</f>
        <v/>
      </c>
      <c r="H2356" s="2" t="str">
        <f aca="false">IF(C2356="","",IF(C2356&lt;D2356,1,0))</f>
        <v/>
      </c>
      <c r="I2356" s="2" t="n">
        <f aca="false">IF(D2356=0,1,0)</f>
        <v>1</v>
      </c>
      <c r="J2356" s="2"/>
      <c r="K2356" s="2" t="n">
        <f aca="false">C2356</f>
        <v>0</v>
      </c>
      <c r="L2356" s="2" t="n">
        <f aca="false">D2356</f>
        <v>0</v>
      </c>
      <c r="M2356" s="2" t="str">
        <f aca="false">IF(D2356="","",IF(D2356&gt;C2356,3,IF(D2356=C2356,1,0)))</f>
        <v/>
      </c>
      <c r="N2356" s="2" t="str">
        <f aca="false">IF(D2356="","",IF(D2356&gt;C2356,1,0))</f>
        <v/>
      </c>
      <c r="O2356" s="2" t="str">
        <f aca="false">IF(D2356="","",IF(D2356=C2356,1,0))</f>
        <v/>
      </c>
      <c r="P2356" s="2" t="str">
        <f aca="false">IF(D2356="","",IF(D2356&lt;C2356,1,0))</f>
        <v/>
      </c>
      <c r="Q2356" s="2" t="n">
        <f aca="false">IF(K2356=0,1,0)</f>
        <v>1</v>
      </c>
      <c r="R2356" s="2"/>
      <c r="S2356" s="2" t="n">
        <f aca="false">C2356</f>
        <v>0</v>
      </c>
      <c r="T2356" s="2" t="n">
        <f aca="false">D2356</f>
        <v>0</v>
      </c>
      <c r="U2356" s="3"/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/>
      <c r="B2357" s="2"/>
      <c r="C2357" s="2"/>
      <c r="D2357" s="2"/>
      <c r="E2357" s="2" t="str">
        <f aca="false">IF(C2357="","",IF(C2357&gt;D2357,3,IF(C2357=D2357,1,0)))</f>
        <v/>
      </c>
      <c r="F2357" s="2" t="str">
        <f aca="false">IF(C2357="","",IF(C2357&gt;D2357,1,0))</f>
        <v/>
      </c>
      <c r="G2357" s="2" t="str">
        <f aca="false">IF(C2357="","",IF(C2357=D2357,1,0))</f>
        <v/>
      </c>
      <c r="H2357" s="2" t="str">
        <f aca="false">IF(C2357="","",IF(C2357&lt;D2357,1,0))</f>
        <v/>
      </c>
      <c r="I2357" s="2" t="n">
        <f aca="false">IF(D2357=0,1,0)</f>
        <v>1</v>
      </c>
      <c r="J2357" s="2"/>
      <c r="K2357" s="2" t="n">
        <f aca="false">C2357</f>
        <v>0</v>
      </c>
      <c r="L2357" s="2" t="n">
        <f aca="false">D2357</f>
        <v>0</v>
      </c>
      <c r="M2357" s="2" t="str">
        <f aca="false">IF(D2357="","",IF(D2357&gt;C2357,3,IF(D2357=C2357,1,0)))</f>
        <v/>
      </c>
      <c r="N2357" s="2" t="str">
        <f aca="false">IF(D2357="","",IF(D2357&gt;C2357,1,0))</f>
        <v/>
      </c>
      <c r="O2357" s="2" t="str">
        <f aca="false">IF(D2357="","",IF(D2357=C2357,1,0))</f>
        <v/>
      </c>
      <c r="P2357" s="2" t="str">
        <f aca="false">IF(D2357="","",IF(D2357&lt;C2357,1,0))</f>
        <v/>
      </c>
      <c r="Q2357" s="2" t="n">
        <f aca="false">IF(K2357=0,1,0)</f>
        <v>1</v>
      </c>
      <c r="R2357" s="2"/>
      <c r="S2357" s="2" t="n">
        <f aca="false">C2357</f>
        <v>0</v>
      </c>
      <c r="T2357" s="2" t="n">
        <f aca="false">D2357</f>
        <v>0</v>
      </c>
      <c r="U2357" s="3"/>
      <c r="V2357" s="3"/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/>
      <c r="B2358" s="2"/>
      <c r="C2358" s="2"/>
      <c r="D2358" s="2"/>
      <c r="E2358" s="2" t="str">
        <f aca="false">IF(C2358="","",IF(C2358&gt;D2358,3,IF(C2358=D2358,1,0)))</f>
        <v/>
      </c>
      <c r="F2358" s="2" t="str">
        <f aca="false">IF(C2358="","",IF(C2358&gt;D2358,1,0))</f>
        <v/>
      </c>
      <c r="G2358" s="2" t="str">
        <f aca="false">IF(C2358="","",IF(C2358=D2358,1,0))</f>
        <v/>
      </c>
      <c r="H2358" s="2" t="str">
        <f aca="false">IF(C2358="","",IF(C2358&lt;D2358,1,0))</f>
        <v/>
      </c>
      <c r="I2358" s="2" t="n">
        <f aca="false">IF(D2358=0,1,0)</f>
        <v>1</v>
      </c>
      <c r="J2358" s="2"/>
      <c r="K2358" s="2" t="n">
        <f aca="false">C2358</f>
        <v>0</v>
      </c>
      <c r="L2358" s="2" t="n">
        <f aca="false">D2358</f>
        <v>0</v>
      </c>
      <c r="M2358" s="2" t="str">
        <f aca="false">IF(D2358="","",IF(D2358&gt;C2358,3,IF(D2358=C2358,1,0)))</f>
        <v/>
      </c>
      <c r="N2358" s="2" t="str">
        <f aca="false">IF(D2358="","",IF(D2358&gt;C2358,1,0))</f>
        <v/>
      </c>
      <c r="O2358" s="2" t="str">
        <f aca="false">IF(D2358="","",IF(D2358=C2358,1,0))</f>
        <v/>
      </c>
      <c r="P2358" s="2" t="str">
        <f aca="false">IF(D2358="","",IF(D2358&lt;C2358,1,0))</f>
        <v/>
      </c>
      <c r="Q2358" s="2" t="n">
        <f aca="false">IF(K2358=0,1,0)</f>
        <v>1</v>
      </c>
      <c r="R2358" s="2"/>
      <c r="S2358" s="2" t="n">
        <f aca="false">C2358</f>
        <v>0</v>
      </c>
      <c r="T2358" s="2" t="n">
        <f aca="false">D2358</f>
        <v>0</v>
      </c>
      <c r="U2358" s="3"/>
      <c r="V2358" s="3"/>
      <c r="W2358" s="3"/>
      <c r="X2358" s="3"/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/>
      <c r="B2359" s="2"/>
      <c r="C2359" s="2"/>
      <c r="D2359" s="2"/>
      <c r="E2359" s="2" t="str">
        <f aca="false">IF(C2359="","",IF(C2359&gt;D2359,3,IF(C2359=D2359,1,0)))</f>
        <v/>
      </c>
      <c r="F2359" s="2" t="str">
        <f aca="false">IF(C2359="","",IF(C2359&gt;D2359,1,0))</f>
        <v/>
      </c>
      <c r="G2359" s="2" t="str">
        <f aca="false">IF(C2359="","",IF(C2359=D2359,1,0))</f>
        <v/>
      </c>
      <c r="H2359" s="2" t="str">
        <f aca="false">IF(C2359="","",IF(C2359&lt;D2359,1,0))</f>
        <v/>
      </c>
      <c r="I2359" s="2" t="n">
        <f aca="false">IF(D2359=0,1,0)</f>
        <v>1</v>
      </c>
      <c r="J2359" s="2"/>
      <c r="K2359" s="2" t="n">
        <f aca="false">C2359</f>
        <v>0</v>
      </c>
      <c r="L2359" s="2" t="n">
        <f aca="false">D2359</f>
        <v>0</v>
      </c>
      <c r="M2359" s="2" t="str">
        <f aca="false">IF(D2359="","",IF(D2359&gt;C2359,3,IF(D2359=C2359,1,0)))</f>
        <v/>
      </c>
      <c r="N2359" s="2" t="str">
        <f aca="false">IF(D2359="","",IF(D2359&gt;C2359,1,0))</f>
        <v/>
      </c>
      <c r="O2359" s="2" t="str">
        <f aca="false">IF(D2359="","",IF(D2359=C2359,1,0))</f>
        <v/>
      </c>
      <c r="P2359" s="2" t="str">
        <f aca="false">IF(D2359="","",IF(D2359&lt;C2359,1,0))</f>
        <v/>
      </c>
      <c r="Q2359" s="2" t="n">
        <f aca="false">IF(K2359=0,1,0)</f>
        <v>1</v>
      </c>
      <c r="R2359" s="2"/>
      <c r="S2359" s="2" t="n">
        <f aca="false">C2359</f>
        <v>0</v>
      </c>
      <c r="T2359" s="2" t="n">
        <f aca="false">D2359</f>
        <v>0</v>
      </c>
      <c r="U2359" s="3"/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/>
      <c r="B2360" s="2"/>
      <c r="C2360" s="2"/>
      <c r="D2360" s="2"/>
      <c r="E2360" s="2" t="str">
        <f aca="false">IF(C2360="","",IF(C2360&gt;D2360,3,IF(C2360=D2360,1,0)))</f>
        <v/>
      </c>
      <c r="F2360" s="2" t="str">
        <f aca="false">IF(C2360="","",IF(C2360&gt;D2360,1,0))</f>
        <v/>
      </c>
      <c r="G2360" s="2" t="str">
        <f aca="false">IF(C2360="","",IF(C2360=D2360,1,0))</f>
        <v/>
      </c>
      <c r="H2360" s="2" t="str">
        <f aca="false">IF(C2360="","",IF(C2360&lt;D2360,1,0))</f>
        <v/>
      </c>
      <c r="I2360" s="2" t="n">
        <f aca="false">IF(D2360=0,1,0)</f>
        <v>1</v>
      </c>
      <c r="J2360" s="2"/>
      <c r="K2360" s="2" t="n">
        <f aca="false">C2360</f>
        <v>0</v>
      </c>
      <c r="L2360" s="2" t="n">
        <f aca="false">D2360</f>
        <v>0</v>
      </c>
      <c r="M2360" s="2" t="str">
        <f aca="false">IF(D2360="","",IF(D2360&gt;C2360,3,IF(D2360=C2360,1,0)))</f>
        <v/>
      </c>
      <c r="N2360" s="2" t="str">
        <f aca="false">IF(D2360="","",IF(D2360&gt;C2360,1,0))</f>
        <v/>
      </c>
      <c r="O2360" s="2" t="str">
        <f aca="false">IF(D2360="","",IF(D2360=C2360,1,0))</f>
        <v/>
      </c>
      <c r="P2360" s="2" t="str">
        <f aca="false">IF(D2360="","",IF(D2360&lt;C2360,1,0))</f>
        <v/>
      </c>
      <c r="Q2360" s="2" t="n">
        <f aca="false">IF(K2360=0,1,0)</f>
        <v>1</v>
      </c>
      <c r="R2360" s="2"/>
      <c r="S2360" s="2" t="n">
        <f aca="false">C2360</f>
        <v>0</v>
      </c>
      <c r="T2360" s="2" t="n">
        <f aca="false">D2360</f>
        <v>0</v>
      </c>
      <c r="U2360" s="3"/>
      <c r="V2360" s="3"/>
      <c r="W2360" s="3"/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/>
      <c r="B2361" s="2"/>
      <c r="C2361" s="2"/>
      <c r="D2361" s="2"/>
      <c r="E2361" s="2" t="str">
        <f aca="false">IF(C2361="","",IF(C2361&gt;D2361,3,IF(C2361=D2361,1,0)))</f>
        <v/>
      </c>
      <c r="F2361" s="2" t="str">
        <f aca="false">IF(C2361="","",IF(C2361&gt;D2361,1,0))</f>
        <v/>
      </c>
      <c r="G2361" s="2" t="str">
        <f aca="false">IF(C2361="","",IF(C2361=D2361,1,0))</f>
        <v/>
      </c>
      <c r="H2361" s="2" t="str">
        <f aca="false">IF(C2361="","",IF(C2361&lt;D2361,1,0))</f>
        <v/>
      </c>
      <c r="I2361" s="2" t="n">
        <f aca="false">IF(D2361=0,1,0)</f>
        <v>1</v>
      </c>
      <c r="J2361" s="2"/>
      <c r="K2361" s="2" t="n">
        <f aca="false">C2361</f>
        <v>0</v>
      </c>
      <c r="L2361" s="2" t="n">
        <f aca="false">D2361</f>
        <v>0</v>
      </c>
      <c r="M2361" s="2" t="str">
        <f aca="false">IF(D2361="","",IF(D2361&gt;C2361,3,IF(D2361=C2361,1,0)))</f>
        <v/>
      </c>
      <c r="N2361" s="2" t="str">
        <f aca="false">IF(D2361="","",IF(D2361&gt;C2361,1,0))</f>
        <v/>
      </c>
      <c r="O2361" s="2" t="str">
        <f aca="false">IF(D2361="","",IF(D2361=C2361,1,0))</f>
        <v/>
      </c>
      <c r="P2361" s="2" t="str">
        <f aca="false">IF(D2361="","",IF(D2361&lt;C2361,1,0))</f>
        <v/>
      </c>
      <c r="Q2361" s="2" t="n">
        <f aca="false">IF(K2361=0,1,0)</f>
        <v>1</v>
      </c>
      <c r="R2361" s="2"/>
      <c r="S2361" s="2" t="n">
        <f aca="false">C2361</f>
        <v>0</v>
      </c>
      <c r="T2361" s="2" t="n">
        <f aca="false">D2361</f>
        <v>0</v>
      </c>
      <c r="U2361" s="3"/>
      <c r="V2361" s="3"/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/>
      <c r="B2362" s="2"/>
      <c r="C2362" s="2"/>
      <c r="D2362" s="2"/>
      <c r="E2362" s="2" t="str">
        <f aca="false">IF(C2362="","",IF(C2362&gt;D2362,3,IF(C2362=D2362,1,0)))</f>
        <v/>
      </c>
      <c r="F2362" s="2" t="str">
        <f aca="false">IF(C2362="","",IF(C2362&gt;D2362,1,0))</f>
        <v/>
      </c>
      <c r="G2362" s="2" t="str">
        <f aca="false">IF(C2362="","",IF(C2362=D2362,1,0))</f>
        <v/>
      </c>
      <c r="H2362" s="2" t="str">
        <f aca="false">IF(C2362="","",IF(C2362&lt;D2362,1,0))</f>
        <v/>
      </c>
      <c r="I2362" s="2" t="n">
        <f aca="false">IF(D2362=0,1,0)</f>
        <v>1</v>
      </c>
      <c r="J2362" s="2"/>
      <c r="K2362" s="2" t="n">
        <f aca="false">C2362</f>
        <v>0</v>
      </c>
      <c r="L2362" s="2" t="n">
        <f aca="false">D2362</f>
        <v>0</v>
      </c>
      <c r="M2362" s="2" t="str">
        <f aca="false">IF(D2362="","",IF(D2362&gt;C2362,3,IF(D2362=C2362,1,0)))</f>
        <v/>
      </c>
      <c r="N2362" s="2" t="str">
        <f aca="false">IF(D2362="","",IF(D2362&gt;C2362,1,0))</f>
        <v/>
      </c>
      <c r="O2362" s="2" t="str">
        <f aca="false">IF(D2362="","",IF(D2362=C2362,1,0))</f>
        <v/>
      </c>
      <c r="P2362" s="2" t="str">
        <f aca="false">IF(D2362="","",IF(D2362&lt;C2362,1,0))</f>
        <v/>
      </c>
      <c r="Q2362" s="2" t="n">
        <f aca="false">IF(K2362=0,1,0)</f>
        <v>1</v>
      </c>
      <c r="R2362" s="2"/>
      <c r="S2362" s="2" t="n">
        <f aca="false">C2362</f>
        <v>0</v>
      </c>
      <c r="T2362" s="2" t="n">
        <f aca="false">D2362</f>
        <v>0</v>
      </c>
      <c r="U2362" s="3"/>
      <c r="V2362" s="3"/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/>
      <c r="B2363" s="2"/>
      <c r="C2363" s="2"/>
      <c r="D2363" s="2"/>
      <c r="E2363" s="2" t="str">
        <f aca="false">IF(C2363="","",IF(C2363&gt;D2363,3,IF(C2363=D2363,1,0)))</f>
        <v/>
      </c>
      <c r="F2363" s="2" t="str">
        <f aca="false">IF(C2363="","",IF(C2363&gt;D2363,1,0))</f>
        <v/>
      </c>
      <c r="G2363" s="2" t="str">
        <f aca="false">IF(C2363="","",IF(C2363=D2363,1,0))</f>
        <v/>
      </c>
      <c r="H2363" s="2" t="str">
        <f aca="false">IF(C2363="","",IF(C2363&lt;D2363,1,0))</f>
        <v/>
      </c>
      <c r="I2363" s="2" t="n">
        <f aca="false">IF(D2363=0,1,0)</f>
        <v>1</v>
      </c>
      <c r="J2363" s="2"/>
      <c r="K2363" s="2" t="n">
        <f aca="false">C2363</f>
        <v>0</v>
      </c>
      <c r="L2363" s="2" t="n">
        <f aca="false">D2363</f>
        <v>0</v>
      </c>
      <c r="M2363" s="2" t="str">
        <f aca="false">IF(D2363="","",IF(D2363&gt;C2363,3,IF(D2363=C2363,1,0)))</f>
        <v/>
      </c>
      <c r="N2363" s="2" t="str">
        <f aca="false">IF(D2363="","",IF(D2363&gt;C2363,1,0))</f>
        <v/>
      </c>
      <c r="O2363" s="2" t="str">
        <f aca="false">IF(D2363="","",IF(D2363=C2363,1,0))</f>
        <v/>
      </c>
      <c r="P2363" s="2" t="str">
        <f aca="false">IF(D2363="","",IF(D2363&lt;C2363,1,0))</f>
        <v/>
      </c>
      <c r="Q2363" s="2" t="n">
        <f aca="false">IF(K2363=0,1,0)</f>
        <v>1</v>
      </c>
      <c r="R2363" s="2"/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/>
      <c r="B2364" s="2"/>
      <c r="C2364" s="2"/>
      <c r="D2364" s="2"/>
      <c r="E2364" s="2" t="str">
        <f aca="false">IF(C2364="","",IF(C2364&gt;D2364,3,IF(C2364=D2364,1,0)))</f>
        <v/>
      </c>
      <c r="F2364" s="2" t="str">
        <f aca="false">IF(C2364="","",IF(C2364&gt;D2364,1,0))</f>
        <v/>
      </c>
      <c r="G2364" s="2" t="str">
        <f aca="false">IF(C2364="","",IF(C2364=D2364,1,0))</f>
        <v/>
      </c>
      <c r="H2364" s="2" t="str">
        <f aca="false">IF(C2364="","",IF(C2364&lt;D2364,1,0))</f>
        <v/>
      </c>
      <c r="I2364" s="2" t="n">
        <f aca="false">IF(D2364=0,1,0)</f>
        <v>1</v>
      </c>
      <c r="J2364" s="2"/>
      <c r="K2364" s="2" t="n">
        <f aca="false">C2364</f>
        <v>0</v>
      </c>
      <c r="L2364" s="2" t="n">
        <f aca="false">D2364</f>
        <v>0</v>
      </c>
      <c r="M2364" s="2" t="str">
        <f aca="false">IF(D2364="","",IF(D2364&gt;C2364,3,IF(D2364=C2364,1,0)))</f>
        <v/>
      </c>
      <c r="N2364" s="2" t="str">
        <f aca="false">IF(D2364="","",IF(D2364&gt;C2364,1,0))</f>
        <v/>
      </c>
      <c r="O2364" s="2" t="str">
        <f aca="false">IF(D2364="","",IF(D2364=C2364,1,0))</f>
        <v/>
      </c>
      <c r="P2364" s="2" t="str">
        <f aca="false">IF(D2364="","",IF(D2364&lt;C2364,1,0))</f>
        <v/>
      </c>
      <c r="Q2364" s="2" t="n">
        <f aca="false">IF(K2364=0,1,0)</f>
        <v>1</v>
      </c>
      <c r="R2364" s="2"/>
      <c r="S2364" s="2" t="n">
        <f aca="false">C2364</f>
        <v>0</v>
      </c>
      <c r="T2364" s="2" t="n">
        <f aca="false">D2364</f>
        <v>0</v>
      </c>
      <c r="U2364" s="3"/>
      <c r="V2364" s="3"/>
      <c r="W2364" s="3"/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/>
      <c r="B2365" s="7"/>
      <c r="C2365" s="2"/>
      <c r="D2365" s="2"/>
      <c r="E2365" s="2" t="str">
        <f aca="false">IF(C2365="","",IF(C2365&gt;D2365,3,IF(C2365=D2365,1,0)))</f>
        <v/>
      </c>
      <c r="F2365" s="2" t="str">
        <f aca="false">IF(C2365="","",IF(C2365&gt;D2365,1,0))</f>
        <v/>
      </c>
      <c r="G2365" s="2" t="str">
        <f aca="false">IF(C2365="","",IF(C2365=D2365,1,0))</f>
        <v/>
      </c>
      <c r="H2365" s="2" t="str">
        <f aca="false">IF(C2365="","",IF(C2365&lt;D2365,1,0))</f>
        <v/>
      </c>
      <c r="I2365" s="2" t="n">
        <f aca="false">IF(D2365=0,1,0)</f>
        <v>1</v>
      </c>
      <c r="J2365" s="2"/>
      <c r="K2365" s="2" t="n">
        <f aca="false">C2365</f>
        <v>0</v>
      </c>
      <c r="L2365" s="2" t="n">
        <f aca="false">D2365</f>
        <v>0</v>
      </c>
      <c r="M2365" s="2" t="str">
        <f aca="false">IF(D2365="","",IF(D2365&gt;C2365,3,IF(D2365=C2365,1,0)))</f>
        <v/>
      </c>
      <c r="N2365" s="2" t="str">
        <f aca="false">IF(D2365="","",IF(D2365&gt;C2365,1,0))</f>
        <v/>
      </c>
      <c r="O2365" s="2" t="str">
        <f aca="false">IF(D2365="","",IF(D2365=C2365,1,0))</f>
        <v/>
      </c>
      <c r="P2365" s="2" t="str">
        <f aca="false">IF(D2365="","",IF(D2365&lt;C2365,1,0))</f>
        <v/>
      </c>
      <c r="Q2365" s="2" t="n">
        <f aca="false">IF(K2365=0,1,0)</f>
        <v>1</v>
      </c>
      <c r="R2365" s="2"/>
      <c r="S2365" s="2" t="n">
        <f aca="false">C2365</f>
        <v>0</v>
      </c>
      <c r="T2365" s="2" t="n">
        <f aca="false">D2365</f>
        <v>0</v>
      </c>
      <c r="U2365" s="3"/>
      <c r="V2365" s="3"/>
      <c r="W2365" s="3"/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/>
      <c r="B2366" s="2"/>
      <c r="C2366" s="2"/>
      <c r="D2366" s="2"/>
      <c r="E2366" s="2" t="str">
        <f aca="false">IF(C2366="","",IF(C2366&gt;D2366,3,IF(C2366=D2366,1,0)))</f>
        <v/>
      </c>
      <c r="F2366" s="2" t="str">
        <f aca="false">IF(C2366="","",IF(C2366&gt;D2366,1,0))</f>
        <v/>
      </c>
      <c r="G2366" s="2" t="str">
        <f aca="false">IF(C2366="","",IF(C2366=D2366,1,0))</f>
        <v/>
      </c>
      <c r="H2366" s="2" t="str">
        <f aca="false">IF(C2366="","",IF(C2366&lt;D2366,1,0))</f>
        <v/>
      </c>
      <c r="I2366" s="2" t="n">
        <f aca="false">IF(D2366=0,1,0)</f>
        <v>1</v>
      </c>
      <c r="J2366" s="2"/>
      <c r="K2366" s="2" t="n">
        <f aca="false">C2366</f>
        <v>0</v>
      </c>
      <c r="L2366" s="2" t="n">
        <f aca="false">D2366</f>
        <v>0</v>
      </c>
      <c r="M2366" s="2" t="str">
        <f aca="false">IF(D2366="","",IF(D2366&gt;C2366,3,IF(D2366=C2366,1,0)))</f>
        <v/>
      </c>
      <c r="N2366" s="2" t="str">
        <f aca="false">IF(D2366="","",IF(D2366&gt;C2366,1,0))</f>
        <v/>
      </c>
      <c r="O2366" s="2" t="str">
        <f aca="false">IF(D2366="","",IF(D2366=C2366,1,0))</f>
        <v/>
      </c>
      <c r="P2366" s="2" t="str">
        <f aca="false">IF(D2366="","",IF(D2366&lt;C2366,1,0))</f>
        <v/>
      </c>
      <c r="Q2366" s="2" t="n">
        <f aca="false">IF(K2366=0,1,0)</f>
        <v>1</v>
      </c>
      <c r="R2366" s="2"/>
      <c r="S2366" s="2" t="n">
        <f aca="false">C2366</f>
        <v>0</v>
      </c>
      <c r="T2366" s="2" t="n">
        <f aca="false">D2366</f>
        <v>0</v>
      </c>
      <c r="U2366" s="3"/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/>
      <c r="B2367" s="2"/>
      <c r="C2367" s="2"/>
      <c r="D2367" s="2"/>
      <c r="E2367" s="2" t="str">
        <f aca="false">IF(C2367="","",IF(C2367&gt;D2367,3,IF(C2367=D2367,1,0)))</f>
        <v/>
      </c>
      <c r="F2367" s="2" t="str">
        <f aca="false">IF(C2367="","",IF(C2367&gt;D2367,1,0))</f>
        <v/>
      </c>
      <c r="G2367" s="2" t="str">
        <f aca="false">IF(C2367="","",IF(C2367=D2367,1,0))</f>
        <v/>
      </c>
      <c r="H2367" s="2" t="str">
        <f aca="false">IF(C2367="","",IF(C2367&lt;D2367,1,0))</f>
        <v/>
      </c>
      <c r="I2367" s="2" t="n">
        <f aca="false">IF(D2367=0,1,0)</f>
        <v>1</v>
      </c>
      <c r="J2367" s="2"/>
      <c r="K2367" s="2" t="n">
        <f aca="false">C2367</f>
        <v>0</v>
      </c>
      <c r="L2367" s="2" t="n">
        <f aca="false">D2367</f>
        <v>0</v>
      </c>
      <c r="M2367" s="2" t="str">
        <f aca="false">IF(D2367="","",IF(D2367&gt;C2367,3,IF(D2367=C2367,1,0)))</f>
        <v/>
      </c>
      <c r="N2367" s="2" t="str">
        <f aca="false">IF(D2367="","",IF(D2367&gt;C2367,1,0))</f>
        <v/>
      </c>
      <c r="O2367" s="2" t="str">
        <f aca="false">IF(D2367="","",IF(D2367=C2367,1,0))</f>
        <v/>
      </c>
      <c r="P2367" s="2" t="str">
        <f aca="false">IF(D2367="","",IF(D2367&lt;C2367,1,0))</f>
        <v/>
      </c>
      <c r="Q2367" s="2" t="n">
        <f aca="false">IF(K2367=0,1,0)</f>
        <v>1</v>
      </c>
      <c r="R2367" s="2"/>
      <c r="S2367" s="2" t="n">
        <f aca="false">C2367</f>
        <v>0</v>
      </c>
      <c r="T2367" s="2" t="n">
        <f aca="false">D2367</f>
        <v>0</v>
      </c>
      <c r="U2367" s="3"/>
      <c r="V2367" s="3"/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/>
      <c r="B2368" s="2"/>
      <c r="C2368" s="2"/>
      <c r="D2368" s="2"/>
      <c r="E2368" s="2" t="str">
        <f aca="false">IF(C2368="","",IF(C2368&gt;D2368,3,IF(C2368=D2368,1,0)))</f>
        <v/>
      </c>
      <c r="F2368" s="2" t="str">
        <f aca="false">IF(C2368="","",IF(C2368&gt;D2368,1,0))</f>
        <v/>
      </c>
      <c r="G2368" s="2" t="str">
        <f aca="false">IF(C2368="","",IF(C2368=D2368,1,0))</f>
        <v/>
      </c>
      <c r="H2368" s="2" t="str">
        <f aca="false">IF(C2368="","",IF(C2368&lt;D2368,1,0))</f>
        <v/>
      </c>
      <c r="I2368" s="2" t="n">
        <f aca="false">IF(D2368=0,1,0)</f>
        <v>1</v>
      </c>
      <c r="J2368" s="2"/>
      <c r="K2368" s="2" t="n">
        <f aca="false">C2368</f>
        <v>0</v>
      </c>
      <c r="L2368" s="2" t="n">
        <f aca="false">D2368</f>
        <v>0</v>
      </c>
      <c r="M2368" s="2" t="str">
        <f aca="false">IF(D2368="","",IF(D2368&gt;C2368,3,IF(D2368=C2368,1,0)))</f>
        <v/>
      </c>
      <c r="N2368" s="2" t="str">
        <f aca="false">IF(D2368="","",IF(D2368&gt;C2368,1,0))</f>
        <v/>
      </c>
      <c r="O2368" s="2" t="str">
        <f aca="false">IF(D2368="","",IF(D2368=C2368,1,0))</f>
        <v/>
      </c>
      <c r="P2368" s="2" t="str">
        <f aca="false">IF(D2368="","",IF(D2368&lt;C2368,1,0))</f>
        <v/>
      </c>
      <c r="Q2368" s="2" t="n">
        <f aca="false">IF(K2368=0,1,0)</f>
        <v>1</v>
      </c>
      <c r="R2368" s="2"/>
      <c r="S2368" s="2" t="n">
        <f aca="false">C2368</f>
        <v>0</v>
      </c>
      <c r="T2368" s="2" t="n">
        <f aca="false">D2368</f>
        <v>0</v>
      </c>
      <c r="U2368" s="3"/>
      <c r="V2368" s="3"/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/>
      <c r="B2369" s="2"/>
      <c r="C2369" s="2"/>
      <c r="D2369" s="2"/>
      <c r="E2369" s="2" t="str">
        <f aca="false">IF(C2369="","",IF(C2369&gt;D2369,3,IF(C2369=D2369,1,0)))</f>
        <v/>
      </c>
      <c r="F2369" s="2" t="str">
        <f aca="false">IF(C2369="","",IF(C2369&gt;D2369,1,0))</f>
        <v/>
      </c>
      <c r="G2369" s="2" t="str">
        <f aca="false">IF(C2369="","",IF(C2369=D2369,1,0))</f>
        <v/>
      </c>
      <c r="H2369" s="2" t="str">
        <f aca="false">IF(C2369="","",IF(C2369&lt;D2369,1,0))</f>
        <v/>
      </c>
      <c r="I2369" s="2" t="n">
        <f aca="false">IF(D2369=0,1,0)</f>
        <v>1</v>
      </c>
      <c r="J2369" s="2"/>
      <c r="K2369" s="2" t="n">
        <f aca="false">C2369</f>
        <v>0</v>
      </c>
      <c r="L2369" s="2" t="n">
        <f aca="false">D2369</f>
        <v>0</v>
      </c>
      <c r="M2369" s="2" t="str">
        <f aca="false">IF(D2369="","",IF(D2369&gt;C2369,3,IF(D2369=C2369,1,0)))</f>
        <v/>
      </c>
      <c r="N2369" s="2" t="str">
        <f aca="false">IF(D2369="","",IF(D2369&gt;C2369,1,0))</f>
        <v/>
      </c>
      <c r="O2369" s="2" t="str">
        <f aca="false">IF(D2369="","",IF(D2369=C2369,1,0))</f>
        <v/>
      </c>
      <c r="P2369" s="2" t="str">
        <f aca="false">IF(D2369="","",IF(D2369&lt;C2369,1,0))</f>
        <v/>
      </c>
      <c r="Q2369" s="2" t="n">
        <f aca="false">IF(K2369=0,1,0)</f>
        <v>1</v>
      </c>
      <c r="R2369" s="2"/>
      <c r="S2369" s="2" t="n">
        <f aca="false">C2369</f>
        <v>0</v>
      </c>
      <c r="T2369" s="2" t="n">
        <f aca="false">D2369</f>
        <v>0</v>
      </c>
      <c r="U2369" s="3"/>
      <c r="V2369" s="3"/>
      <c r="W2369" s="3"/>
      <c r="X2369" s="3"/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/>
      <c r="B2370" s="2"/>
      <c r="C2370" s="2"/>
      <c r="D2370" s="2"/>
      <c r="E2370" s="2" t="str">
        <f aca="false">IF(C2370="","",IF(C2370&gt;D2370,3,IF(C2370=D2370,1,0)))</f>
        <v/>
      </c>
      <c r="F2370" s="2" t="str">
        <f aca="false">IF(C2370="","",IF(C2370&gt;D2370,1,0))</f>
        <v/>
      </c>
      <c r="G2370" s="2" t="str">
        <f aca="false">IF(C2370="","",IF(C2370=D2370,1,0))</f>
        <v/>
      </c>
      <c r="H2370" s="2" t="str">
        <f aca="false">IF(C2370="","",IF(C2370&lt;D2370,1,0))</f>
        <v/>
      </c>
      <c r="I2370" s="2" t="n">
        <f aca="false">IF(D2370=0,1,0)</f>
        <v>1</v>
      </c>
      <c r="J2370" s="2"/>
      <c r="K2370" s="2" t="n">
        <f aca="false">C2370</f>
        <v>0</v>
      </c>
      <c r="L2370" s="2" t="n">
        <f aca="false">D2370</f>
        <v>0</v>
      </c>
      <c r="M2370" s="2" t="str">
        <f aca="false">IF(D2370="","",IF(D2370&gt;C2370,3,IF(D2370=C2370,1,0)))</f>
        <v/>
      </c>
      <c r="N2370" s="2" t="str">
        <f aca="false">IF(D2370="","",IF(D2370&gt;C2370,1,0))</f>
        <v/>
      </c>
      <c r="O2370" s="2" t="str">
        <f aca="false">IF(D2370="","",IF(D2370=C2370,1,0))</f>
        <v/>
      </c>
      <c r="P2370" s="2" t="str">
        <f aca="false">IF(D2370="","",IF(D2370&lt;C2370,1,0))</f>
        <v/>
      </c>
      <c r="Q2370" s="2" t="n">
        <f aca="false">IF(K2370=0,1,0)</f>
        <v>1</v>
      </c>
      <c r="R2370" s="2"/>
      <c r="S2370" s="2" t="n">
        <f aca="false">C2370</f>
        <v>0</v>
      </c>
      <c r="T2370" s="2" t="n">
        <f aca="false">D2370</f>
        <v>0</v>
      </c>
      <c r="U2370" s="3"/>
      <c r="V2370" s="3"/>
      <c r="W2370" s="3"/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/>
      <c r="B2371" s="2"/>
      <c r="C2371" s="2"/>
      <c r="D2371" s="2"/>
      <c r="E2371" s="2" t="str">
        <f aca="false">IF(C2371="","",IF(C2371&gt;D2371,3,IF(C2371=D2371,1,0)))</f>
        <v/>
      </c>
      <c r="F2371" s="2" t="str">
        <f aca="false">IF(C2371="","",IF(C2371&gt;D2371,1,0))</f>
        <v/>
      </c>
      <c r="G2371" s="2" t="str">
        <f aca="false">IF(C2371="","",IF(C2371=D2371,1,0))</f>
        <v/>
      </c>
      <c r="H2371" s="2" t="str">
        <f aca="false">IF(C2371="","",IF(C2371&lt;D2371,1,0))</f>
        <v/>
      </c>
      <c r="I2371" s="2" t="n">
        <f aca="false">IF(D2371=0,1,0)</f>
        <v>1</v>
      </c>
      <c r="J2371" s="2"/>
      <c r="K2371" s="2" t="n">
        <f aca="false">C2371</f>
        <v>0</v>
      </c>
      <c r="L2371" s="2" t="n">
        <f aca="false">D2371</f>
        <v>0</v>
      </c>
      <c r="M2371" s="2" t="str">
        <f aca="false">IF(D2371="","",IF(D2371&gt;C2371,3,IF(D2371=C2371,1,0)))</f>
        <v/>
      </c>
      <c r="N2371" s="2" t="str">
        <f aca="false">IF(D2371="","",IF(D2371&gt;C2371,1,0))</f>
        <v/>
      </c>
      <c r="O2371" s="2" t="str">
        <f aca="false">IF(D2371="","",IF(D2371=C2371,1,0))</f>
        <v/>
      </c>
      <c r="P2371" s="2" t="str">
        <f aca="false">IF(D2371="","",IF(D2371&lt;C2371,1,0))</f>
        <v/>
      </c>
      <c r="Q2371" s="2" t="n">
        <f aca="false">IF(K2371=0,1,0)</f>
        <v>1</v>
      </c>
      <c r="R2371" s="2"/>
      <c r="S2371" s="2" t="n">
        <f aca="false">C2371</f>
        <v>0</v>
      </c>
      <c r="T2371" s="2" t="n">
        <f aca="false">D2371</f>
        <v>0</v>
      </c>
      <c r="U2371" s="3"/>
      <c r="V2371" s="3"/>
      <c r="W2371" s="3"/>
      <c r="X2371" s="3"/>
      <c r="Y2371" s="3"/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/>
      <c r="B2372" s="2"/>
      <c r="C2372" s="2"/>
      <c r="D2372" s="2"/>
      <c r="E2372" s="2" t="str">
        <f aca="false">IF(C2372="","",IF(C2372&gt;D2372,3,IF(C2372=D2372,1,0)))</f>
        <v/>
      </c>
      <c r="F2372" s="2" t="str">
        <f aca="false">IF(C2372="","",IF(C2372&gt;D2372,1,0))</f>
        <v/>
      </c>
      <c r="G2372" s="2" t="str">
        <f aca="false">IF(C2372="","",IF(C2372=D2372,1,0))</f>
        <v/>
      </c>
      <c r="H2372" s="2" t="str">
        <f aca="false">IF(C2372="","",IF(C2372&lt;D2372,1,0))</f>
        <v/>
      </c>
      <c r="I2372" s="2" t="n">
        <f aca="false">IF(D2372=0,1,0)</f>
        <v>1</v>
      </c>
      <c r="J2372" s="2"/>
      <c r="K2372" s="2" t="n">
        <f aca="false">C2372</f>
        <v>0</v>
      </c>
      <c r="L2372" s="2" t="n">
        <f aca="false">D2372</f>
        <v>0</v>
      </c>
      <c r="M2372" s="2" t="str">
        <f aca="false">IF(D2372="","",IF(D2372&gt;C2372,3,IF(D2372=C2372,1,0)))</f>
        <v/>
      </c>
      <c r="N2372" s="2" t="str">
        <f aca="false">IF(D2372="","",IF(D2372&gt;C2372,1,0))</f>
        <v/>
      </c>
      <c r="O2372" s="2" t="str">
        <f aca="false">IF(D2372="","",IF(D2372=C2372,1,0))</f>
        <v/>
      </c>
      <c r="P2372" s="2" t="str">
        <f aca="false">IF(D2372="","",IF(D2372&lt;C2372,1,0))</f>
        <v/>
      </c>
      <c r="Q2372" s="2" t="n">
        <f aca="false">IF(K2372=0,1,0)</f>
        <v>1</v>
      </c>
      <c r="R2372" s="2"/>
      <c r="S2372" s="2" t="n">
        <f aca="false">C2372</f>
        <v>0</v>
      </c>
      <c r="T2372" s="2" t="n">
        <f aca="false">D2372</f>
        <v>0</v>
      </c>
      <c r="U2372" s="3"/>
      <c r="V2372" s="3"/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/>
      <c r="B2373" s="2"/>
      <c r="C2373" s="2"/>
      <c r="D2373" s="2"/>
      <c r="E2373" s="2" t="str">
        <f aca="false">IF(C2373="","",IF(C2373&gt;D2373,3,IF(C2373=D2373,1,0)))</f>
        <v/>
      </c>
      <c r="F2373" s="2" t="str">
        <f aca="false">IF(C2373="","",IF(C2373&gt;D2373,1,0))</f>
        <v/>
      </c>
      <c r="G2373" s="2" t="str">
        <f aca="false">IF(C2373="","",IF(C2373=D2373,1,0))</f>
        <v/>
      </c>
      <c r="H2373" s="2" t="str">
        <f aca="false">IF(C2373="","",IF(C2373&lt;D2373,1,0))</f>
        <v/>
      </c>
      <c r="I2373" s="2" t="n">
        <f aca="false">IF(D2373=0,1,0)</f>
        <v>1</v>
      </c>
      <c r="J2373" s="2"/>
      <c r="K2373" s="2" t="n">
        <f aca="false">C2373</f>
        <v>0</v>
      </c>
      <c r="L2373" s="2" t="n">
        <f aca="false">D2373</f>
        <v>0</v>
      </c>
      <c r="M2373" s="2" t="str">
        <f aca="false">IF(D2373="","",IF(D2373&gt;C2373,3,IF(D2373=C2373,1,0)))</f>
        <v/>
      </c>
      <c r="N2373" s="2" t="str">
        <f aca="false">IF(D2373="","",IF(D2373&gt;C2373,1,0))</f>
        <v/>
      </c>
      <c r="O2373" s="2" t="str">
        <f aca="false">IF(D2373="","",IF(D2373=C2373,1,0))</f>
        <v/>
      </c>
      <c r="P2373" s="2" t="str">
        <f aca="false">IF(D2373="","",IF(D2373&lt;C2373,1,0))</f>
        <v/>
      </c>
      <c r="Q2373" s="2" t="n">
        <f aca="false">IF(K2373=0,1,0)</f>
        <v>1</v>
      </c>
      <c r="R2373" s="2"/>
      <c r="S2373" s="2" t="n">
        <f aca="false">C2373</f>
        <v>0</v>
      </c>
      <c r="T2373" s="2" t="n">
        <f aca="false">D2373</f>
        <v>0</v>
      </c>
      <c r="U2373" s="3"/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/>
      <c r="B2374" s="2"/>
      <c r="C2374" s="2"/>
      <c r="D2374" s="2"/>
      <c r="E2374" s="2" t="str">
        <f aca="false">IF(C2374="","",IF(C2374&gt;D2374,3,IF(C2374=D2374,1,0)))</f>
        <v/>
      </c>
      <c r="F2374" s="2" t="str">
        <f aca="false">IF(C2374="","",IF(C2374&gt;D2374,1,0))</f>
        <v/>
      </c>
      <c r="G2374" s="2" t="str">
        <f aca="false">IF(C2374="","",IF(C2374=D2374,1,0))</f>
        <v/>
      </c>
      <c r="H2374" s="2" t="str">
        <f aca="false">IF(C2374="","",IF(C2374&lt;D2374,1,0))</f>
        <v/>
      </c>
      <c r="I2374" s="2" t="n">
        <f aca="false">IF(D2374=0,1,0)</f>
        <v>1</v>
      </c>
      <c r="J2374" s="2"/>
      <c r="K2374" s="2" t="n">
        <f aca="false">C2374</f>
        <v>0</v>
      </c>
      <c r="L2374" s="2" t="n">
        <f aca="false">D2374</f>
        <v>0</v>
      </c>
      <c r="M2374" s="2" t="str">
        <f aca="false">IF(D2374="","",IF(D2374&gt;C2374,3,IF(D2374=C2374,1,0)))</f>
        <v/>
      </c>
      <c r="N2374" s="2" t="str">
        <f aca="false">IF(D2374="","",IF(D2374&gt;C2374,1,0))</f>
        <v/>
      </c>
      <c r="O2374" s="2" t="str">
        <f aca="false">IF(D2374="","",IF(D2374=C2374,1,0))</f>
        <v/>
      </c>
      <c r="P2374" s="2" t="str">
        <f aca="false">IF(D2374="","",IF(D2374&lt;C2374,1,0))</f>
        <v/>
      </c>
      <c r="Q2374" s="2" t="n">
        <f aca="false">IF(K2374=0,1,0)</f>
        <v>1</v>
      </c>
      <c r="R2374" s="2"/>
      <c r="S2374" s="2" t="n">
        <f aca="false">C2374</f>
        <v>0</v>
      </c>
      <c r="T2374" s="2" t="n">
        <f aca="false">D2374</f>
        <v>0</v>
      </c>
      <c r="U2374" s="3"/>
      <c r="V2374" s="3"/>
      <c r="W2374" s="3"/>
      <c r="X2374" s="3"/>
      <c r="Y2374" s="3"/>
      <c r="Z2374" s="3"/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/>
      <c r="B2375" s="2"/>
      <c r="C2375" s="2"/>
      <c r="D2375" s="2"/>
      <c r="E2375" s="2" t="str">
        <f aca="false">IF(C2375="","",IF(C2375&gt;D2375,3,IF(C2375=D2375,1,0)))</f>
        <v/>
      </c>
      <c r="F2375" s="2" t="str">
        <f aca="false">IF(C2375="","",IF(C2375&gt;D2375,1,0))</f>
        <v/>
      </c>
      <c r="G2375" s="2" t="str">
        <f aca="false">IF(C2375="","",IF(C2375=D2375,1,0))</f>
        <v/>
      </c>
      <c r="H2375" s="2" t="str">
        <f aca="false">IF(C2375="","",IF(C2375&lt;D2375,1,0))</f>
        <v/>
      </c>
      <c r="I2375" s="2" t="n">
        <f aca="false">IF(D2375=0,1,0)</f>
        <v>1</v>
      </c>
      <c r="J2375" s="2"/>
      <c r="K2375" s="2" t="n">
        <f aca="false">C2375</f>
        <v>0</v>
      </c>
      <c r="L2375" s="2" t="n">
        <f aca="false">D2375</f>
        <v>0</v>
      </c>
      <c r="M2375" s="2" t="str">
        <f aca="false">IF(D2375="","",IF(D2375&gt;C2375,3,IF(D2375=C2375,1,0)))</f>
        <v/>
      </c>
      <c r="N2375" s="2" t="str">
        <f aca="false">IF(D2375="","",IF(D2375&gt;C2375,1,0))</f>
        <v/>
      </c>
      <c r="O2375" s="2" t="str">
        <f aca="false">IF(D2375="","",IF(D2375=C2375,1,0))</f>
        <v/>
      </c>
      <c r="P2375" s="2" t="str">
        <f aca="false">IF(D2375="","",IF(D2375&lt;C2375,1,0))</f>
        <v/>
      </c>
      <c r="Q2375" s="2" t="n">
        <f aca="false">IF(K2375=0,1,0)</f>
        <v>1</v>
      </c>
      <c r="R2375" s="2"/>
      <c r="S2375" s="2" t="n">
        <f aca="false">C2375</f>
        <v>0</v>
      </c>
      <c r="T2375" s="2" t="n">
        <f aca="false">D2375</f>
        <v>0</v>
      </c>
      <c r="U2375" s="3"/>
      <c r="V2375" s="3"/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/>
      <c r="B2376" s="2"/>
      <c r="C2376" s="2"/>
      <c r="D2376" s="2"/>
      <c r="E2376" s="2" t="str">
        <f aca="false">IF(C2376="","",IF(C2376&gt;D2376,3,IF(C2376=D2376,1,0)))</f>
        <v/>
      </c>
      <c r="F2376" s="2" t="str">
        <f aca="false">IF(C2376="","",IF(C2376&gt;D2376,1,0))</f>
        <v/>
      </c>
      <c r="G2376" s="2" t="str">
        <f aca="false">IF(C2376="","",IF(C2376=D2376,1,0))</f>
        <v/>
      </c>
      <c r="H2376" s="2" t="str">
        <f aca="false">IF(C2376="","",IF(C2376&lt;D2376,1,0))</f>
        <v/>
      </c>
      <c r="I2376" s="2" t="n">
        <f aca="false">IF(D2376=0,1,0)</f>
        <v>1</v>
      </c>
      <c r="J2376" s="2"/>
      <c r="K2376" s="2" t="n">
        <f aca="false">C2376</f>
        <v>0</v>
      </c>
      <c r="L2376" s="2" t="n">
        <f aca="false">D2376</f>
        <v>0</v>
      </c>
      <c r="M2376" s="2" t="str">
        <f aca="false">IF(D2376="","",IF(D2376&gt;C2376,3,IF(D2376=C2376,1,0)))</f>
        <v/>
      </c>
      <c r="N2376" s="2" t="str">
        <f aca="false">IF(D2376="","",IF(D2376&gt;C2376,1,0))</f>
        <v/>
      </c>
      <c r="O2376" s="2" t="str">
        <f aca="false">IF(D2376="","",IF(D2376=C2376,1,0))</f>
        <v/>
      </c>
      <c r="P2376" s="2" t="str">
        <f aca="false">IF(D2376="","",IF(D2376&lt;C2376,1,0))</f>
        <v/>
      </c>
      <c r="Q2376" s="2" t="n">
        <f aca="false">IF(K2376=0,1,0)</f>
        <v>1</v>
      </c>
      <c r="R2376" s="2"/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/>
      <c r="B2377" s="2"/>
      <c r="C2377" s="2"/>
      <c r="D2377" s="2"/>
      <c r="E2377" s="2" t="str">
        <f aca="false">IF(C2377="","",IF(C2377&gt;D2377,3,IF(C2377=D2377,1,0)))</f>
        <v/>
      </c>
      <c r="F2377" s="2" t="str">
        <f aca="false">IF(C2377="","",IF(C2377&gt;D2377,1,0))</f>
        <v/>
      </c>
      <c r="G2377" s="2" t="str">
        <f aca="false">IF(C2377="","",IF(C2377=D2377,1,0))</f>
        <v/>
      </c>
      <c r="H2377" s="2" t="str">
        <f aca="false">IF(C2377="","",IF(C2377&lt;D2377,1,0))</f>
        <v/>
      </c>
      <c r="I2377" s="2" t="n">
        <f aca="false">IF(D2377=0,1,0)</f>
        <v>1</v>
      </c>
      <c r="J2377" s="2"/>
      <c r="K2377" s="2" t="n">
        <f aca="false">C2377</f>
        <v>0</v>
      </c>
      <c r="L2377" s="2" t="n">
        <f aca="false">D2377</f>
        <v>0</v>
      </c>
      <c r="M2377" s="2" t="str">
        <f aca="false">IF(D2377="","",IF(D2377&gt;C2377,3,IF(D2377=C2377,1,0)))</f>
        <v/>
      </c>
      <c r="N2377" s="2" t="str">
        <f aca="false">IF(D2377="","",IF(D2377&gt;C2377,1,0))</f>
        <v/>
      </c>
      <c r="O2377" s="2" t="str">
        <f aca="false">IF(D2377="","",IF(D2377=C2377,1,0))</f>
        <v/>
      </c>
      <c r="P2377" s="2" t="str">
        <f aca="false">IF(D2377="","",IF(D2377&lt;C2377,1,0))</f>
        <v/>
      </c>
      <c r="Q2377" s="2" t="n">
        <f aca="false">IF(K2377=0,1,0)</f>
        <v>1</v>
      </c>
      <c r="R2377" s="2"/>
      <c r="S2377" s="2" t="n">
        <f aca="false">C2377</f>
        <v>0</v>
      </c>
      <c r="T2377" s="2" t="n">
        <f aca="false">D2377</f>
        <v>0</v>
      </c>
      <c r="U2377" s="3"/>
      <c r="V2377" s="3"/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/>
      <c r="B2378" s="2"/>
      <c r="C2378" s="2"/>
      <c r="D2378" s="2"/>
      <c r="E2378" s="2" t="str">
        <f aca="false">IF(C2378="","",IF(C2378&gt;D2378,3,IF(C2378=D2378,1,0)))</f>
        <v/>
      </c>
      <c r="F2378" s="2" t="str">
        <f aca="false">IF(C2378="","",IF(C2378&gt;D2378,1,0))</f>
        <v/>
      </c>
      <c r="G2378" s="2" t="str">
        <f aca="false">IF(C2378="","",IF(C2378=D2378,1,0))</f>
        <v/>
      </c>
      <c r="H2378" s="2" t="str">
        <f aca="false">IF(C2378="","",IF(C2378&lt;D2378,1,0))</f>
        <v/>
      </c>
      <c r="I2378" s="2" t="n">
        <f aca="false">IF(D2378=0,1,0)</f>
        <v>1</v>
      </c>
      <c r="J2378" s="2"/>
      <c r="K2378" s="2" t="n">
        <f aca="false">C2378</f>
        <v>0</v>
      </c>
      <c r="L2378" s="2" t="n">
        <f aca="false">D2378</f>
        <v>0</v>
      </c>
      <c r="M2378" s="2" t="str">
        <f aca="false">IF(D2378="","",IF(D2378&gt;C2378,3,IF(D2378=C2378,1,0)))</f>
        <v/>
      </c>
      <c r="N2378" s="2" t="str">
        <f aca="false">IF(D2378="","",IF(D2378&gt;C2378,1,0))</f>
        <v/>
      </c>
      <c r="O2378" s="2" t="str">
        <f aca="false">IF(D2378="","",IF(D2378=C2378,1,0))</f>
        <v/>
      </c>
      <c r="P2378" s="2" t="str">
        <f aca="false">IF(D2378="","",IF(D2378&lt;C2378,1,0))</f>
        <v/>
      </c>
      <c r="Q2378" s="2" t="n">
        <f aca="false">IF(K2378=0,1,0)</f>
        <v>1</v>
      </c>
      <c r="R2378" s="2"/>
      <c r="S2378" s="2" t="n">
        <f aca="false">C2378</f>
        <v>0</v>
      </c>
      <c r="T2378" s="2" t="n">
        <f aca="false">D2378</f>
        <v>0</v>
      </c>
      <c r="U2378" s="3"/>
      <c r="V2378" s="3"/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/>
      <c r="B2379" s="2"/>
      <c r="C2379" s="2"/>
      <c r="D2379" s="2"/>
      <c r="E2379" s="2" t="str">
        <f aca="false">IF(C2379="","",IF(C2379&gt;D2379,3,IF(C2379=D2379,1,0)))</f>
        <v/>
      </c>
      <c r="F2379" s="2" t="str">
        <f aca="false">IF(C2379="","",IF(C2379&gt;D2379,1,0))</f>
        <v/>
      </c>
      <c r="G2379" s="2" t="str">
        <f aca="false">IF(C2379="","",IF(C2379=D2379,1,0))</f>
        <v/>
      </c>
      <c r="H2379" s="2" t="str">
        <f aca="false">IF(C2379="","",IF(C2379&lt;D2379,1,0))</f>
        <v/>
      </c>
      <c r="I2379" s="2" t="n">
        <f aca="false">IF(D2379=0,1,0)</f>
        <v>1</v>
      </c>
      <c r="J2379" s="2"/>
      <c r="K2379" s="2" t="n">
        <f aca="false">C2379</f>
        <v>0</v>
      </c>
      <c r="L2379" s="2" t="n">
        <f aca="false">D2379</f>
        <v>0</v>
      </c>
      <c r="M2379" s="2" t="str">
        <f aca="false">IF(D2379="","",IF(D2379&gt;C2379,3,IF(D2379=C2379,1,0)))</f>
        <v/>
      </c>
      <c r="N2379" s="2" t="str">
        <f aca="false">IF(D2379="","",IF(D2379&gt;C2379,1,0))</f>
        <v/>
      </c>
      <c r="O2379" s="2" t="str">
        <f aca="false">IF(D2379="","",IF(D2379=C2379,1,0))</f>
        <v/>
      </c>
      <c r="P2379" s="2" t="str">
        <f aca="false">IF(D2379="","",IF(D2379&lt;C2379,1,0))</f>
        <v/>
      </c>
      <c r="Q2379" s="2" t="n">
        <f aca="false">IF(K2379=0,1,0)</f>
        <v>1</v>
      </c>
      <c r="R2379" s="2"/>
      <c r="S2379" s="2" t="n">
        <f aca="false">C2379</f>
        <v>0</v>
      </c>
      <c r="T2379" s="2" t="n">
        <f aca="false">D2379</f>
        <v>0</v>
      </c>
      <c r="U2379" s="3"/>
      <c r="V2379" s="3"/>
      <c r="W2379" s="3"/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/>
      <c r="B2380" s="2"/>
      <c r="C2380" s="2"/>
      <c r="D2380" s="2"/>
      <c r="E2380" s="2" t="str">
        <f aca="false">IF(C2380="","",IF(C2380&gt;D2380,3,IF(C2380=D2380,1,0)))</f>
        <v/>
      </c>
      <c r="F2380" s="2" t="str">
        <f aca="false">IF(C2380="","",IF(C2380&gt;D2380,1,0))</f>
        <v/>
      </c>
      <c r="G2380" s="2" t="str">
        <f aca="false">IF(C2380="","",IF(C2380=D2380,1,0))</f>
        <v/>
      </c>
      <c r="H2380" s="2" t="str">
        <f aca="false">IF(C2380="","",IF(C2380&lt;D2380,1,0))</f>
        <v/>
      </c>
      <c r="I2380" s="2" t="n">
        <f aca="false">IF(D2380=0,1,0)</f>
        <v>1</v>
      </c>
      <c r="J2380" s="2"/>
      <c r="K2380" s="2" t="n">
        <f aca="false">C2380</f>
        <v>0</v>
      </c>
      <c r="L2380" s="2" t="n">
        <f aca="false">D2380</f>
        <v>0</v>
      </c>
      <c r="M2380" s="2" t="str">
        <f aca="false">IF(D2380="","",IF(D2380&gt;C2380,3,IF(D2380=C2380,1,0)))</f>
        <v/>
      </c>
      <c r="N2380" s="2" t="str">
        <f aca="false">IF(D2380="","",IF(D2380&gt;C2380,1,0))</f>
        <v/>
      </c>
      <c r="O2380" s="2" t="str">
        <f aca="false">IF(D2380="","",IF(D2380=C2380,1,0))</f>
        <v/>
      </c>
      <c r="P2380" s="2" t="str">
        <f aca="false">IF(D2380="","",IF(D2380&lt;C2380,1,0))</f>
        <v/>
      </c>
      <c r="Q2380" s="2" t="n">
        <f aca="false">IF(K2380=0,1,0)</f>
        <v>1</v>
      </c>
      <c r="R2380" s="2"/>
      <c r="S2380" s="2" t="n">
        <f aca="false">C2380</f>
        <v>0</v>
      </c>
      <c r="T2380" s="2" t="n">
        <f aca="false">D2380</f>
        <v>0</v>
      </c>
      <c r="U2380" s="3"/>
      <c r="V2380" s="3"/>
      <c r="W2380" s="3"/>
      <c r="X2380" s="3"/>
      <c r="Y2380" s="3"/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/>
      <c r="B2381" s="2"/>
      <c r="C2381" s="2"/>
      <c r="D2381" s="2"/>
      <c r="E2381" s="2" t="str">
        <f aca="false">IF(C2381="","",IF(C2381&gt;D2381,3,IF(C2381=D2381,1,0)))</f>
        <v/>
      </c>
      <c r="F2381" s="2" t="str">
        <f aca="false">IF(C2381="","",IF(C2381&gt;D2381,1,0))</f>
        <v/>
      </c>
      <c r="G2381" s="2" t="str">
        <f aca="false">IF(C2381="","",IF(C2381=D2381,1,0))</f>
        <v/>
      </c>
      <c r="H2381" s="2" t="str">
        <f aca="false">IF(C2381="","",IF(C2381&lt;D2381,1,0))</f>
        <v/>
      </c>
      <c r="I2381" s="2" t="n">
        <f aca="false">IF(D2381=0,1,0)</f>
        <v>1</v>
      </c>
      <c r="J2381" s="2"/>
      <c r="K2381" s="2" t="n">
        <f aca="false">C2381</f>
        <v>0</v>
      </c>
      <c r="L2381" s="2" t="n">
        <f aca="false">D2381</f>
        <v>0</v>
      </c>
      <c r="M2381" s="2" t="str">
        <f aca="false">IF(D2381="","",IF(D2381&gt;C2381,3,IF(D2381=C2381,1,0)))</f>
        <v/>
      </c>
      <c r="N2381" s="2" t="str">
        <f aca="false">IF(D2381="","",IF(D2381&gt;C2381,1,0))</f>
        <v/>
      </c>
      <c r="O2381" s="2" t="str">
        <f aca="false">IF(D2381="","",IF(D2381=C2381,1,0))</f>
        <v/>
      </c>
      <c r="P2381" s="2" t="str">
        <f aca="false">IF(D2381="","",IF(D2381&lt;C2381,1,0))</f>
        <v/>
      </c>
      <c r="Q2381" s="2" t="n">
        <f aca="false">IF(K2381=0,1,0)</f>
        <v>1</v>
      </c>
      <c r="R2381" s="2"/>
      <c r="S2381" s="2" t="n">
        <f aca="false">C2381</f>
        <v>0</v>
      </c>
      <c r="T2381" s="2" t="n">
        <f aca="false">D2381</f>
        <v>0</v>
      </c>
      <c r="U2381" s="3"/>
      <c r="V2381" s="3"/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/>
      <c r="B2382" s="2"/>
      <c r="C2382" s="2"/>
      <c r="D2382" s="2"/>
      <c r="E2382" s="2" t="str">
        <f aca="false">IF(C2382="","",IF(C2382&gt;D2382,3,IF(C2382=D2382,1,0)))</f>
        <v/>
      </c>
      <c r="F2382" s="2" t="str">
        <f aca="false">IF(C2382="","",IF(C2382&gt;D2382,1,0))</f>
        <v/>
      </c>
      <c r="G2382" s="2" t="str">
        <f aca="false">IF(C2382="","",IF(C2382=D2382,1,0))</f>
        <v/>
      </c>
      <c r="H2382" s="2" t="str">
        <f aca="false">IF(C2382="","",IF(C2382&lt;D2382,1,0))</f>
        <v/>
      </c>
      <c r="I2382" s="2" t="n">
        <f aca="false">IF(D2382=0,1,0)</f>
        <v>1</v>
      </c>
      <c r="J2382" s="2"/>
      <c r="K2382" s="2" t="n">
        <f aca="false">C2382</f>
        <v>0</v>
      </c>
      <c r="L2382" s="2" t="n">
        <f aca="false">D2382</f>
        <v>0</v>
      </c>
      <c r="M2382" s="2" t="str">
        <f aca="false">IF(D2382="","",IF(D2382&gt;C2382,3,IF(D2382=C2382,1,0)))</f>
        <v/>
      </c>
      <c r="N2382" s="2" t="str">
        <f aca="false">IF(D2382="","",IF(D2382&gt;C2382,1,0))</f>
        <v/>
      </c>
      <c r="O2382" s="2" t="str">
        <f aca="false">IF(D2382="","",IF(D2382=C2382,1,0))</f>
        <v/>
      </c>
      <c r="P2382" s="2" t="str">
        <f aca="false">IF(D2382="","",IF(D2382&lt;C2382,1,0))</f>
        <v/>
      </c>
      <c r="Q2382" s="2" t="n">
        <f aca="false">IF(K2382=0,1,0)</f>
        <v>1</v>
      </c>
      <c r="R2382" s="2"/>
      <c r="S2382" s="2" t="n">
        <f aca="false">C2382</f>
        <v>0</v>
      </c>
      <c r="T2382" s="2" t="n">
        <f aca="false">D2382</f>
        <v>0</v>
      </c>
      <c r="U2382" s="3"/>
      <c r="V2382" s="3"/>
      <c r="W2382" s="3"/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/>
      <c r="B2383" s="2"/>
      <c r="C2383" s="2"/>
      <c r="D2383" s="2"/>
      <c r="E2383" s="2" t="str">
        <f aca="false">IF(C2383="","",IF(C2383&gt;D2383,3,IF(C2383=D2383,1,0)))</f>
        <v/>
      </c>
      <c r="F2383" s="2" t="str">
        <f aca="false">IF(C2383="","",IF(C2383&gt;D2383,1,0))</f>
        <v/>
      </c>
      <c r="G2383" s="2" t="str">
        <f aca="false">IF(C2383="","",IF(C2383=D2383,1,0))</f>
        <v/>
      </c>
      <c r="H2383" s="2" t="str">
        <f aca="false">IF(C2383="","",IF(C2383&lt;D2383,1,0))</f>
        <v/>
      </c>
      <c r="I2383" s="2" t="n">
        <f aca="false">IF(D2383=0,1,0)</f>
        <v>1</v>
      </c>
      <c r="J2383" s="2"/>
      <c r="K2383" s="2" t="n">
        <f aca="false">C2383</f>
        <v>0</v>
      </c>
      <c r="L2383" s="2" t="n">
        <f aca="false">D2383</f>
        <v>0</v>
      </c>
      <c r="M2383" s="2" t="str">
        <f aca="false">IF(D2383="","",IF(D2383&gt;C2383,3,IF(D2383=C2383,1,0)))</f>
        <v/>
      </c>
      <c r="N2383" s="2" t="str">
        <f aca="false">IF(D2383="","",IF(D2383&gt;C2383,1,0))</f>
        <v/>
      </c>
      <c r="O2383" s="2" t="str">
        <f aca="false">IF(D2383="","",IF(D2383=C2383,1,0))</f>
        <v/>
      </c>
      <c r="P2383" s="2" t="str">
        <f aca="false">IF(D2383="","",IF(D2383&lt;C2383,1,0))</f>
        <v/>
      </c>
      <c r="Q2383" s="2" t="n">
        <f aca="false">IF(K2383=0,1,0)</f>
        <v>1</v>
      </c>
      <c r="R2383" s="2"/>
      <c r="S2383" s="2" t="n">
        <f aca="false">C2383</f>
        <v>0</v>
      </c>
      <c r="T2383" s="2" t="n">
        <f aca="false">D2383</f>
        <v>0</v>
      </c>
      <c r="U2383" s="3"/>
      <c r="V2383" s="3"/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/>
      <c r="B2384" s="2"/>
      <c r="C2384" s="2"/>
      <c r="D2384" s="2"/>
      <c r="E2384" s="2" t="str">
        <f aca="false">IF(C2384="","",IF(C2384&gt;D2384,3,IF(C2384=D2384,1,0)))</f>
        <v/>
      </c>
      <c r="F2384" s="2" t="str">
        <f aca="false">IF(C2384="","",IF(C2384&gt;D2384,1,0))</f>
        <v/>
      </c>
      <c r="G2384" s="2" t="str">
        <f aca="false">IF(C2384="","",IF(C2384=D2384,1,0))</f>
        <v/>
      </c>
      <c r="H2384" s="2" t="str">
        <f aca="false">IF(C2384="","",IF(C2384&lt;D2384,1,0))</f>
        <v/>
      </c>
      <c r="I2384" s="2" t="n">
        <f aca="false">IF(D2384=0,1,0)</f>
        <v>1</v>
      </c>
      <c r="J2384" s="2"/>
      <c r="K2384" s="2" t="n">
        <f aca="false">C2384</f>
        <v>0</v>
      </c>
      <c r="L2384" s="2" t="n">
        <f aca="false">D2384</f>
        <v>0</v>
      </c>
      <c r="M2384" s="2" t="str">
        <f aca="false">IF(D2384="","",IF(D2384&gt;C2384,3,IF(D2384=C2384,1,0)))</f>
        <v/>
      </c>
      <c r="N2384" s="2" t="str">
        <f aca="false">IF(D2384="","",IF(D2384&gt;C2384,1,0))</f>
        <v/>
      </c>
      <c r="O2384" s="2" t="str">
        <f aca="false">IF(D2384="","",IF(D2384=C2384,1,0))</f>
        <v/>
      </c>
      <c r="P2384" s="2" t="str">
        <f aca="false">IF(D2384="","",IF(D2384&lt;C2384,1,0))</f>
        <v/>
      </c>
      <c r="Q2384" s="2" t="n">
        <f aca="false">IF(K2384=0,1,0)</f>
        <v>1</v>
      </c>
      <c r="R2384" s="2"/>
      <c r="S2384" s="2" t="n">
        <f aca="false">C2384</f>
        <v>0</v>
      </c>
      <c r="T2384" s="2" t="n">
        <f aca="false">D2384</f>
        <v>0</v>
      </c>
      <c r="U2384" s="3"/>
      <c r="V2384" s="3"/>
      <c r="W2384" s="3"/>
      <c r="X2384" s="3"/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/>
      <c r="B2385" s="2"/>
      <c r="C2385" s="2"/>
      <c r="D2385" s="2"/>
      <c r="E2385" s="2" t="str">
        <f aca="false">IF(C2385="","",IF(C2385&gt;D2385,3,IF(C2385=D2385,1,0)))</f>
        <v/>
      </c>
      <c r="F2385" s="2" t="str">
        <f aca="false">IF(C2385="","",IF(C2385&gt;D2385,1,0))</f>
        <v/>
      </c>
      <c r="G2385" s="2" t="str">
        <f aca="false">IF(C2385="","",IF(C2385=D2385,1,0))</f>
        <v/>
      </c>
      <c r="H2385" s="2" t="str">
        <f aca="false">IF(C2385="","",IF(C2385&lt;D2385,1,0))</f>
        <v/>
      </c>
      <c r="I2385" s="2" t="n">
        <f aca="false">IF(D2385=0,1,0)</f>
        <v>1</v>
      </c>
      <c r="J2385" s="2"/>
      <c r="K2385" s="2" t="n">
        <f aca="false">C2385</f>
        <v>0</v>
      </c>
      <c r="L2385" s="2" t="n">
        <f aca="false">D2385</f>
        <v>0</v>
      </c>
      <c r="M2385" s="2" t="str">
        <f aca="false">IF(D2385="","",IF(D2385&gt;C2385,3,IF(D2385=C2385,1,0)))</f>
        <v/>
      </c>
      <c r="N2385" s="2" t="str">
        <f aca="false">IF(D2385="","",IF(D2385&gt;C2385,1,0))</f>
        <v/>
      </c>
      <c r="O2385" s="2" t="str">
        <f aca="false">IF(D2385="","",IF(D2385=C2385,1,0))</f>
        <v/>
      </c>
      <c r="P2385" s="2" t="str">
        <f aca="false">IF(D2385="","",IF(D2385&lt;C2385,1,0))</f>
        <v/>
      </c>
      <c r="Q2385" s="2" t="n">
        <f aca="false">IF(K2385=0,1,0)</f>
        <v>1</v>
      </c>
      <c r="R2385" s="2"/>
      <c r="S2385" s="2" t="n">
        <f aca="false">C2385</f>
        <v>0</v>
      </c>
      <c r="T2385" s="2" t="n">
        <f aca="false">D2385</f>
        <v>0</v>
      </c>
      <c r="U2385" s="3"/>
      <c r="V2385" s="3"/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/>
      <c r="B2386" s="2"/>
      <c r="C2386" s="2"/>
      <c r="D2386" s="2"/>
      <c r="E2386" s="2" t="str">
        <f aca="false">IF(C2386="","",IF(C2386&gt;D2386,3,IF(C2386=D2386,1,0)))</f>
        <v/>
      </c>
      <c r="F2386" s="2" t="str">
        <f aca="false">IF(C2386="","",IF(C2386&gt;D2386,1,0))</f>
        <v/>
      </c>
      <c r="G2386" s="2" t="str">
        <f aca="false">IF(C2386="","",IF(C2386=D2386,1,0))</f>
        <v/>
      </c>
      <c r="H2386" s="2" t="str">
        <f aca="false">IF(C2386="","",IF(C2386&lt;D2386,1,0))</f>
        <v/>
      </c>
      <c r="I2386" s="2" t="n">
        <f aca="false">IF(D2386=0,1,0)</f>
        <v>1</v>
      </c>
      <c r="J2386" s="2"/>
      <c r="K2386" s="2" t="n">
        <f aca="false">C2386</f>
        <v>0</v>
      </c>
      <c r="L2386" s="2" t="n">
        <f aca="false">D2386</f>
        <v>0</v>
      </c>
      <c r="M2386" s="2" t="str">
        <f aca="false">IF(D2386="","",IF(D2386&gt;C2386,3,IF(D2386=C2386,1,0)))</f>
        <v/>
      </c>
      <c r="N2386" s="2" t="str">
        <f aca="false">IF(D2386="","",IF(D2386&gt;C2386,1,0))</f>
        <v/>
      </c>
      <c r="O2386" s="2" t="str">
        <f aca="false">IF(D2386="","",IF(D2386=C2386,1,0))</f>
        <v/>
      </c>
      <c r="P2386" s="2" t="str">
        <f aca="false">IF(D2386="","",IF(D2386&lt;C2386,1,0))</f>
        <v/>
      </c>
      <c r="Q2386" s="2" t="n">
        <f aca="false">IF(K2386=0,1,0)</f>
        <v>1</v>
      </c>
      <c r="R2386" s="2"/>
      <c r="S2386" s="2" t="n">
        <f aca="false">C2386</f>
        <v>0</v>
      </c>
      <c r="T2386" s="2" t="n">
        <f aca="false">D2386</f>
        <v>0</v>
      </c>
      <c r="U2386" s="3"/>
      <c r="V2386" s="3"/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/>
      <c r="B2387" s="2"/>
      <c r="C2387" s="2"/>
      <c r="D2387" s="2"/>
      <c r="E2387" s="2" t="str">
        <f aca="false">IF(C2387="","",IF(C2387&gt;D2387,3,IF(C2387=D2387,1,0)))</f>
        <v/>
      </c>
      <c r="F2387" s="2" t="str">
        <f aca="false">IF(C2387="","",IF(C2387&gt;D2387,1,0))</f>
        <v/>
      </c>
      <c r="G2387" s="2" t="str">
        <f aca="false">IF(C2387="","",IF(C2387=D2387,1,0))</f>
        <v/>
      </c>
      <c r="H2387" s="2" t="str">
        <f aca="false">IF(C2387="","",IF(C2387&lt;D2387,1,0))</f>
        <v/>
      </c>
      <c r="I2387" s="2" t="n">
        <f aca="false">IF(D2387=0,1,0)</f>
        <v>1</v>
      </c>
      <c r="J2387" s="2"/>
      <c r="K2387" s="2" t="n">
        <f aca="false">C2387</f>
        <v>0</v>
      </c>
      <c r="L2387" s="2" t="n">
        <f aca="false">D2387</f>
        <v>0</v>
      </c>
      <c r="M2387" s="2" t="str">
        <f aca="false">IF(D2387="","",IF(D2387&gt;C2387,3,IF(D2387=C2387,1,0)))</f>
        <v/>
      </c>
      <c r="N2387" s="2" t="str">
        <f aca="false">IF(D2387="","",IF(D2387&gt;C2387,1,0))</f>
        <v/>
      </c>
      <c r="O2387" s="2" t="str">
        <f aca="false">IF(D2387="","",IF(D2387=C2387,1,0))</f>
        <v/>
      </c>
      <c r="P2387" s="2" t="str">
        <f aca="false">IF(D2387="","",IF(D2387&lt;C2387,1,0))</f>
        <v/>
      </c>
      <c r="Q2387" s="2" t="n">
        <f aca="false">IF(K2387=0,1,0)</f>
        <v>1</v>
      </c>
      <c r="R2387" s="2"/>
      <c r="S2387" s="2" t="n">
        <f aca="false">C2387</f>
        <v>0</v>
      </c>
      <c r="T2387" s="2" t="n">
        <f aca="false">D2387</f>
        <v>0</v>
      </c>
      <c r="U2387" s="3"/>
      <c r="V2387" s="3"/>
      <c r="W2387" s="3"/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/>
      <c r="B2388" s="2"/>
      <c r="C2388" s="2"/>
      <c r="D2388" s="2"/>
      <c r="E2388" s="2" t="str">
        <f aca="false">IF(C2388="","",IF(C2388&gt;D2388,3,IF(C2388=D2388,1,0)))</f>
        <v/>
      </c>
      <c r="F2388" s="2" t="str">
        <f aca="false">IF(C2388="","",IF(C2388&gt;D2388,1,0))</f>
        <v/>
      </c>
      <c r="G2388" s="2" t="str">
        <f aca="false">IF(C2388="","",IF(C2388=D2388,1,0))</f>
        <v/>
      </c>
      <c r="H2388" s="2" t="str">
        <f aca="false">IF(C2388="","",IF(C2388&lt;D2388,1,0))</f>
        <v/>
      </c>
      <c r="I2388" s="2" t="n">
        <f aca="false">IF(D2388=0,1,0)</f>
        <v>1</v>
      </c>
      <c r="J2388" s="2"/>
      <c r="K2388" s="2" t="n">
        <f aca="false">C2388</f>
        <v>0</v>
      </c>
      <c r="L2388" s="2" t="n">
        <f aca="false">D2388</f>
        <v>0</v>
      </c>
      <c r="M2388" s="2" t="str">
        <f aca="false">IF(D2388="","",IF(D2388&gt;C2388,3,IF(D2388=C2388,1,0)))</f>
        <v/>
      </c>
      <c r="N2388" s="2" t="str">
        <f aca="false">IF(D2388="","",IF(D2388&gt;C2388,1,0))</f>
        <v/>
      </c>
      <c r="O2388" s="2" t="str">
        <f aca="false">IF(D2388="","",IF(D2388=C2388,1,0))</f>
        <v/>
      </c>
      <c r="P2388" s="2" t="str">
        <f aca="false">IF(D2388="","",IF(D2388&lt;C2388,1,0))</f>
        <v/>
      </c>
      <c r="Q2388" s="2" t="n">
        <f aca="false">IF(K2388=0,1,0)</f>
        <v>1</v>
      </c>
      <c r="R2388" s="2"/>
      <c r="S2388" s="2" t="n">
        <f aca="false">C2388</f>
        <v>0</v>
      </c>
      <c r="T2388" s="2" t="n">
        <f aca="false">D2388</f>
        <v>0</v>
      </c>
      <c r="U2388" s="3"/>
      <c r="V2388" s="3"/>
      <c r="W2388" s="3"/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/>
      <c r="B2389" s="2"/>
      <c r="C2389" s="2"/>
      <c r="D2389" s="2"/>
      <c r="E2389" s="2" t="str">
        <f aca="false">IF(C2389="","",IF(C2389&gt;D2389,3,IF(C2389=D2389,1,0)))</f>
        <v/>
      </c>
      <c r="F2389" s="2" t="str">
        <f aca="false">IF(C2389="","",IF(C2389&gt;D2389,1,0))</f>
        <v/>
      </c>
      <c r="G2389" s="2" t="str">
        <f aca="false">IF(C2389="","",IF(C2389=D2389,1,0))</f>
        <v/>
      </c>
      <c r="H2389" s="2" t="str">
        <f aca="false">IF(C2389="","",IF(C2389&lt;D2389,1,0))</f>
        <v/>
      </c>
      <c r="I2389" s="2" t="n">
        <f aca="false">IF(D2389=0,1,0)</f>
        <v>1</v>
      </c>
      <c r="J2389" s="2"/>
      <c r="K2389" s="2" t="n">
        <f aca="false">C2389</f>
        <v>0</v>
      </c>
      <c r="L2389" s="2" t="n">
        <f aca="false">D2389</f>
        <v>0</v>
      </c>
      <c r="M2389" s="2" t="str">
        <f aca="false">IF(D2389="","",IF(D2389&gt;C2389,3,IF(D2389=C2389,1,0)))</f>
        <v/>
      </c>
      <c r="N2389" s="2" t="str">
        <f aca="false">IF(D2389="","",IF(D2389&gt;C2389,1,0))</f>
        <v/>
      </c>
      <c r="O2389" s="2" t="str">
        <f aca="false">IF(D2389="","",IF(D2389=C2389,1,0))</f>
        <v/>
      </c>
      <c r="P2389" s="2" t="str">
        <f aca="false">IF(D2389="","",IF(D2389&lt;C2389,1,0))</f>
        <v/>
      </c>
      <c r="Q2389" s="2" t="n">
        <f aca="false">IF(K2389=0,1,0)</f>
        <v>1</v>
      </c>
      <c r="R2389" s="2"/>
      <c r="S2389" s="2" t="n">
        <f aca="false">C2389</f>
        <v>0</v>
      </c>
      <c r="T2389" s="2" t="n">
        <f aca="false">D2389</f>
        <v>0</v>
      </c>
      <c r="U2389" s="3"/>
      <c r="V2389" s="3"/>
      <c r="W2389" s="3"/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/>
      <c r="B2390" s="2"/>
      <c r="C2390" s="2"/>
      <c r="D2390" s="2"/>
      <c r="E2390" s="2" t="str">
        <f aca="false">IF(C2390="","",IF(C2390&gt;D2390,3,IF(C2390=D2390,1,0)))</f>
        <v/>
      </c>
      <c r="F2390" s="2" t="str">
        <f aca="false">IF(C2390="","",IF(C2390&gt;D2390,1,0))</f>
        <v/>
      </c>
      <c r="G2390" s="2" t="str">
        <f aca="false">IF(C2390="","",IF(C2390=D2390,1,0))</f>
        <v/>
      </c>
      <c r="H2390" s="2" t="str">
        <f aca="false">IF(C2390="","",IF(C2390&lt;D2390,1,0))</f>
        <v/>
      </c>
      <c r="I2390" s="2" t="n">
        <f aca="false">IF(D2390=0,1,0)</f>
        <v>1</v>
      </c>
      <c r="J2390" s="2"/>
      <c r="K2390" s="2" t="n">
        <f aca="false">C2390</f>
        <v>0</v>
      </c>
      <c r="L2390" s="2" t="n">
        <f aca="false">D2390</f>
        <v>0</v>
      </c>
      <c r="M2390" s="2" t="str">
        <f aca="false">IF(D2390="","",IF(D2390&gt;C2390,3,IF(D2390=C2390,1,0)))</f>
        <v/>
      </c>
      <c r="N2390" s="2" t="str">
        <f aca="false">IF(D2390="","",IF(D2390&gt;C2390,1,0))</f>
        <v/>
      </c>
      <c r="O2390" s="2" t="str">
        <f aca="false">IF(D2390="","",IF(D2390=C2390,1,0))</f>
        <v/>
      </c>
      <c r="P2390" s="2" t="str">
        <f aca="false">IF(D2390="","",IF(D2390&lt;C2390,1,0))</f>
        <v/>
      </c>
      <c r="Q2390" s="2" t="n">
        <f aca="false">IF(K2390=0,1,0)</f>
        <v>1</v>
      </c>
      <c r="R2390" s="2"/>
      <c r="S2390" s="2" t="n">
        <f aca="false">C2390</f>
        <v>0</v>
      </c>
      <c r="T2390" s="2" t="n">
        <f aca="false">D2390</f>
        <v>0</v>
      </c>
      <c r="U2390" s="3"/>
      <c r="V2390" s="3"/>
      <c r="W2390" s="3"/>
      <c r="X2390" s="3"/>
      <c r="Y2390" s="3"/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/>
      <c r="B2391" s="2"/>
      <c r="C2391" s="2"/>
      <c r="D2391" s="2"/>
      <c r="E2391" s="2" t="str">
        <f aca="false">IF(C2391="","",IF(C2391&gt;D2391,3,IF(C2391=D2391,1,0)))</f>
        <v/>
      </c>
      <c r="F2391" s="2" t="str">
        <f aca="false">IF(C2391="","",IF(C2391&gt;D2391,1,0))</f>
        <v/>
      </c>
      <c r="G2391" s="2" t="str">
        <f aca="false">IF(C2391="","",IF(C2391=D2391,1,0))</f>
        <v/>
      </c>
      <c r="H2391" s="2" t="str">
        <f aca="false">IF(C2391="","",IF(C2391&lt;D2391,1,0))</f>
        <v/>
      </c>
      <c r="I2391" s="2" t="n">
        <f aca="false">IF(D2391=0,1,0)</f>
        <v>1</v>
      </c>
      <c r="J2391" s="2"/>
      <c r="K2391" s="2" t="n">
        <f aca="false">C2391</f>
        <v>0</v>
      </c>
      <c r="L2391" s="2" t="n">
        <f aca="false">D2391</f>
        <v>0</v>
      </c>
      <c r="M2391" s="2" t="str">
        <f aca="false">IF(D2391="","",IF(D2391&gt;C2391,3,IF(D2391=C2391,1,0)))</f>
        <v/>
      </c>
      <c r="N2391" s="2" t="str">
        <f aca="false">IF(D2391="","",IF(D2391&gt;C2391,1,0))</f>
        <v/>
      </c>
      <c r="O2391" s="2" t="str">
        <f aca="false">IF(D2391="","",IF(D2391=C2391,1,0))</f>
        <v/>
      </c>
      <c r="P2391" s="2" t="str">
        <f aca="false">IF(D2391="","",IF(D2391&lt;C2391,1,0))</f>
        <v/>
      </c>
      <c r="Q2391" s="2" t="n">
        <f aca="false">IF(K2391=0,1,0)</f>
        <v>1</v>
      </c>
      <c r="R2391" s="2"/>
      <c r="S2391" s="2" t="n">
        <f aca="false">C2391</f>
        <v>0</v>
      </c>
      <c r="T2391" s="2" t="n">
        <f aca="false">D2391</f>
        <v>0</v>
      </c>
      <c r="U2391" s="3"/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/>
      <c r="B2392" s="2"/>
      <c r="C2392" s="2"/>
      <c r="D2392" s="2"/>
      <c r="E2392" s="2" t="str">
        <f aca="false">IF(C2392="","",IF(C2392&gt;D2392,3,IF(C2392=D2392,1,0)))</f>
        <v/>
      </c>
      <c r="F2392" s="2" t="str">
        <f aca="false">IF(C2392="","",IF(C2392&gt;D2392,1,0))</f>
        <v/>
      </c>
      <c r="G2392" s="2" t="str">
        <f aca="false">IF(C2392="","",IF(C2392=D2392,1,0))</f>
        <v/>
      </c>
      <c r="H2392" s="2" t="str">
        <f aca="false">IF(C2392="","",IF(C2392&lt;D2392,1,0))</f>
        <v/>
      </c>
      <c r="I2392" s="2" t="n">
        <f aca="false">IF(D2392=0,1,0)</f>
        <v>1</v>
      </c>
      <c r="J2392" s="2"/>
      <c r="K2392" s="2" t="n">
        <f aca="false">C2392</f>
        <v>0</v>
      </c>
      <c r="L2392" s="2" t="n">
        <f aca="false">D2392</f>
        <v>0</v>
      </c>
      <c r="M2392" s="2" t="str">
        <f aca="false">IF(D2392="","",IF(D2392&gt;C2392,3,IF(D2392=C2392,1,0)))</f>
        <v/>
      </c>
      <c r="N2392" s="2" t="str">
        <f aca="false">IF(D2392="","",IF(D2392&gt;C2392,1,0))</f>
        <v/>
      </c>
      <c r="O2392" s="2" t="str">
        <f aca="false">IF(D2392="","",IF(D2392=C2392,1,0))</f>
        <v/>
      </c>
      <c r="P2392" s="2" t="str">
        <f aca="false">IF(D2392="","",IF(D2392&lt;C2392,1,0))</f>
        <v/>
      </c>
      <c r="Q2392" s="2" t="n">
        <f aca="false">IF(K2392=0,1,0)</f>
        <v>1</v>
      </c>
      <c r="R2392" s="2"/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/>
      <c r="B2393" s="2"/>
      <c r="C2393" s="2"/>
      <c r="D2393" s="2"/>
      <c r="E2393" s="2" t="str">
        <f aca="false">IF(C2393="","",IF(C2393&gt;D2393,3,IF(C2393=D2393,1,0)))</f>
        <v/>
      </c>
      <c r="F2393" s="2" t="str">
        <f aca="false">IF(C2393="","",IF(C2393&gt;D2393,1,0))</f>
        <v/>
      </c>
      <c r="G2393" s="2" t="str">
        <f aca="false">IF(C2393="","",IF(C2393=D2393,1,0))</f>
        <v/>
      </c>
      <c r="H2393" s="2" t="str">
        <f aca="false">IF(C2393="","",IF(C2393&lt;D2393,1,0))</f>
        <v/>
      </c>
      <c r="I2393" s="2" t="n">
        <f aca="false">IF(D2393=0,1,0)</f>
        <v>1</v>
      </c>
      <c r="J2393" s="2"/>
      <c r="K2393" s="2" t="n">
        <f aca="false">C2393</f>
        <v>0</v>
      </c>
      <c r="L2393" s="2" t="n">
        <f aca="false">D2393</f>
        <v>0</v>
      </c>
      <c r="M2393" s="2" t="str">
        <f aca="false">IF(D2393="","",IF(D2393&gt;C2393,3,IF(D2393=C2393,1,0)))</f>
        <v/>
      </c>
      <c r="N2393" s="2" t="str">
        <f aca="false">IF(D2393="","",IF(D2393&gt;C2393,1,0))</f>
        <v/>
      </c>
      <c r="O2393" s="2" t="str">
        <f aca="false">IF(D2393="","",IF(D2393=C2393,1,0))</f>
        <v/>
      </c>
      <c r="P2393" s="2" t="str">
        <f aca="false">IF(D2393="","",IF(D2393&lt;C2393,1,0))</f>
        <v/>
      </c>
      <c r="Q2393" s="2" t="n">
        <f aca="false">IF(K2393=0,1,0)</f>
        <v>1</v>
      </c>
      <c r="R2393" s="2"/>
      <c r="S2393" s="2" t="n">
        <f aca="false">C2393</f>
        <v>0</v>
      </c>
      <c r="T2393" s="2" t="n">
        <f aca="false">D2393</f>
        <v>0</v>
      </c>
      <c r="U2393" s="3"/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/>
      <c r="B2394" s="2"/>
      <c r="C2394" s="2"/>
      <c r="D2394" s="2"/>
      <c r="E2394" s="2" t="str">
        <f aca="false">IF(C2394="","",IF(C2394&gt;D2394,3,IF(C2394=D2394,1,0)))</f>
        <v/>
      </c>
      <c r="F2394" s="2" t="str">
        <f aca="false">IF(C2394="","",IF(C2394&gt;D2394,1,0))</f>
        <v/>
      </c>
      <c r="G2394" s="2" t="str">
        <f aca="false">IF(C2394="","",IF(C2394=D2394,1,0))</f>
        <v/>
      </c>
      <c r="H2394" s="2" t="str">
        <f aca="false">IF(C2394="","",IF(C2394&lt;D2394,1,0))</f>
        <v/>
      </c>
      <c r="I2394" s="2" t="n">
        <f aca="false">IF(D2394=0,1,0)</f>
        <v>1</v>
      </c>
      <c r="J2394" s="2"/>
      <c r="K2394" s="2" t="n">
        <f aca="false">C2394</f>
        <v>0</v>
      </c>
      <c r="L2394" s="2" t="n">
        <f aca="false">D2394</f>
        <v>0</v>
      </c>
      <c r="M2394" s="2" t="str">
        <f aca="false">IF(D2394="","",IF(D2394&gt;C2394,3,IF(D2394=C2394,1,0)))</f>
        <v/>
      </c>
      <c r="N2394" s="2" t="str">
        <f aca="false">IF(D2394="","",IF(D2394&gt;C2394,1,0))</f>
        <v/>
      </c>
      <c r="O2394" s="2" t="str">
        <f aca="false">IF(D2394="","",IF(D2394=C2394,1,0))</f>
        <v/>
      </c>
      <c r="P2394" s="2" t="str">
        <f aca="false">IF(D2394="","",IF(D2394&lt;C2394,1,0))</f>
        <v/>
      </c>
      <c r="Q2394" s="2" t="n">
        <f aca="false">IF(K2394=0,1,0)</f>
        <v>1</v>
      </c>
      <c r="R2394" s="2"/>
      <c r="S2394" s="2" t="n">
        <f aca="false">C2394</f>
        <v>0</v>
      </c>
      <c r="T2394" s="2" t="n">
        <f aca="false">D2394</f>
        <v>0</v>
      </c>
      <c r="U2394" s="3"/>
      <c r="V2394" s="3"/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/>
      <c r="B2395" s="2"/>
      <c r="C2395" s="2"/>
      <c r="D2395" s="2"/>
      <c r="E2395" s="2" t="str">
        <f aca="false">IF(C2395="","",IF(C2395&gt;D2395,3,IF(C2395=D2395,1,0)))</f>
        <v/>
      </c>
      <c r="F2395" s="2" t="str">
        <f aca="false">IF(C2395="","",IF(C2395&gt;D2395,1,0))</f>
        <v/>
      </c>
      <c r="G2395" s="2" t="str">
        <f aca="false">IF(C2395="","",IF(C2395=D2395,1,0))</f>
        <v/>
      </c>
      <c r="H2395" s="2" t="str">
        <f aca="false">IF(C2395="","",IF(C2395&lt;D2395,1,0))</f>
        <v/>
      </c>
      <c r="I2395" s="2" t="n">
        <f aca="false">IF(D2395=0,1,0)</f>
        <v>1</v>
      </c>
      <c r="J2395" s="2"/>
      <c r="K2395" s="2" t="n">
        <f aca="false">C2395</f>
        <v>0</v>
      </c>
      <c r="L2395" s="2" t="n">
        <f aca="false">D2395</f>
        <v>0</v>
      </c>
      <c r="M2395" s="2" t="str">
        <f aca="false">IF(D2395="","",IF(D2395&gt;C2395,3,IF(D2395=C2395,1,0)))</f>
        <v/>
      </c>
      <c r="N2395" s="2" t="str">
        <f aca="false">IF(D2395="","",IF(D2395&gt;C2395,1,0))</f>
        <v/>
      </c>
      <c r="O2395" s="2" t="str">
        <f aca="false">IF(D2395="","",IF(D2395=C2395,1,0))</f>
        <v/>
      </c>
      <c r="P2395" s="2" t="str">
        <f aca="false">IF(D2395="","",IF(D2395&lt;C2395,1,0))</f>
        <v/>
      </c>
      <c r="Q2395" s="2" t="n">
        <f aca="false">IF(K2395=0,1,0)</f>
        <v>1</v>
      </c>
      <c r="R2395" s="2"/>
      <c r="S2395" s="2" t="n">
        <f aca="false">C2395</f>
        <v>0</v>
      </c>
      <c r="T2395" s="2" t="n">
        <f aca="false">D2395</f>
        <v>0</v>
      </c>
      <c r="U2395" s="3"/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/>
      <c r="B2396" s="2"/>
      <c r="C2396" s="2"/>
      <c r="D2396" s="2"/>
      <c r="E2396" s="2" t="str">
        <f aca="false">IF(C2396="","",IF(C2396&gt;D2396,3,IF(C2396=D2396,1,0)))</f>
        <v/>
      </c>
      <c r="F2396" s="2" t="str">
        <f aca="false">IF(C2396="","",IF(C2396&gt;D2396,1,0))</f>
        <v/>
      </c>
      <c r="G2396" s="2" t="str">
        <f aca="false">IF(C2396="","",IF(C2396=D2396,1,0))</f>
        <v/>
      </c>
      <c r="H2396" s="2" t="str">
        <f aca="false">IF(C2396="","",IF(C2396&lt;D2396,1,0))</f>
        <v/>
      </c>
      <c r="I2396" s="2" t="n">
        <f aca="false">IF(D2396=0,1,0)</f>
        <v>1</v>
      </c>
      <c r="J2396" s="2"/>
      <c r="K2396" s="2" t="n">
        <f aca="false">C2396</f>
        <v>0</v>
      </c>
      <c r="L2396" s="2" t="n">
        <f aca="false">D2396</f>
        <v>0</v>
      </c>
      <c r="M2396" s="2" t="str">
        <f aca="false">IF(D2396="","",IF(D2396&gt;C2396,3,IF(D2396=C2396,1,0)))</f>
        <v/>
      </c>
      <c r="N2396" s="2" t="str">
        <f aca="false">IF(D2396="","",IF(D2396&gt;C2396,1,0))</f>
        <v/>
      </c>
      <c r="O2396" s="2" t="str">
        <f aca="false">IF(D2396="","",IF(D2396=C2396,1,0))</f>
        <v/>
      </c>
      <c r="P2396" s="2" t="str">
        <f aca="false">IF(D2396="","",IF(D2396&lt;C2396,1,0))</f>
        <v/>
      </c>
      <c r="Q2396" s="2" t="n">
        <f aca="false">IF(K2396=0,1,0)</f>
        <v>1</v>
      </c>
      <c r="R2396" s="2"/>
      <c r="S2396" s="2" t="n">
        <f aca="false">C2396</f>
        <v>0</v>
      </c>
      <c r="T2396" s="2" t="n">
        <f aca="false">D2396</f>
        <v>0</v>
      </c>
      <c r="U2396" s="3"/>
      <c r="V2396" s="3"/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/>
      <c r="B2397" s="2"/>
      <c r="C2397" s="2"/>
      <c r="D2397" s="2"/>
      <c r="E2397" s="2" t="str">
        <f aca="false">IF(C2397="","",IF(C2397&gt;D2397,3,IF(C2397=D2397,1,0)))</f>
        <v/>
      </c>
      <c r="F2397" s="2" t="str">
        <f aca="false">IF(C2397="","",IF(C2397&gt;D2397,1,0))</f>
        <v/>
      </c>
      <c r="G2397" s="2" t="str">
        <f aca="false">IF(C2397="","",IF(C2397=D2397,1,0))</f>
        <v/>
      </c>
      <c r="H2397" s="2" t="str">
        <f aca="false">IF(C2397="","",IF(C2397&lt;D2397,1,0))</f>
        <v/>
      </c>
      <c r="I2397" s="2" t="n">
        <f aca="false">IF(D2397=0,1,0)</f>
        <v>1</v>
      </c>
      <c r="J2397" s="2"/>
      <c r="K2397" s="2" t="n">
        <f aca="false">C2397</f>
        <v>0</v>
      </c>
      <c r="L2397" s="2" t="n">
        <f aca="false">D2397</f>
        <v>0</v>
      </c>
      <c r="M2397" s="2" t="str">
        <f aca="false">IF(D2397="","",IF(D2397&gt;C2397,3,IF(D2397=C2397,1,0)))</f>
        <v/>
      </c>
      <c r="N2397" s="2" t="str">
        <f aca="false">IF(D2397="","",IF(D2397&gt;C2397,1,0))</f>
        <v/>
      </c>
      <c r="O2397" s="2" t="str">
        <f aca="false">IF(D2397="","",IF(D2397=C2397,1,0))</f>
        <v/>
      </c>
      <c r="P2397" s="2" t="str">
        <f aca="false">IF(D2397="","",IF(D2397&lt;C2397,1,0))</f>
        <v/>
      </c>
      <c r="Q2397" s="2" t="n">
        <f aca="false">IF(K2397=0,1,0)</f>
        <v>1</v>
      </c>
      <c r="R2397" s="2"/>
      <c r="S2397" s="2" t="n">
        <f aca="false">C2397</f>
        <v>0</v>
      </c>
      <c r="T2397" s="2" t="n">
        <f aca="false">D2397</f>
        <v>0</v>
      </c>
      <c r="U2397" s="3"/>
      <c r="V2397" s="3"/>
      <c r="W2397" s="3"/>
      <c r="X2397" s="3"/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/>
      <c r="B2398" s="2"/>
      <c r="C2398" s="2"/>
      <c r="D2398" s="2"/>
      <c r="E2398" s="2" t="str">
        <f aca="false">IF(C2398="","",IF(C2398&gt;D2398,3,IF(C2398=D2398,1,0)))</f>
        <v/>
      </c>
      <c r="F2398" s="2" t="str">
        <f aca="false">IF(C2398="","",IF(C2398&gt;D2398,1,0))</f>
        <v/>
      </c>
      <c r="G2398" s="2" t="str">
        <f aca="false">IF(C2398="","",IF(C2398=D2398,1,0))</f>
        <v/>
      </c>
      <c r="H2398" s="2" t="str">
        <f aca="false">IF(C2398="","",IF(C2398&lt;D2398,1,0))</f>
        <v/>
      </c>
      <c r="I2398" s="2" t="n">
        <f aca="false">IF(D2398=0,1,0)</f>
        <v>1</v>
      </c>
      <c r="J2398" s="2"/>
      <c r="K2398" s="2" t="n">
        <f aca="false">C2398</f>
        <v>0</v>
      </c>
      <c r="L2398" s="2" t="n">
        <f aca="false">D2398</f>
        <v>0</v>
      </c>
      <c r="M2398" s="2" t="str">
        <f aca="false">IF(D2398="","",IF(D2398&gt;C2398,3,IF(D2398=C2398,1,0)))</f>
        <v/>
      </c>
      <c r="N2398" s="2" t="str">
        <f aca="false">IF(D2398="","",IF(D2398&gt;C2398,1,0))</f>
        <v/>
      </c>
      <c r="O2398" s="2" t="str">
        <f aca="false">IF(D2398="","",IF(D2398=C2398,1,0))</f>
        <v/>
      </c>
      <c r="P2398" s="2" t="str">
        <f aca="false">IF(D2398="","",IF(D2398&lt;C2398,1,0))</f>
        <v/>
      </c>
      <c r="Q2398" s="2" t="n">
        <f aca="false">IF(K2398=0,1,0)</f>
        <v>1</v>
      </c>
      <c r="R2398" s="2"/>
      <c r="S2398" s="2" t="n">
        <f aca="false">C2398</f>
        <v>0</v>
      </c>
      <c r="T2398" s="2" t="n">
        <f aca="false">D2398</f>
        <v>0</v>
      </c>
      <c r="U2398" s="3"/>
      <c r="V2398" s="3"/>
      <c r="W2398" s="3"/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/>
      <c r="B2399" s="2"/>
      <c r="C2399" s="2"/>
      <c r="D2399" s="2"/>
      <c r="E2399" s="2" t="str">
        <f aca="false">IF(C2399="","",IF(C2399&gt;D2399,3,IF(C2399=D2399,1,0)))</f>
        <v/>
      </c>
      <c r="F2399" s="2" t="str">
        <f aca="false">IF(C2399="","",IF(C2399&gt;D2399,1,0))</f>
        <v/>
      </c>
      <c r="G2399" s="2" t="str">
        <f aca="false">IF(C2399="","",IF(C2399=D2399,1,0))</f>
        <v/>
      </c>
      <c r="H2399" s="2" t="str">
        <f aca="false">IF(C2399="","",IF(C2399&lt;D2399,1,0))</f>
        <v/>
      </c>
      <c r="I2399" s="2" t="n">
        <f aca="false">IF(D2399=0,1,0)</f>
        <v>1</v>
      </c>
      <c r="J2399" s="2"/>
      <c r="K2399" s="2" t="n">
        <f aca="false">C2399</f>
        <v>0</v>
      </c>
      <c r="L2399" s="2" t="n">
        <f aca="false">D2399</f>
        <v>0</v>
      </c>
      <c r="M2399" s="2" t="str">
        <f aca="false">IF(D2399="","",IF(D2399&gt;C2399,3,IF(D2399=C2399,1,0)))</f>
        <v/>
      </c>
      <c r="N2399" s="2" t="str">
        <f aca="false">IF(D2399="","",IF(D2399&gt;C2399,1,0))</f>
        <v/>
      </c>
      <c r="O2399" s="2" t="str">
        <f aca="false">IF(D2399="","",IF(D2399=C2399,1,0))</f>
        <v/>
      </c>
      <c r="P2399" s="2" t="str">
        <f aca="false">IF(D2399="","",IF(D2399&lt;C2399,1,0))</f>
        <v/>
      </c>
      <c r="Q2399" s="2" t="n">
        <f aca="false">IF(K2399=0,1,0)</f>
        <v>1</v>
      </c>
      <c r="R2399" s="2"/>
      <c r="S2399" s="2" t="n">
        <f aca="false">C2399</f>
        <v>0</v>
      </c>
      <c r="T2399" s="2" t="n">
        <f aca="false">D2399</f>
        <v>0</v>
      </c>
      <c r="U2399" s="3"/>
      <c r="V2399" s="3"/>
      <c r="W2399" s="3"/>
      <c r="X2399" s="3"/>
      <c r="Y2399" s="3"/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/>
      <c r="B2400" s="2"/>
      <c r="C2400" s="2"/>
      <c r="D2400" s="2"/>
      <c r="E2400" s="2" t="str">
        <f aca="false">IF(C2400="","",IF(C2400&gt;D2400,3,IF(C2400=D2400,1,0)))</f>
        <v/>
      </c>
      <c r="F2400" s="2" t="str">
        <f aca="false">IF(C2400="","",IF(C2400&gt;D2400,1,0))</f>
        <v/>
      </c>
      <c r="G2400" s="2" t="str">
        <f aca="false">IF(C2400="","",IF(C2400=D2400,1,0))</f>
        <v/>
      </c>
      <c r="H2400" s="2" t="str">
        <f aca="false">IF(C2400="","",IF(C2400&lt;D2400,1,0))</f>
        <v/>
      </c>
      <c r="I2400" s="2" t="n">
        <f aca="false">IF(D2400=0,1,0)</f>
        <v>1</v>
      </c>
      <c r="J2400" s="2"/>
      <c r="K2400" s="2" t="n">
        <f aca="false">C2400</f>
        <v>0</v>
      </c>
      <c r="L2400" s="2" t="n">
        <f aca="false">D2400</f>
        <v>0</v>
      </c>
      <c r="M2400" s="2" t="str">
        <f aca="false">IF(D2400="","",IF(D2400&gt;C2400,3,IF(D2400=C2400,1,0)))</f>
        <v/>
      </c>
      <c r="N2400" s="2" t="str">
        <f aca="false">IF(D2400="","",IF(D2400&gt;C2400,1,0))</f>
        <v/>
      </c>
      <c r="O2400" s="2" t="str">
        <f aca="false">IF(D2400="","",IF(D2400=C2400,1,0))</f>
        <v/>
      </c>
      <c r="P2400" s="2" t="str">
        <f aca="false">IF(D2400="","",IF(D2400&lt;C2400,1,0))</f>
        <v/>
      </c>
      <c r="Q2400" s="2" t="n">
        <f aca="false">IF(K2400=0,1,0)</f>
        <v>1</v>
      </c>
      <c r="R2400" s="2"/>
      <c r="S2400" s="2" t="n">
        <f aca="false">C2400</f>
        <v>0</v>
      </c>
      <c r="T2400" s="2" t="n">
        <f aca="false">D2400</f>
        <v>0</v>
      </c>
      <c r="U2400" s="3"/>
      <c r="V2400" s="3"/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/>
      <c r="B2401" s="2"/>
      <c r="C2401" s="2"/>
      <c r="D2401" s="2"/>
      <c r="E2401" s="2" t="str">
        <f aca="false">IF(C2401="","",IF(C2401&gt;D2401,3,IF(C2401=D2401,1,0)))</f>
        <v/>
      </c>
      <c r="F2401" s="2" t="str">
        <f aca="false">IF(C2401="","",IF(C2401&gt;D2401,1,0))</f>
        <v/>
      </c>
      <c r="G2401" s="2" t="str">
        <f aca="false">IF(C2401="","",IF(C2401=D2401,1,0))</f>
        <v/>
      </c>
      <c r="H2401" s="2" t="str">
        <f aca="false">IF(C2401="","",IF(C2401&lt;D2401,1,0))</f>
        <v/>
      </c>
      <c r="I2401" s="2" t="n">
        <f aca="false">IF(D2401=0,1,0)</f>
        <v>1</v>
      </c>
      <c r="J2401" s="2"/>
      <c r="K2401" s="2" t="n">
        <f aca="false">C2401</f>
        <v>0</v>
      </c>
      <c r="L2401" s="2" t="n">
        <f aca="false">D2401</f>
        <v>0</v>
      </c>
      <c r="M2401" s="2" t="str">
        <f aca="false">IF(D2401="","",IF(D2401&gt;C2401,3,IF(D2401=C2401,1,0)))</f>
        <v/>
      </c>
      <c r="N2401" s="2" t="str">
        <f aca="false">IF(D2401="","",IF(D2401&gt;C2401,1,0))</f>
        <v/>
      </c>
      <c r="O2401" s="2" t="str">
        <f aca="false">IF(D2401="","",IF(D2401=C2401,1,0))</f>
        <v/>
      </c>
      <c r="P2401" s="2" t="str">
        <f aca="false">IF(D2401="","",IF(D2401&lt;C2401,1,0))</f>
        <v/>
      </c>
      <c r="Q2401" s="2" t="n">
        <f aca="false">IF(K2401=0,1,0)</f>
        <v>1</v>
      </c>
      <c r="R2401" s="2"/>
      <c r="S2401" s="2" t="n">
        <f aca="false">C2401</f>
        <v>0</v>
      </c>
      <c r="T2401" s="2" t="n">
        <f aca="false">D2401</f>
        <v>0</v>
      </c>
      <c r="U2401" s="3"/>
      <c r="V2401" s="3"/>
      <c r="W2401" s="3"/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/>
      <c r="B2402" s="2"/>
      <c r="C2402" s="2"/>
      <c r="D2402" s="2"/>
      <c r="E2402" s="2" t="str">
        <f aca="false">IF(C2402="","",IF(C2402&gt;D2402,3,IF(C2402=D2402,1,0)))</f>
        <v/>
      </c>
      <c r="F2402" s="2" t="str">
        <f aca="false">IF(C2402="","",IF(C2402&gt;D2402,1,0))</f>
        <v/>
      </c>
      <c r="G2402" s="2" t="str">
        <f aca="false">IF(C2402="","",IF(C2402=D2402,1,0))</f>
        <v/>
      </c>
      <c r="H2402" s="2" t="str">
        <f aca="false">IF(C2402="","",IF(C2402&lt;D2402,1,0))</f>
        <v/>
      </c>
      <c r="I2402" s="2" t="n">
        <f aca="false">IF(D2402=0,1,0)</f>
        <v>1</v>
      </c>
      <c r="J2402" s="2"/>
      <c r="K2402" s="2" t="n">
        <f aca="false">C2402</f>
        <v>0</v>
      </c>
      <c r="L2402" s="2" t="n">
        <f aca="false">D2402</f>
        <v>0</v>
      </c>
      <c r="M2402" s="2" t="str">
        <f aca="false">IF(D2402="","",IF(D2402&gt;C2402,3,IF(D2402=C2402,1,0)))</f>
        <v/>
      </c>
      <c r="N2402" s="2" t="str">
        <f aca="false">IF(D2402="","",IF(D2402&gt;C2402,1,0))</f>
        <v/>
      </c>
      <c r="O2402" s="2" t="str">
        <f aca="false">IF(D2402="","",IF(D2402=C2402,1,0))</f>
        <v/>
      </c>
      <c r="P2402" s="2" t="str">
        <f aca="false">IF(D2402="","",IF(D2402&lt;C2402,1,0))</f>
        <v/>
      </c>
      <c r="Q2402" s="2" t="n">
        <f aca="false">IF(K2402=0,1,0)</f>
        <v>1</v>
      </c>
      <c r="R2402" s="2"/>
      <c r="S2402" s="2" t="n">
        <f aca="false">C2402</f>
        <v>0</v>
      </c>
      <c r="T2402" s="2" t="n">
        <f aca="false">D2402</f>
        <v>0</v>
      </c>
      <c r="U2402" s="3"/>
      <c r="V2402" s="3"/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/>
      <c r="B2403" s="2"/>
      <c r="C2403" s="2"/>
      <c r="D2403" s="2"/>
      <c r="E2403" s="2" t="str">
        <f aca="false">IF(C2403="","",IF(C2403&gt;D2403,3,IF(C2403=D2403,1,0)))</f>
        <v/>
      </c>
      <c r="F2403" s="2" t="str">
        <f aca="false">IF(C2403="","",IF(C2403&gt;D2403,1,0))</f>
        <v/>
      </c>
      <c r="G2403" s="2" t="str">
        <f aca="false">IF(C2403="","",IF(C2403=D2403,1,0))</f>
        <v/>
      </c>
      <c r="H2403" s="2" t="str">
        <f aca="false">IF(C2403="","",IF(C2403&lt;D2403,1,0))</f>
        <v/>
      </c>
      <c r="I2403" s="2" t="n">
        <f aca="false">IF(D2403=0,1,0)</f>
        <v>1</v>
      </c>
      <c r="J2403" s="2"/>
      <c r="K2403" s="2" t="n">
        <f aca="false">C2403</f>
        <v>0</v>
      </c>
      <c r="L2403" s="2" t="n">
        <f aca="false">D2403</f>
        <v>0</v>
      </c>
      <c r="M2403" s="2" t="str">
        <f aca="false">IF(D2403="","",IF(D2403&gt;C2403,3,IF(D2403=C2403,1,0)))</f>
        <v/>
      </c>
      <c r="N2403" s="2" t="str">
        <f aca="false">IF(D2403="","",IF(D2403&gt;C2403,1,0))</f>
        <v/>
      </c>
      <c r="O2403" s="2" t="str">
        <f aca="false">IF(D2403="","",IF(D2403=C2403,1,0))</f>
        <v/>
      </c>
      <c r="P2403" s="2" t="str">
        <f aca="false">IF(D2403="","",IF(D2403&lt;C2403,1,0))</f>
        <v/>
      </c>
      <c r="Q2403" s="2" t="n">
        <f aca="false">IF(K2403=0,1,0)</f>
        <v>1</v>
      </c>
      <c r="R2403" s="2"/>
      <c r="S2403" s="2" t="n">
        <f aca="false">C2403</f>
        <v>0</v>
      </c>
      <c r="T2403" s="2" t="n">
        <f aca="false">D2403</f>
        <v>0</v>
      </c>
      <c r="U2403" s="3"/>
      <c r="V2403" s="3"/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/>
      <c r="B2404" s="2"/>
      <c r="C2404" s="2"/>
      <c r="D2404" s="2"/>
      <c r="E2404" s="2" t="str">
        <f aca="false">IF(C2404="","",IF(C2404&gt;D2404,3,IF(C2404=D2404,1,0)))</f>
        <v/>
      </c>
      <c r="F2404" s="2" t="str">
        <f aca="false">IF(C2404="","",IF(C2404&gt;D2404,1,0))</f>
        <v/>
      </c>
      <c r="G2404" s="2" t="str">
        <f aca="false">IF(C2404="","",IF(C2404=D2404,1,0))</f>
        <v/>
      </c>
      <c r="H2404" s="2" t="str">
        <f aca="false">IF(C2404="","",IF(C2404&lt;D2404,1,0))</f>
        <v/>
      </c>
      <c r="I2404" s="2" t="n">
        <f aca="false">IF(D2404=0,1,0)</f>
        <v>1</v>
      </c>
      <c r="J2404" s="2"/>
      <c r="K2404" s="2" t="n">
        <f aca="false">C2404</f>
        <v>0</v>
      </c>
      <c r="L2404" s="2" t="n">
        <f aca="false">D2404</f>
        <v>0</v>
      </c>
      <c r="M2404" s="2" t="str">
        <f aca="false">IF(D2404="","",IF(D2404&gt;C2404,3,IF(D2404=C2404,1,0)))</f>
        <v/>
      </c>
      <c r="N2404" s="2" t="str">
        <f aca="false">IF(D2404="","",IF(D2404&gt;C2404,1,0))</f>
        <v/>
      </c>
      <c r="O2404" s="2" t="str">
        <f aca="false">IF(D2404="","",IF(D2404=C2404,1,0))</f>
        <v/>
      </c>
      <c r="P2404" s="2" t="str">
        <f aca="false">IF(D2404="","",IF(D2404&lt;C2404,1,0))</f>
        <v/>
      </c>
      <c r="Q2404" s="2" t="n">
        <f aca="false">IF(K2404=0,1,0)</f>
        <v>1</v>
      </c>
      <c r="R2404" s="2"/>
      <c r="S2404" s="2" t="n">
        <f aca="false">C2404</f>
        <v>0</v>
      </c>
      <c r="T2404" s="2" t="n">
        <f aca="false">D2404</f>
        <v>0</v>
      </c>
      <c r="U2404" s="3"/>
      <c r="V2404" s="3"/>
      <c r="W2404" s="3"/>
      <c r="X2404" s="3"/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/>
      <c r="B2405" s="2"/>
      <c r="C2405" s="2"/>
      <c r="D2405" s="2"/>
      <c r="E2405" s="2" t="str">
        <f aca="false">IF(C2405="","",IF(C2405&gt;D2405,3,IF(C2405=D2405,1,0)))</f>
        <v/>
      </c>
      <c r="F2405" s="2" t="str">
        <f aca="false">IF(C2405="","",IF(C2405&gt;D2405,1,0))</f>
        <v/>
      </c>
      <c r="G2405" s="2" t="str">
        <f aca="false">IF(C2405="","",IF(C2405=D2405,1,0))</f>
        <v/>
      </c>
      <c r="H2405" s="2" t="str">
        <f aca="false">IF(C2405="","",IF(C2405&lt;D2405,1,0))</f>
        <v/>
      </c>
      <c r="I2405" s="2" t="n">
        <f aca="false">IF(D2405=0,1,0)</f>
        <v>1</v>
      </c>
      <c r="J2405" s="2"/>
      <c r="K2405" s="2" t="n">
        <f aca="false">C2405</f>
        <v>0</v>
      </c>
      <c r="L2405" s="2" t="n">
        <f aca="false">D2405</f>
        <v>0</v>
      </c>
      <c r="M2405" s="2" t="str">
        <f aca="false">IF(D2405="","",IF(D2405&gt;C2405,3,IF(D2405=C2405,1,0)))</f>
        <v/>
      </c>
      <c r="N2405" s="2" t="str">
        <f aca="false">IF(D2405="","",IF(D2405&gt;C2405,1,0))</f>
        <v/>
      </c>
      <c r="O2405" s="2" t="str">
        <f aca="false">IF(D2405="","",IF(D2405=C2405,1,0))</f>
        <v/>
      </c>
      <c r="P2405" s="2" t="str">
        <f aca="false">IF(D2405="","",IF(D2405&lt;C2405,1,0))</f>
        <v/>
      </c>
      <c r="Q2405" s="2" t="n">
        <f aca="false">IF(K2405=0,1,0)</f>
        <v>1</v>
      </c>
      <c r="R2405" s="2"/>
      <c r="S2405" s="2" t="n">
        <f aca="false">C2405</f>
        <v>0</v>
      </c>
      <c r="T2405" s="2" t="n">
        <f aca="false">D2405</f>
        <v>0</v>
      </c>
      <c r="U2405" s="3"/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/>
      <c r="B2406" s="2"/>
      <c r="C2406" s="2"/>
      <c r="D2406" s="2"/>
      <c r="E2406" s="2" t="str">
        <f aca="false">IF(C2406="","",IF(C2406&gt;D2406,3,IF(C2406=D2406,1,0)))</f>
        <v/>
      </c>
      <c r="F2406" s="2" t="str">
        <f aca="false">IF(C2406="","",IF(C2406&gt;D2406,1,0))</f>
        <v/>
      </c>
      <c r="G2406" s="2" t="str">
        <f aca="false">IF(C2406="","",IF(C2406=D2406,1,0))</f>
        <v/>
      </c>
      <c r="H2406" s="2" t="str">
        <f aca="false">IF(C2406="","",IF(C2406&lt;D2406,1,0))</f>
        <v/>
      </c>
      <c r="I2406" s="2" t="n">
        <f aca="false">IF(D2406=0,1,0)</f>
        <v>1</v>
      </c>
      <c r="J2406" s="2"/>
      <c r="K2406" s="2" t="n">
        <f aca="false">C2406</f>
        <v>0</v>
      </c>
      <c r="L2406" s="2" t="n">
        <f aca="false">D2406</f>
        <v>0</v>
      </c>
      <c r="M2406" s="2" t="str">
        <f aca="false">IF(D2406="","",IF(D2406&gt;C2406,3,IF(D2406=C2406,1,0)))</f>
        <v/>
      </c>
      <c r="N2406" s="2" t="str">
        <f aca="false">IF(D2406="","",IF(D2406&gt;C2406,1,0))</f>
        <v/>
      </c>
      <c r="O2406" s="2" t="str">
        <f aca="false">IF(D2406="","",IF(D2406=C2406,1,0))</f>
        <v/>
      </c>
      <c r="P2406" s="2" t="str">
        <f aca="false">IF(D2406="","",IF(D2406&lt;C2406,1,0))</f>
        <v/>
      </c>
      <c r="Q2406" s="2" t="n">
        <f aca="false">IF(K2406=0,1,0)</f>
        <v>1</v>
      </c>
      <c r="R2406" s="2"/>
      <c r="S2406" s="2" t="n">
        <f aca="false">C2406</f>
        <v>0</v>
      </c>
      <c r="T2406" s="2" t="n">
        <f aca="false">D2406</f>
        <v>0</v>
      </c>
      <c r="U2406" s="3"/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/>
      <c r="B2407" s="2"/>
      <c r="C2407" s="2"/>
      <c r="D2407" s="2"/>
      <c r="E2407" s="2" t="str">
        <f aca="false">IF(C2407="","",IF(C2407&gt;D2407,3,IF(C2407=D2407,1,0)))</f>
        <v/>
      </c>
      <c r="F2407" s="2" t="str">
        <f aca="false">IF(C2407="","",IF(C2407&gt;D2407,1,0))</f>
        <v/>
      </c>
      <c r="G2407" s="2" t="str">
        <f aca="false">IF(C2407="","",IF(C2407=D2407,1,0))</f>
        <v/>
      </c>
      <c r="H2407" s="2" t="str">
        <f aca="false">IF(C2407="","",IF(C2407&lt;D2407,1,0))</f>
        <v/>
      </c>
      <c r="I2407" s="2" t="n">
        <f aca="false">IF(D2407=0,1,0)</f>
        <v>1</v>
      </c>
      <c r="J2407" s="2"/>
      <c r="K2407" s="2" t="n">
        <f aca="false">C2407</f>
        <v>0</v>
      </c>
      <c r="L2407" s="2" t="n">
        <f aca="false">D2407</f>
        <v>0</v>
      </c>
      <c r="M2407" s="2" t="str">
        <f aca="false">IF(D2407="","",IF(D2407&gt;C2407,3,IF(D2407=C2407,1,0)))</f>
        <v/>
      </c>
      <c r="N2407" s="2" t="str">
        <f aca="false">IF(D2407="","",IF(D2407&gt;C2407,1,0))</f>
        <v/>
      </c>
      <c r="O2407" s="2" t="str">
        <f aca="false">IF(D2407="","",IF(D2407=C2407,1,0))</f>
        <v/>
      </c>
      <c r="P2407" s="2" t="str">
        <f aca="false">IF(D2407="","",IF(D2407&lt;C2407,1,0))</f>
        <v/>
      </c>
      <c r="Q2407" s="2" t="n">
        <f aca="false">IF(K2407=0,1,0)</f>
        <v>1</v>
      </c>
      <c r="R2407" s="2"/>
      <c r="S2407" s="2" t="n">
        <f aca="false">C2407</f>
        <v>0</v>
      </c>
      <c r="T2407" s="2" t="n">
        <f aca="false">D2407</f>
        <v>0</v>
      </c>
      <c r="U2407" s="3"/>
      <c r="V2407" s="3"/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/>
      <c r="B2408" s="2"/>
      <c r="C2408" s="2"/>
      <c r="D2408" s="2"/>
      <c r="E2408" s="2" t="str">
        <f aca="false">IF(C2408="","",IF(C2408&gt;D2408,3,IF(C2408=D2408,1,0)))</f>
        <v/>
      </c>
      <c r="F2408" s="2" t="str">
        <f aca="false">IF(C2408="","",IF(C2408&gt;D2408,1,0))</f>
        <v/>
      </c>
      <c r="G2408" s="2" t="str">
        <f aca="false">IF(C2408="","",IF(C2408=D2408,1,0))</f>
        <v/>
      </c>
      <c r="H2408" s="2" t="str">
        <f aca="false">IF(C2408="","",IF(C2408&lt;D2408,1,0))</f>
        <v/>
      </c>
      <c r="I2408" s="2" t="n">
        <f aca="false">IF(D2408=0,1,0)</f>
        <v>1</v>
      </c>
      <c r="J2408" s="2"/>
      <c r="K2408" s="2" t="n">
        <f aca="false">C2408</f>
        <v>0</v>
      </c>
      <c r="L2408" s="2" t="n">
        <f aca="false">D2408</f>
        <v>0</v>
      </c>
      <c r="M2408" s="2" t="str">
        <f aca="false">IF(D2408="","",IF(D2408&gt;C2408,3,IF(D2408=C2408,1,0)))</f>
        <v/>
      </c>
      <c r="N2408" s="2" t="str">
        <f aca="false">IF(D2408="","",IF(D2408&gt;C2408,1,0))</f>
        <v/>
      </c>
      <c r="O2408" s="2" t="str">
        <f aca="false">IF(D2408="","",IF(D2408=C2408,1,0))</f>
        <v/>
      </c>
      <c r="P2408" s="2" t="str">
        <f aca="false">IF(D2408="","",IF(D2408&lt;C2408,1,0))</f>
        <v/>
      </c>
      <c r="Q2408" s="2" t="n">
        <f aca="false">IF(K2408=0,1,0)</f>
        <v>1</v>
      </c>
      <c r="R2408" s="2"/>
      <c r="S2408" s="2" t="n">
        <f aca="false">C2408</f>
        <v>0</v>
      </c>
      <c r="T2408" s="2" t="n">
        <f aca="false">D2408</f>
        <v>0</v>
      </c>
      <c r="U2408" s="3"/>
      <c r="V2408" s="3"/>
      <c r="W2408" s="3"/>
      <c r="X2408" s="3"/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/>
      <c r="B2409" s="2"/>
      <c r="C2409" s="2"/>
      <c r="D2409" s="2"/>
      <c r="E2409" s="2" t="str">
        <f aca="false">IF(C2409="","",IF(C2409&gt;D2409,3,IF(C2409=D2409,1,0)))</f>
        <v/>
      </c>
      <c r="F2409" s="2" t="str">
        <f aca="false">IF(C2409="","",IF(C2409&gt;D2409,1,0))</f>
        <v/>
      </c>
      <c r="G2409" s="2" t="str">
        <f aca="false">IF(C2409="","",IF(C2409=D2409,1,0))</f>
        <v/>
      </c>
      <c r="H2409" s="2" t="str">
        <f aca="false">IF(C2409="","",IF(C2409&lt;D2409,1,0))</f>
        <v/>
      </c>
      <c r="I2409" s="2" t="n">
        <f aca="false">IF(D2409=0,1,0)</f>
        <v>1</v>
      </c>
      <c r="J2409" s="2"/>
      <c r="K2409" s="2" t="n">
        <f aca="false">C2409</f>
        <v>0</v>
      </c>
      <c r="L2409" s="2" t="n">
        <f aca="false">D2409</f>
        <v>0</v>
      </c>
      <c r="M2409" s="2" t="str">
        <f aca="false">IF(D2409="","",IF(D2409&gt;C2409,3,IF(D2409=C2409,1,0)))</f>
        <v/>
      </c>
      <c r="N2409" s="2" t="str">
        <f aca="false">IF(D2409="","",IF(D2409&gt;C2409,1,0))</f>
        <v/>
      </c>
      <c r="O2409" s="2" t="str">
        <f aca="false">IF(D2409="","",IF(D2409=C2409,1,0))</f>
        <v/>
      </c>
      <c r="P2409" s="2" t="str">
        <f aca="false">IF(D2409="","",IF(D2409&lt;C2409,1,0))</f>
        <v/>
      </c>
      <c r="Q2409" s="2" t="n">
        <f aca="false">IF(K2409=0,1,0)</f>
        <v>1</v>
      </c>
      <c r="R2409" s="2"/>
      <c r="S2409" s="2" t="n">
        <f aca="false">C2409</f>
        <v>0</v>
      </c>
      <c r="T2409" s="2" t="n">
        <f aca="false">D2409</f>
        <v>0</v>
      </c>
      <c r="U2409" s="3"/>
      <c r="V2409" s="3"/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/>
      <c r="B2410" s="2"/>
      <c r="C2410" s="2"/>
      <c r="D2410" s="2"/>
      <c r="E2410" s="2" t="str">
        <f aca="false">IF(C2410="","",IF(C2410&gt;D2410,3,IF(C2410=D2410,1,0)))</f>
        <v/>
      </c>
      <c r="F2410" s="2" t="str">
        <f aca="false">IF(C2410="","",IF(C2410&gt;D2410,1,0))</f>
        <v/>
      </c>
      <c r="G2410" s="2" t="str">
        <f aca="false">IF(C2410="","",IF(C2410=D2410,1,0))</f>
        <v/>
      </c>
      <c r="H2410" s="2" t="str">
        <f aca="false">IF(C2410="","",IF(C2410&lt;D2410,1,0))</f>
        <v/>
      </c>
      <c r="I2410" s="2" t="n">
        <f aca="false">IF(D2410=0,1,0)</f>
        <v>1</v>
      </c>
      <c r="J2410" s="2"/>
      <c r="K2410" s="2" t="n">
        <f aca="false">C2410</f>
        <v>0</v>
      </c>
      <c r="L2410" s="2" t="n">
        <f aca="false">D2410</f>
        <v>0</v>
      </c>
      <c r="M2410" s="2" t="str">
        <f aca="false">IF(D2410="","",IF(D2410&gt;C2410,3,IF(D2410=C2410,1,0)))</f>
        <v/>
      </c>
      <c r="N2410" s="2" t="str">
        <f aca="false">IF(D2410="","",IF(D2410&gt;C2410,1,0))</f>
        <v/>
      </c>
      <c r="O2410" s="2" t="str">
        <f aca="false">IF(D2410="","",IF(D2410=C2410,1,0))</f>
        <v/>
      </c>
      <c r="P2410" s="2" t="str">
        <f aca="false">IF(D2410="","",IF(D2410&lt;C2410,1,0))</f>
        <v/>
      </c>
      <c r="Q2410" s="2" t="n">
        <f aca="false">IF(K2410=0,1,0)</f>
        <v>1</v>
      </c>
      <c r="R2410" s="2"/>
      <c r="S2410" s="2" t="n">
        <f aca="false">C2410</f>
        <v>0</v>
      </c>
      <c r="T2410" s="2" t="n">
        <f aca="false">D2410</f>
        <v>0</v>
      </c>
      <c r="U2410" s="3"/>
      <c r="V2410" s="3"/>
      <c r="W2410" s="3"/>
      <c r="X2410" s="3"/>
      <c r="Y2410" s="3"/>
      <c r="Z2410" s="3"/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/>
      <c r="B2411" s="2"/>
      <c r="C2411" s="2"/>
      <c r="D2411" s="2"/>
      <c r="E2411" s="2" t="str">
        <f aca="false">IF(C2411="","",IF(C2411&gt;D2411,3,IF(C2411=D2411,1,0)))</f>
        <v/>
      </c>
      <c r="F2411" s="2" t="str">
        <f aca="false">IF(C2411="","",IF(C2411&gt;D2411,1,0))</f>
        <v/>
      </c>
      <c r="G2411" s="2" t="str">
        <f aca="false">IF(C2411="","",IF(C2411=D2411,1,0))</f>
        <v/>
      </c>
      <c r="H2411" s="2" t="str">
        <f aca="false">IF(C2411="","",IF(C2411&lt;D2411,1,0))</f>
        <v/>
      </c>
      <c r="I2411" s="2" t="n">
        <f aca="false">IF(D2411=0,1,0)</f>
        <v>1</v>
      </c>
      <c r="J2411" s="2"/>
      <c r="K2411" s="2" t="n">
        <f aca="false">C2411</f>
        <v>0</v>
      </c>
      <c r="L2411" s="2" t="n">
        <f aca="false">D2411</f>
        <v>0</v>
      </c>
      <c r="M2411" s="2" t="str">
        <f aca="false">IF(D2411="","",IF(D2411&gt;C2411,3,IF(D2411=C2411,1,0)))</f>
        <v/>
      </c>
      <c r="N2411" s="2" t="str">
        <f aca="false">IF(D2411="","",IF(D2411&gt;C2411,1,0))</f>
        <v/>
      </c>
      <c r="O2411" s="2" t="str">
        <f aca="false">IF(D2411="","",IF(D2411=C2411,1,0))</f>
        <v/>
      </c>
      <c r="P2411" s="2" t="str">
        <f aca="false">IF(D2411="","",IF(D2411&lt;C2411,1,0))</f>
        <v/>
      </c>
      <c r="Q2411" s="2" t="n">
        <f aca="false">IF(K2411=0,1,0)</f>
        <v>1</v>
      </c>
      <c r="R2411" s="2"/>
      <c r="S2411" s="2" t="n">
        <f aca="false">C2411</f>
        <v>0</v>
      </c>
      <c r="T2411" s="2" t="n">
        <f aca="false">D2411</f>
        <v>0</v>
      </c>
      <c r="U2411" s="3"/>
      <c r="V2411" s="3"/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/>
      <c r="B2412" s="2"/>
      <c r="C2412" s="2"/>
      <c r="D2412" s="2"/>
      <c r="E2412" s="2" t="str">
        <f aca="false">IF(C2412="","",IF(C2412&gt;D2412,3,IF(C2412=D2412,1,0)))</f>
        <v/>
      </c>
      <c r="F2412" s="2" t="str">
        <f aca="false">IF(C2412="","",IF(C2412&gt;D2412,1,0))</f>
        <v/>
      </c>
      <c r="G2412" s="2" t="str">
        <f aca="false">IF(C2412="","",IF(C2412=D2412,1,0))</f>
        <v/>
      </c>
      <c r="H2412" s="2" t="str">
        <f aca="false">IF(C2412="","",IF(C2412&lt;D2412,1,0))</f>
        <v/>
      </c>
      <c r="I2412" s="2" t="n">
        <f aca="false">IF(D2412=0,1,0)</f>
        <v>1</v>
      </c>
      <c r="J2412" s="2"/>
      <c r="K2412" s="2" t="n">
        <f aca="false">C2412</f>
        <v>0</v>
      </c>
      <c r="L2412" s="2" t="n">
        <f aca="false">D2412</f>
        <v>0</v>
      </c>
      <c r="M2412" s="2" t="str">
        <f aca="false">IF(D2412="","",IF(D2412&gt;C2412,3,IF(D2412=C2412,1,0)))</f>
        <v/>
      </c>
      <c r="N2412" s="2" t="str">
        <f aca="false">IF(D2412="","",IF(D2412&gt;C2412,1,0))</f>
        <v/>
      </c>
      <c r="O2412" s="2" t="str">
        <f aca="false">IF(D2412="","",IF(D2412=C2412,1,0))</f>
        <v/>
      </c>
      <c r="P2412" s="2" t="str">
        <f aca="false">IF(D2412="","",IF(D2412&lt;C2412,1,0))</f>
        <v/>
      </c>
      <c r="Q2412" s="2" t="n">
        <f aca="false">IF(K2412=0,1,0)</f>
        <v>1</v>
      </c>
      <c r="R2412" s="2"/>
      <c r="S2412" s="2" t="n">
        <f aca="false">C2412</f>
        <v>0</v>
      </c>
      <c r="T2412" s="2" t="n">
        <f aca="false">D2412</f>
        <v>0</v>
      </c>
      <c r="U2412" s="3"/>
      <c r="V2412" s="3"/>
      <c r="W2412" s="3"/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/>
      <c r="B2413" s="2"/>
      <c r="C2413" s="2"/>
      <c r="D2413" s="2"/>
      <c r="E2413" s="2" t="str">
        <f aca="false">IF(C2413="","",IF(C2413&gt;D2413,3,IF(C2413=D2413,1,0)))</f>
        <v/>
      </c>
      <c r="F2413" s="2" t="str">
        <f aca="false">IF(C2413="","",IF(C2413&gt;D2413,1,0))</f>
        <v/>
      </c>
      <c r="G2413" s="2" t="str">
        <f aca="false">IF(C2413="","",IF(C2413=D2413,1,0))</f>
        <v/>
      </c>
      <c r="H2413" s="2" t="str">
        <f aca="false">IF(C2413="","",IF(C2413&lt;D2413,1,0))</f>
        <v/>
      </c>
      <c r="I2413" s="2" t="n">
        <f aca="false">IF(D2413=0,1,0)</f>
        <v>1</v>
      </c>
      <c r="J2413" s="2"/>
      <c r="K2413" s="2" t="n">
        <f aca="false">C2413</f>
        <v>0</v>
      </c>
      <c r="L2413" s="2" t="n">
        <f aca="false">D2413</f>
        <v>0</v>
      </c>
      <c r="M2413" s="2" t="str">
        <f aca="false">IF(D2413="","",IF(D2413&gt;C2413,3,IF(D2413=C2413,1,0)))</f>
        <v/>
      </c>
      <c r="N2413" s="2" t="str">
        <f aca="false">IF(D2413="","",IF(D2413&gt;C2413,1,0))</f>
        <v/>
      </c>
      <c r="O2413" s="2" t="str">
        <f aca="false">IF(D2413="","",IF(D2413=C2413,1,0))</f>
        <v/>
      </c>
      <c r="P2413" s="2" t="str">
        <f aca="false">IF(D2413="","",IF(D2413&lt;C2413,1,0))</f>
        <v/>
      </c>
      <c r="Q2413" s="2" t="n">
        <f aca="false">IF(K2413=0,1,0)</f>
        <v>1</v>
      </c>
      <c r="R2413" s="2"/>
      <c r="S2413" s="2" t="n">
        <f aca="false">C2413</f>
        <v>0</v>
      </c>
      <c r="T2413" s="2" t="n">
        <f aca="false">D2413</f>
        <v>0</v>
      </c>
      <c r="U2413" s="3"/>
      <c r="V2413" s="3"/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/>
      <c r="B2414" s="2"/>
      <c r="C2414" s="2"/>
      <c r="D2414" s="2"/>
      <c r="E2414" s="2" t="str">
        <f aca="false">IF(C2414="","",IF(C2414&gt;D2414,3,IF(C2414=D2414,1,0)))</f>
        <v/>
      </c>
      <c r="F2414" s="2" t="str">
        <f aca="false">IF(C2414="","",IF(C2414&gt;D2414,1,0))</f>
        <v/>
      </c>
      <c r="G2414" s="2" t="str">
        <f aca="false">IF(C2414="","",IF(C2414=D2414,1,0))</f>
        <v/>
      </c>
      <c r="H2414" s="2" t="str">
        <f aca="false">IF(C2414="","",IF(C2414&lt;D2414,1,0))</f>
        <v/>
      </c>
      <c r="I2414" s="2" t="n">
        <f aca="false">IF(D2414=0,1,0)</f>
        <v>1</v>
      </c>
      <c r="J2414" s="2"/>
      <c r="K2414" s="2" t="n">
        <f aca="false">C2414</f>
        <v>0</v>
      </c>
      <c r="L2414" s="2" t="n">
        <f aca="false">D2414</f>
        <v>0</v>
      </c>
      <c r="M2414" s="2" t="str">
        <f aca="false">IF(D2414="","",IF(D2414&gt;C2414,3,IF(D2414=C2414,1,0)))</f>
        <v/>
      </c>
      <c r="N2414" s="2" t="str">
        <f aca="false">IF(D2414="","",IF(D2414&gt;C2414,1,0))</f>
        <v/>
      </c>
      <c r="O2414" s="2" t="str">
        <f aca="false">IF(D2414="","",IF(D2414=C2414,1,0))</f>
        <v/>
      </c>
      <c r="P2414" s="2" t="str">
        <f aca="false">IF(D2414="","",IF(D2414&lt;C2414,1,0))</f>
        <v/>
      </c>
      <c r="Q2414" s="2" t="n">
        <f aca="false">IF(K2414=0,1,0)</f>
        <v>1</v>
      </c>
      <c r="R2414" s="2"/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/>
      <c r="B2415" s="2"/>
      <c r="C2415" s="2"/>
      <c r="D2415" s="2"/>
      <c r="E2415" s="2" t="str">
        <f aca="false">IF(C2415="","",IF(C2415&gt;D2415,3,IF(C2415=D2415,1,0)))</f>
        <v/>
      </c>
      <c r="F2415" s="2" t="str">
        <f aca="false">IF(C2415="","",IF(C2415&gt;D2415,1,0))</f>
        <v/>
      </c>
      <c r="G2415" s="2" t="str">
        <f aca="false">IF(C2415="","",IF(C2415=D2415,1,0))</f>
        <v/>
      </c>
      <c r="H2415" s="2" t="str">
        <f aca="false">IF(C2415="","",IF(C2415&lt;D2415,1,0))</f>
        <v/>
      </c>
      <c r="I2415" s="2" t="n">
        <f aca="false">IF(D2415=0,1,0)</f>
        <v>1</v>
      </c>
      <c r="J2415" s="2"/>
      <c r="K2415" s="2" t="n">
        <f aca="false">C2415</f>
        <v>0</v>
      </c>
      <c r="L2415" s="2" t="n">
        <f aca="false">D2415</f>
        <v>0</v>
      </c>
      <c r="M2415" s="2" t="str">
        <f aca="false">IF(D2415="","",IF(D2415&gt;C2415,3,IF(D2415=C2415,1,0)))</f>
        <v/>
      </c>
      <c r="N2415" s="2" t="str">
        <f aca="false">IF(D2415="","",IF(D2415&gt;C2415,1,0))</f>
        <v/>
      </c>
      <c r="O2415" s="2" t="str">
        <f aca="false">IF(D2415="","",IF(D2415=C2415,1,0))</f>
        <v/>
      </c>
      <c r="P2415" s="2" t="str">
        <f aca="false">IF(D2415="","",IF(D2415&lt;C2415,1,0))</f>
        <v/>
      </c>
      <c r="Q2415" s="2" t="n">
        <f aca="false">IF(K2415=0,1,0)</f>
        <v>1</v>
      </c>
      <c r="R2415" s="2"/>
      <c r="S2415" s="2" t="n">
        <f aca="false">C2415</f>
        <v>0</v>
      </c>
      <c r="T2415" s="2" t="n">
        <f aca="false">D2415</f>
        <v>0</v>
      </c>
      <c r="U2415" s="3"/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/>
      <c r="B2416" s="2"/>
      <c r="C2416" s="2"/>
      <c r="D2416" s="2"/>
      <c r="E2416" s="2" t="str">
        <f aca="false">IF(C2416="","",IF(C2416&gt;D2416,3,IF(C2416=D2416,1,0)))</f>
        <v/>
      </c>
      <c r="F2416" s="2" t="str">
        <f aca="false">IF(C2416="","",IF(C2416&gt;D2416,1,0))</f>
        <v/>
      </c>
      <c r="G2416" s="2" t="str">
        <f aca="false">IF(C2416="","",IF(C2416=D2416,1,0))</f>
        <v/>
      </c>
      <c r="H2416" s="2" t="str">
        <f aca="false">IF(C2416="","",IF(C2416&lt;D2416,1,0))</f>
        <v/>
      </c>
      <c r="I2416" s="2" t="n">
        <f aca="false">IF(D2416=0,1,0)</f>
        <v>1</v>
      </c>
      <c r="J2416" s="2"/>
      <c r="K2416" s="2" t="n">
        <f aca="false">C2416</f>
        <v>0</v>
      </c>
      <c r="L2416" s="2" t="n">
        <f aca="false">D2416</f>
        <v>0</v>
      </c>
      <c r="M2416" s="2" t="str">
        <f aca="false">IF(D2416="","",IF(D2416&gt;C2416,3,IF(D2416=C2416,1,0)))</f>
        <v/>
      </c>
      <c r="N2416" s="2" t="str">
        <f aca="false">IF(D2416="","",IF(D2416&gt;C2416,1,0))</f>
        <v/>
      </c>
      <c r="O2416" s="2" t="str">
        <f aca="false">IF(D2416="","",IF(D2416=C2416,1,0))</f>
        <v/>
      </c>
      <c r="P2416" s="2" t="str">
        <f aca="false">IF(D2416="","",IF(D2416&lt;C2416,1,0))</f>
        <v/>
      </c>
      <c r="Q2416" s="2" t="n">
        <f aca="false">IF(K2416=0,1,0)</f>
        <v>1</v>
      </c>
      <c r="R2416" s="2"/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/>
      <c r="B2417" s="2"/>
      <c r="C2417" s="2"/>
      <c r="D2417" s="2"/>
      <c r="E2417" s="2" t="str">
        <f aca="false">IF(C2417="","",IF(C2417&gt;D2417,3,IF(C2417=D2417,1,0)))</f>
        <v/>
      </c>
      <c r="F2417" s="2" t="str">
        <f aca="false">IF(C2417="","",IF(C2417&gt;D2417,1,0))</f>
        <v/>
      </c>
      <c r="G2417" s="2" t="str">
        <f aca="false">IF(C2417="","",IF(C2417=D2417,1,0))</f>
        <v/>
      </c>
      <c r="H2417" s="2" t="str">
        <f aca="false">IF(C2417="","",IF(C2417&lt;D2417,1,0))</f>
        <v/>
      </c>
      <c r="I2417" s="2" t="n">
        <f aca="false">IF(D2417=0,1,0)</f>
        <v>1</v>
      </c>
      <c r="J2417" s="2"/>
      <c r="K2417" s="2" t="n">
        <f aca="false">C2417</f>
        <v>0</v>
      </c>
      <c r="L2417" s="2" t="n">
        <f aca="false">D2417</f>
        <v>0</v>
      </c>
      <c r="M2417" s="2" t="str">
        <f aca="false">IF(D2417="","",IF(D2417&gt;C2417,3,IF(D2417=C2417,1,0)))</f>
        <v/>
      </c>
      <c r="N2417" s="2" t="str">
        <f aca="false">IF(D2417="","",IF(D2417&gt;C2417,1,0))</f>
        <v/>
      </c>
      <c r="O2417" s="2" t="str">
        <f aca="false">IF(D2417="","",IF(D2417=C2417,1,0))</f>
        <v/>
      </c>
      <c r="P2417" s="2" t="str">
        <f aca="false">IF(D2417="","",IF(D2417&lt;C2417,1,0))</f>
        <v/>
      </c>
      <c r="Q2417" s="2" t="n">
        <f aca="false">IF(K2417=0,1,0)</f>
        <v>1</v>
      </c>
      <c r="R2417" s="2"/>
      <c r="S2417" s="2" t="n">
        <f aca="false">C2417</f>
        <v>0</v>
      </c>
      <c r="T2417" s="2" t="n">
        <f aca="false">D2417</f>
        <v>0</v>
      </c>
      <c r="U2417" s="3"/>
      <c r="V2417" s="3"/>
      <c r="W2417" s="3"/>
      <c r="X2417" s="3"/>
      <c r="Y2417" s="3"/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/>
      <c r="B2418" s="2"/>
      <c r="C2418" s="2"/>
      <c r="D2418" s="2"/>
      <c r="E2418" s="2" t="str">
        <f aca="false">IF(C2418="","",IF(C2418&gt;D2418,3,IF(C2418=D2418,1,0)))</f>
        <v/>
      </c>
      <c r="F2418" s="2" t="str">
        <f aca="false">IF(C2418="","",IF(C2418&gt;D2418,1,0))</f>
        <v/>
      </c>
      <c r="G2418" s="2" t="str">
        <f aca="false">IF(C2418="","",IF(C2418=D2418,1,0))</f>
        <v/>
      </c>
      <c r="H2418" s="2" t="str">
        <f aca="false">IF(C2418="","",IF(C2418&lt;D2418,1,0))</f>
        <v/>
      </c>
      <c r="I2418" s="2" t="n">
        <f aca="false">IF(D2418=0,1,0)</f>
        <v>1</v>
      </c>
      <c r="J2418" s="2"/>
      <c r="K2418" s="2" t="n">
        <f aca="false">C2418</f>
        <v>0</v>
      </c>
      <c r="L2418" s="2" t="n">
        <f aca="false">D2418</f>
        <v>0</v>
      </c>
      <c r="M2418" s="2" t="str">
        <f aca="false">IF(D2418="","",IF(D2418&gt;C2418,3,IF(D2418=C2418,1,0)))</f>
        <v/>
      </c>
      <c r="N2418" s="2" t="str">
        <f aca="false">IF(D2418="","",IF(D2418&gt;C2418,1,0))</f>
        <v/>
      </c>
      <c r="O2418" s="2" t="str">
        <f aca="false">IF(D2418="","",IF(D2418=C2418,1,0))</f>
        <v/>
      </c>
      <c r="P2418" s="2" t="str">
        <f aca="false">IF(D2418="","",IF(D2418&lt;C2418,1,0))</f>
        <v/>
      </c>
      <c r="Q2418" s="2" t="n">
        <f aca="false">IF(K2418=0,1,0)</f>
        <v>1</v>
      </c>
      <c r="R2418" s="2"/>
      <c r="S2418" s="2" t="n">
        <f aca="false">C2418</f>
        <v>0</v>
      </c>
      <c r="T2418" s="2" t="n">
        <f aca="false">D2418</f>
        <v>0</v>
      </c>
      <c r="U2418" s="3"/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/>
      <c r="B2419" s="2"/>
      <c r="C2419" s="2"/>
      <c r="D2419" s="2"/>
      <c r="E2419" s="2" t="str">
        <f aca="false">IF(C2419="","",IF(C2419&gt;D2419,3,IF(C2419=D2419,1,0)))</f>
        <v/>
      </c>
      <c r="F2419" s="2" t="str">
        <f aca="false">IF(C2419="","",IF(C2419&gt;D2419,1,0))</f>
        <v/>
      </c>
      <c r="G2419" s="2" t="str">
        <f aca="false">IF(C2419="","",IF(C2419=D2419,1,0))</f>
        <v/>
      </c>
      <c r="H2419" s="2" t="str">
        <f aca="false">IF(C2419="","",IF(C2419&lt;D2419,1,0))</f>
        <v/>
      </c>
      <c r="I2419" s="2" t="n">
        <f aca="false">IF(D2419=0,1,0)</f>
        <v>1</v>
      </c>
      <c r="J2419" s="2"/>
      <c r="K2419" s="2" t="n">
        <f aca="false">C2419</f>
        <v>0</v>
      </c>
      <c r="L2419" s="2" t="n">
        <f aca="false">D2419</f>
        <v>0</v>
      </c>
      <c r="M2419" s="2" t="str">
        <f aca="false">IF(D2419="","",IF(D2419&gt;C2419,3,IF(D2419=C2419,1,0)))</f>
        <v/>
      </c>
      <c r="N2419" s="2" t="str">
        <f aca="false">IF(D2419="","",IF(D2419&gt;C2419,1,0))</f>
        <v/>
      </c>
      <c r="O2419" s="2" t="str">
        <f aca="false">IF(D2419="","",IF(D2419=C2419,1,0))</f>
        <v/>
      </c>
      <c r="P2419" s="2" t="str">
        <f aca="false">IF(D2419="","",IF(D2419&lt;C2419,1,0))</f>
        <v/>
      </c>
      <c r="Q2419" s="2" t="n">
        <f aca="false">IF(K2419=0,1,0)</f>
        <v>1</v>
      </c>
      <c r="R2419" s="2"/>
      <c r="S2419" s="2" t="n">
        <f aca="false">C2419</f>
        <v>0</v>
      </c>
      <c r="T2419" s="2" t="n">
        <f aca="false">D2419</f>
        <v>0</v>
      </c>
      <c r="U2419" s="3"/>
      <c r="V2419" s="3"/>
      <c r="W2419" s="3"/>
      <c r="X2419" s="3"/>
      <c r="Y2419" s="3"/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12"/>
      <c r="B2420" s="12"/>
      <c r="C2420" s="12"/>
      <c r="D2420" s="12"/>
      <c r="E2420" s="12"/>
      <c r="F2420" s="12"/>
      <c r="G2420" s="12"/>
      <c r="H2420" s="12"/>
      <c r="I2420" s="12"/>
      <c r="J2420" s="12"/>
      <c r="K2420" s="12"/>
      <c r="L2420" s="12"/>
      <c r="M2420" s="12"/>
      <c r="N2420" s="12"/>
      <c r="O2420" s="12"/>
      <c r="P2420" s="12"/>
      <c r="Q2420" s="12"/>
      <c r="R2420" s="12"/>
      <c r="S2420" s="2"/>
      <c r="T2420" s="2"/>
      <c r="U2420" s="12"/>
      <c r="V2420" s="12"/>
      <c r="W2420" s="12"/>
      <c r="X2420" s="12"/>
      <c r="Y2420" s="12"/>
      <c r="Z2420" s="12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12"/>
      <c r="B2421" s="12"/>
      <c r="C2421" s="12"/>
      <c r="D2421" s="12"/>
      <c r="E2421" s="12"/>
      <c r="F2421" s="12"/>
      <c r="G2421" s="12"/>
      <c r="H2421" s="12"/>
      <c r="I2421" s="12"/>
      <c r="J2421" s="12"/>
      <c r="K2421" s="12"/>
      <c r="L2421" s="12"/>
      <c r="M2421" s="12"/>
      <c r="N2421" s="12"/>
      <c r="O2421" s="12"/>
      <c r="P2421" s="12"/>
      <c r="Q2421" s="12"/>
      <c r="R2421" s="12"/>
      <c r="S2421" s="2"/>
      <c r="T2421" s="2"/>
      <c r="U2421" s="12"/>
      <c r="V2421" s="12"/>
      <c r="W2421" s="12"/>
      <c r="X2421" s="12"/>
      <c r="Y2421" s="12"/>
      <c r="Z2421" s="12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12"/>
      <c r="B2422" s="12"/>
      <c r="C2422" s="12"/>
      <c r="D2422" s="12"/>
      <c r="E2422" s="12"/>
      <c r="F2422" s="12"/>
      <c r="G2422" s="12"/>
      <c r="H2422" s="12"/>
      <c r="I2422" s="12"/>
      <c r="J2422" s="12"/>
      <c r="K2422" s="12"/>
      <c r="L2422" s="12"/>
      <c r="M2422" s="12"/>
      <c r="N2422" s="12"/>
      <c r="O2422" s="12"/>
      <c r="P2422" s="12"/>
      <c r="Q2422" s="12"/>
      <c r="R2422" s="12"/>
      <c r="S2422" s="2"/>
      <c r="T2422" s="2"/>
      <c r="U2422" s="12"/>
      <c r="V2422" s="12"/>
      <c r="W2422" s="12"/>
      <c r="X2422" s="12"/>
      <c r="Y2422" s="12"/>
      <c r="Z2422" s="12"/>
      <c r="AA2422" s="12"/>
      <c r="AB2422" s="12"/>
      <c r="AC2422" s="12"/>
      <c r="AD2422" s="12"/>
      <c r="AE2422" s="12"/>
      <c r="AF2422" s="12"/>
    </row>
    <row r="2423" customFormat="false" ht="15.75" hidden="false" customHeight="true" outlineLevel="0" collapsed="false">
      <c r="A2423" s="12"/>
      <c r="B2423" s="12"/>
      <c r="C2423" s="12"/>
      <c r="D2423" s="12"/>
      <c r="E2423" s="12"/>
      <c r="F2423" s="12"/>
      <c r="G2423" s="12"/>
      <c r="H2423" s="12"/>
      <c r="I2423" s="12"/>
      <c r="J2423" s="12"/>
      <c r="K2423" s="12"/>
      <c r="L2423" s="12"/>
      <c r="M2423" s="12"/>
      <c r="N2423" s="12"/>
      <c r="O2423" s="12"/>
      <c r="P2423" s="12"/>
      <c r="Q2423" s="12"/>
      <c r="R2423" s="12"/>
      <c r="S2423" s="2"/>
      <c r="T2423" s="2"/>
      <c r="U2423" s="12"/>
      <c r="V2423" s="12"/>
      <c r="W2423" s="12"/>
      <c r="X2423" s="12"/>
      <c r="Y2423" s="12"/>
      <c r="Z2423" s="12"/>
      <c r="AA2423" s="12"/>
      <c r="AB2423" s="12"/>
      <c r="AC2423" s="12"/>
      <c r="AD2423" s="12"/>
      <c r="AE2423" s="12"/>
      <c r="AF2423" s="12"/>
    </row>
    <row r="2424" customFormat="false" ht="15.75" hidden="false" customHeight="true" outlineLevel="0" collapsed="false">
      <c r="A2424" s="12"/>
      <c r="B2424" s="12"/>
      <c r="C2424" s="12"/>
      <c r="D2424" s="12"/>
      <c r="E2424" s="12"/>
      <c r="F2424" s="12"/>
      <c r="G2424" s="12"/>
      <c r="H2424" s="12"/>
      <c r="I2424" s="12"/>
      <c r="J2424" s="12"/>
      <c r="K2424" s="12"/>
      <c r="L2424" s="12"/>
      <c r="M2424" s="12"/>
      <c r="N2424" s="12"/>
      <c r="O2424" s="12"/>
      <c r="P2424" s="12"/>
      <c r="Q2424" s="12"/>
      <c r="R2424" s="12"/>
      <c r="S2424" s="2"/>
      <c r="T2424" s="2"/>
      <c r="U2424" s="12"/>
      <c r="V2424" s="12"/>
      <c r="W2424" s="12"/>
      <c r="X2424" s="12"/>
      <c r="Y2424" s="12"/>
      <c r="Z2424" s="12"/>
      <c r="AA2424" s="12"/>
      <c r="AB2424" s="12"/>
      <c r="AC2424" s="12"/>
      <c r="AD2424" s="12"/>
      <c r="AE2424" s="12"/>
      <c r="AF2424" s="12"/>
    </row>
    <row r="2425" customFormat="false" ht="15.75" hidden="false" customHeight="true" outlineLevel="0" collapsed="false">
      <c r="A2425" s="12"/>
      <c r="B2425" s="12"/>
      <c r="C2425" s="12"/>
      <c r="D2425" s="12"/>
      <c r="E2425" s="12"/>
      <c r="F2425" s="12"/>
      <c r="G2425" s="12"/>
      <c r="H2425" s="12"/>
      <c r="I2425" s="12"/>
      <c r="J2425" s="12"/>
      <c r="K2425" s="12"/>
      <c r="L2425" s="12"/>
      <c r="M2425" s="12"/>
      <c r="N2425" s="12"/>
      <c r="O2425" s="12"/>
      <c r="P2425" s="12"/>
      <c r="Q2425" s="12"/>
      <c r="R2425" s="12"/>
      <c r="S2425" s="2"/>
      <c r="T2425" s="2"/>
      <c r="U2425" s="12"/>
      <c r="V2425" s="12"/>
      <c r="W2425" s="12"/>
      <c r="X2425" s="12"/>
      <c r="Y2425" s="12"/>
      <c r="Z2425" s="12"/>
      <c r="AA2425" s="12"/>
      <c r="AB2425" s="12"/>
      <c r="AC2425" s="12"/>
      <c r="AD2425" s="12"/>
      <c r="AE2425" s="12"/>
      <c r="AF2425" s="12"/>
    </row>
    <row r="2426" customFormat="false" ht="15.75" hidden="false" customHeight="true" outlineLevel="0" collapsed="false">
      <c r="A2426" s="12"/>
      <c r="B2426" s="12"/>
      <c r="C2426" s="12"/>
      <c r="D2426" s="12"/>
      <c r="E2426" s="12"/>
      <c r="F2426" s="12"/>
      <c r="G2426" s="12"/>
      <c r="H2426" s="12"/>
      <c r="I2426" s="12"/>
      <c r="J2426" s="12"/>
      <c r="K2426" s="12"/>
      <c r="L2426" s="12"/>
      <c r="M2426" s="12"/>
      <c r="N2426" s="12"/>
      <c r="O2426" s="12"/>
      <c r="P2426" s="12"/>
      <c r="Q2426" s="12"/>
      <c r="R2426" s="12"/>
      <c r="S2426" s="2"/>
      <c r="T2426" s="2"/>
      <c r="U2426" s="12"/>
      <c r="V2426" s="12"/>
      <c r="W2426" s="12"/>
      <c r="X2426" s="12"/>
      <c r="Y2426" s="12"/>
      <c r="Z2426" s="12"/>
      <c r="AA2426" s="12"/>
      <c r="AB2426" s="12"/>
      <c r="AC2426" s="12"/>
      <c r="AD2426" s="12"/>
      <c r="AE2426" s="12"/>
      <c r="AF2426" s="12"/>
    </row>
    <row r="2427" customFormat="false" ht="15.75" hidden="false" customHeight="true" outlineLevel="0" collapsed="false">
      <c r="A2427" s="12"/>
      <c r="B2427" s="12"/>
      <c r="C2427" s="12"/>
      <c r="D2427" s="12"/>
      <c r="E2427" s="12"/>
      <c r="F2427" s="12"/>
      <c r="G2427" s="12"/>
      <c r="H2427" s="12"/>
      <c r="I2427" s="12"/>
      <c r="J2427" s="12"/>
      <c r="K2427" s="12"/>
      <c r="L2427" s="12"/>
      <c r="M2427" s="12"/>
      <c r="N2427" s="12"/>
      <c r="O2427" s="12"/>
      <c r="P2427" s="12"/>
      <c r="Q2427" s="12"/>
      <c r="R2427" s="12"/>
      <c r="S2427" s="2"/>
      <c r="T2427" s="2"/>
      <c r="U2427" s="12"/>
      <c r="V2427" s="12"/>
      <c r="W2427" s="12"/>
      <c r="X2427" s="12"/>
      <c r="Y2427" s="12"/>
      <c r="Z2427" s="12"/>
      <c r="AA2427" s="12"/>
      <c r="AB2427" s="12"/>
      <c r="AC2427" s="12"/>
      <c r="AD2427" s="12"/>
      <c r="AE2427" s="12"/>
      <c r="AF2427" s="12"/>
    </row>
    <row r="2428" customFormat="false" ht="15.75" hidden="false" customHeight="true" outlineLevel="0" collapsed="false">
      <c r="A2428" s="12"/>
      <c r="B2428" s="12"/>
      <c r="C2428" s="12"/>
      <c r="D2428" s="12"/>
      <c r="E2428" s="12"/>
      <c r="F2428" s="12"/>
      <c r="G2428" s="12"/>
      <c r="H2428" s="12"/>
      <c r="I2428" s="12"/>
      <c r="J2428" s="12"/>
      <c r="K2428" s="12"/>
      <c r="L2428" s="12"/>
      <c r="M2428" s="12"/>
      <c r="N2428" s="12"/>
      <c r="O2428" s="12"/>
      <c r="P2428" s="12"/>
      <c r="Q2428" s="12"/>
      <c r="R2428" s="12"/>
      <c r="S2428" s="2"/>
      <c r="T2428" s="2"/>
      <c r="U2428" s="12"/>
      <c r="V2428" s="12"/>
      <c r="W2428" s="12"/>
      <c r="X2428" s="12"/>
      <c r="Y2428" s="12"/>
      <c r="Z2428" s="12"/>
      <c r="AA2428" s="12"/>
      <c r="AB2428" s="12"/>
      <c r="AC2428" s="12"/>
      <c r="AD2428" s="12"/>
      <c r="AE2428" s="12"/>
      <c r="AF2428" s="12"/>
    </row>
    <row r="2429" customFormat="false" ht="15.75" hidden="false" customHeight="true" outlineLevel="0" collapsed="false">
      <c r="A2429" s="12"/>
      <c r="B2429" s="12"/>
      <c r="C2429" s="12"/>
      <c r="D2429" s="12"/>
      <c r="E2429" s="12"/>
      <c r="F2429" s="12"/>
      <c r="G2429" s="12"/>
      <c r="H2429" s="12"/>
      <c r="I2429" s="12"/>
      <c r="J2429" s="12"/>
      <c r="K2429" s="12"/>
      <c r="L2429" s="12"/>
      <c r="M2429" s="12"/>
      <c r="N2429" s="12"/>
      <c r="O2429" s="12"/>
      <c r="P2429" s="12"/>
      <c r="Q2429" s="12"/>
      <c r="R2429" s="12"/>
      <c r="S2429" s="2"/>
      <c r="T2429" s="2"/>
      <c r="U2429" s="12"/>
      <c r="V2429" s="12"/>
      <c r="W2429" s="12"/>
      <c r="X2429" s="12"/>
      <c r="Y2429" s="12"/>
      <c r="Z2429" s="12"/>
      <c r="AA2429" s="12"/>
      <c r="AB2429" s="12"/>
      <c r="AC2429" s="12"/>
      <c r="AD2429" s="12"/>
      <c r="AE2429" s="12"/>
      <c r="AF2429" s="12"/>
    </row>
    <row r="2430" customFormat="false" ht="15.75" hidden="false" customHeight="true" outlineLevel="0" collapsed="false">
      <c r="A2430" s="12"/>
      <c r="B2430" s="12"/>
      <c r="C2430" s="12"/>
      <c r="D2430" s="12"/>
      <c r="E2430" s="12"/>
      <c r="F2430" s="12"/>
      <c r="G2430" s="12"/>
      <c r="H2430" s="12"/>
      <c r="I2430" s="12"/>
      <c r="J2430" s="12"/>
      <c r="K2430" s="12"/>
      <c r="L2430" s="12"/>
      <c r="M2430" s="12"/>
      <c r="N2430" s="12"/>
      <c r="O2430" s="12"/>
      <c r="P2430" s="12"/>
      <c r="Q2430" s="12"/>
      <c r="R2430" s="12"/>
      <c r="S2430" s="2"/>
      <c r="T2430" s="2"/>
      <c r="U2430" s="12"/>
      <c r="V2430" s="12"/>
      <c r="W2430" s="12"/>
      <c r="X2430" s="12"/>
      <c r="Y2430" s="12"/>
      <c r="Z2430" s="12"/>
      <c r="AA2430" s="12"/>
      <c r="AB2430" s="12"/>
      <c r="AC2430" s="12"/>
      <c r="AD2430" s="12"/>
      <c r="AE2430" s="12"/>
      <c r="AF2430" s="12"/>
    </row>
    <row r="2431" customFormat="false" ht="15.75" hidden="false" customHeight="true" outlineLevel="0" collapsed="false">
      <c r="A2431" s="12"/>
      <c r="B2431" s="12"/>
      <c r="C2431" s="12"/>
      <c r="D2431" s="12"/>
      <c r="E2431" s="12"/>
      <c r="F2431" s="12"/>
      <c r="G2431" s="12"/>
      <c r="H2431" s="12"/>
      <c r="I2431" s="12"/>
      <c r="J2431" s="12"/>
      <c r="K2431" s="12"/>
      <c r="L2431" s="12"/>
      <c r="M2431" s="12"/>
      <c r="N2431" s="12"/>
      <c r="O2431" s="12"/>
      <c r="P2431" s="12"/>
      <c r="Q2431" s="12"/>
      <c r="R2431" s="12"/>
      <c r="S2431" s="2"/>
      <c r="T2431" s="2"/>
      <c r="U2431" s="12"/>
      <c r="V2431" s="12"/>
      <c r="W2431" s="12"/>
      <c r="X2431" s="12"/>
      <c r="Y2431" s="12"/>
      <c r="Z2431" s="12"/>
      <c r="AA2431" s="12"/>
      <c r="AB2431" s="12"/>
      <c r="AC2431" s="12"/>
      <c r="AD2431" s="12"/>
      <c r="AE2431" s="12"/>
      <c r="AF2431" s="12"/>
    </row>
    <row r="2432" customFormat="false" ht="15.75" hidden="false" customHeight="true" outlineLevel="0" collapsed="false">
      <c r="A2432" s="12"/>
      <c r="B2432" s="12"/>
      <c r="C2432" s="12"/>
      <c r="D2432" s="12"/>
      <c r="E2432" s="12"/>
      <c r="F2432" s="12"/>
      <c r="G2432" s="12"/>
      <c r="H2432" s="12"/>
      <c r="I2432" s="12"/>
      <c r="J2432" s="12"/>
      <c r="K2432" s="12"/>
      <c r="L2432" s="12"/>
      <c r="M2432" s="12"/>
      <c r="N2432" s="12"/>
      <c r="O2432" s="12"/>
      <c r="P2432" s="12"/>
      <c r="Q2432" s="12"/>
      <c r="R2432" s="12"/>
      <c r="S2432" s="2"/>
      <c r="T2432" s="2"/>
      <c r="U2432" s="12"/>
      <c r="V2432" s="12"/>
      <c r="W2432" s="12"/>
      <c r="X2432" s="12"/>
      <c r="Y2432" s="12"/>
      <c r="Z2432" s="12"/>
      <c r="AA2432" s="12"/>
      <c r="AB2432" s="12"/>
      <c r="AC2432" s="12"/>
      <c r="AD2432" s="12"/>
      <c r="AE2432" s="12"/>
      <c r="AF2432" s="12"/>
    </row>
    <row r="2433" customFormat="false" ht="15.75" hidden="false" customHeight="true" outlineLevel="0" collapsed="false">
      <c r="A2433" s="12"/>
      <c r="B2433" s="12"/>
      <c r="C2433" s="12"/>
      <c r="D2433" s="12"/>
      <c r="E2433" s="12"/>
      <c r="F2433" s="12"/>
      <c r="G2433" s="12"/>
      <c r="H2433" s="12"/>
      <c r="I2433" s="12"/>
      <c r="J2433" s="12"/>
      <c r="K2433" s="12"/>
      <c r="L2433" s="12"/>
      <c r="M2433" s="12"/>
      <c r="N2433" s="12"/>
      <c r="O2433" s="12"/>
      <c r="P2433" s="12"/>
      <c r="Q2433" s="12"/>
      <c r="R2433" s="12"/>
      <c r="S2433" s="2"/>
      <c r="T2433" s="2"/>
      <c r="U2433" s="12"/>
      <c r="V2433" s="12"/>
      <c r="W2433" s="12"/>
      <c r="X2433" s="12"/>
      <c r="Y2433" s="12"/>
      <c r="Z2433" s="12"/>
      <c r="AA2433" s="12"/>
      <c r="AB2433" s="12"/>
      <c r="AC2433" s="12"/>
      <c r="AD2433" s="12"/>
      <c r="AE2433" s="12"/>
      <c r="AF2433" s="12"/>
    </row>
    <row r="2434" customFormat="false" ht="15.75" hidden="false" customHeight="true" outlineLevel="0" collapsed="false">
      <c r="A2434" s="12"/>
      <c r="B2434" s="12"/>
      <c r="C2434" s="12"/>
      <c r="D2434" s="12"/>
      <c r="E2434" s="12"/>
      <c r="F2434" s="12"/>
      <c r="G2434" s="12"/>
      <c r="H2434" s="12"/>
      <c r="I2434" s="12"/>
      <c r="J2434" s="12"/>
      <c r="K2434" s="12"/>
      <c r="L2434" s="12"/>
      <c r="M2434" s="12"/>
      <c r="N2434" s="12"/>
      <c r="O2434" s="12"/>
      <c r="P2434" s="12"/>
      <c r="Q2434" s="12"/>
      <c r="R2434" s="12"/>
      <c r="S2434" s="2"/>
      <c r="T2434" s="2"/>
      <c r="U2434" s="12"/>
      <c r="V2434" s="12"/>
      <c r="W2434" s="12"/>
      <c r="X2434" s="12"/>
      <c r="Y2434" s="12"/>
      <c r="Z2434" s="12"/>
      <c r="AA2434" s="12"/>
      <c r="AB2434" s="12"/>
      <c r="AC2434" s="12"/>
      <c r="AD2434" s="12"/>
      <c r="AE2434" s="12"/>
      <c r="AF2434" s="12"/>
    </row>
    <row r="2435" customFormat="false" ht="15.75" hidden="false" customHeight="true" outlineLevel="0" collapsed="false">
      <c r="A2435" s="12"/>
      <c r="B2435" s="12"/>
      <c r="C2435" s="12"/>
      <c r="D2435" s="12"/>
      <c r="E2435" s="12"/>
      <c r="F2435" s="12"/>
      <c r="G2435" s="12"/>
      <c r="H2435" s="12"/>
      <c r="I2435" s="12"/>
      <c r="J2435" s="12"/>
      <c r="K2435" s="12"/>
      <c r="L2435" s="12"/>
      <c r="M2435" s="12"/>
      <c r="N2435" s="12"/>
      <c r="O2435" s="12"/>
      <c r="P2435" s="12"/>
      <c r="Q2435" s="12"/>
      <c r="R2435" s="12"/>
      <c r="S2435" s="2"/>
      <c r="T2435" s="2"/>
      <c r="U2435" s="12"/>
      <c r="V2435" s="12"/>
      <c r="W2435" s="12"/>
      <c r="X2435" s="12"/>
      <c r="Y2435" s="12"/>
      <c r="Z2435" s="12"/>
      <c r="AA2435" s="12"/>
      <c r="AB2435" s="12"/>
      <c r="AC2435" s="12"/>
      <c r="AD2435" s="12"/>
      <c r="AE2435" s="12"/>
      <c r="AF2435" s="12"/>
    </row>
    <row r="2436" customFormat="false" ht="15.75" hidden="false" customHeight="true" outlineLevel="0" collapsed="false">
      <c r="A2436" s="12"/>
      <c r="B2436" s="12"/>
      <c r="C2436" s="12"/>
      <c r="D2436" s="12"/>
      <c r="E2436" s="12"/>
      <c r="F2436" s="12"/>
      <c r="G2436" s="12"/>
      <c r="H2436" s="12"/>
      <c r="I2436" s="12"/>
      <c r="J2436" s="12"/>
      <c r="K2436" s="12"/>
      <c r="L2436" s="12"/>
      <c r="M2436" s="12"/>
      <c r="N2436" s="12"/>
      <c r="O2436" s="12"/>
      <c r="P2436" s="12"/>
      <c r="Q2436" s="12"/>
      <c r="R2436" s="12"/>
      <c r="S2436" s="2"/>
      <c r="T2436" s="2"/>
      <c r="U2436" s="12"/>
      <c r="V2436" s="12"/>
      <c r="W2436" s="12"/>
      <c r="X2436" s="12"/>
      <c r="Y2436" s="12"/>
      <c r="Z2436" s="12"/>
      <c r="AA2436" s="12"/>
      <c r="AB2436" s="12"/>
      <c r="AC2436" s="12"/>
      <c r="AD2436" s="12"/>
      <c r="AE2436" s="12"/>
      <c r="AF2436" s="12"/>
    </row>
    <row r="2437" customFormat="false" ht="15.75" hidden="false" customHeight="true" outlineLevel="0" collapsed="false">
      <c r="A2437" s="12"/>
      <c r="B2437" s="12"/>
      <c r="C2437" s="12"/>
      <c r="D2437" s="12"/>
      <c r="E2437" s="12"/>
      <c r="F2437" s="12"/>
      <c r="G2437" s="12"/>
      <c r="H2437" s="12"/>
      <c r="I2437" s="12"/>
      <c r="J2437" s="12"/>
      <c r="K2437" s="12"/>
      <c r="L2437" s="12"/>
      <c r="M2437" s="12"/>
      <c r="N2437" s="12"/>
      <c r="O2437" s="12"/>
      <c r="P2437" s="12"/>
      <c r="Q2437" s="12"/>
      <c r="R2437" s="12"/>
      <c r="S2437" s="2"/>
      <c r="T2437" s="2"/>
      <c r="U2437" s="12"/>
      <c r="V2437" s="12"/>
      <c r="W2437" s="12"/>
      <c r="X2437" s="12"/>
      <c r="Y2437" s="12"/>
      <c r="Z2437" s="12"/>
      <c r="AA2437" s="12"/>
      <c r="AB2437" s="12"/>
      <c r="AC2437" s="12"/>
      <c r="AD2437" s="12"/>
      <c r="AE2437" s="12"/>
      <c r="AF2437" s="12"/>
    </row>
    <row r="2438" customFormat="false" ht="15.75" hidden="false" customHeight="true" outlineLevel="0" collapsed="false">
      <c r="A2438" s="12"/>
      <c r="B2438" s="12"/>
      <c r="C2438" s="12"/>
      <c r="D2438" s="12"/>
      <c r="E2438" s="12"/>
      <c r="F2438" s="12"/>
      <c r="G2438" s="12"/>
      <c r="H2438" s="12"/>
      <c r="I2438" s="12"/>
      <c r="J2438" s="12"/>
      <c r="K2438" s="12"/>
      <c r="L2438" s="12"/>
      <c r="M2438" s="12"/>
      <c r="N2438" s="12"/>
      <c r="O2438" s="12"/>
      <c r="P2438" s="12"/>
      <c r="Q2438" s="12"/>
      <c r="R2438" s="12"/>
      <c r="S2438" s="2"/>
      <c r="T2438" s="2"/>
      <c r="U2438" s="12"/>
      <c r="V2438" s="12"/>
      <c r="W2438" s="12"/>
      <c r="X2438" s="12"/>
      <c r="Y2438" s="12"/>
      <c r="Z2438" s="12"/>
      <c r="AA2438" s="12"/>
      <c r="AB2438" s="12"/>
      <c r="AC2438" s="12"/>
      <c r="AD2438" s="12"/>
      <c r="AE2438" s="12"/>
      <c r="AF2438" s="12"/>
    </row>
    <row r="2439" customFormat="false" ht="15.75" hidden="false" customHeight="true" outlineLevel="0" collapsed="false">
      <c r="A2439" s="12"/>
      <c r="B2439" s="12"/>
      <c r="C2439" s="12"/>
      <c r="D2439" s="12"/>
      <c r="E2439" s="12"/>
      <c r="F2439" s="12"/>
      <c r="G2439" s="12"/>
      <c r="H2439" s="12"/>
      <c r="I2439" s="12"/>
      <c r="J2439" s="12"/>
      <c r="K2439" s="12"/>
      <c r="L2439" s="12"/>
      <c r="M2439" s="12"/>
      <c r="N2439" s="12"/>
      <c r="O2439" s="12"/>
      <c r="P2439" s="12"/>
      <c r="Q2439" s="12"/>
      <c r="R2439" s="12"/>
      <c r="S2439" s="2"/>
      <c r="T2439" s="2"/>
      <c r="U2439" s="12"/>
      <c r="V2439" s="12"/>
      <c r="W2439" s="12"/>
      <c r="X2439" s="12"/>
      <c r="Y2439" s="12"/>
      <c r="Z2439" s="12"/>
      <c r="AA2439" s="12"/>
      <c r="AB2439" s="12"/>
      <c r="AC2439" s="12"/>
      <c r="AD2439" s="12"/>
      <c r="AE2439" s="12"/>
      <c r="AF2439" s="12"/>
    </row>
    <row r="2440" customFormat="false" ht="15.75" hidden="false" customHeight="true" outlineLevel="0" collapsed="false">
      <c r="A2440" s="12"/>
      <c r="B2440" s="12"/>
      <c r="C2440" s="12"/>
      <c r="D2440" s="12"/>
      <c r="E2440" s="12"/>
      <c r="F2440" s="12"/>
      <c r="G2440" s="12"/>
      <c r="H2440" s="12"/>
      <c r="I2440" s="12"/>
      <c r="J2440" s="12"/>
      <c r="K2440" s="12"/>
      <c r="L2440" s="12"/>
      <c r="M2440" s="12"/>
      <c r="N2440" s="12"/>
      <c r="O2440" s="12"/>
      <c r="P2440" s="12"/>
      <c r="Q2440" s="12"/>
      <c r="R2440" s="12"/>
      <c r="S2440" s="2"/>
      <c r="T2440" s="2"/>
      <c r="U2440" s="12"/>
      <c r="V2440" s="12"/>
      <c r="W2440" s="12"/>
      <c r="X2440" s="12"/>
      <c r="Y2440" s="12"/>
      <c r="Z2440" s="12"/>
      <c r="AA2440" s="12"/>
      <c r="AB2440" s="12"/>
      <c r="AC2440" s="12"/>
      <c r="AD2440" s="12"/>
      <c r="AE2440" s="12"/>
      <c r="AF2440" s="12"/>
    </row>
    <row r="2441" customFormat="false" ht="15.75" hidden="false" customHeight="true" outlineLevel="0" collapsed="false">
      <c r="A2441" s="12"/>
      <c r="B2441" s="12"/>
      <c r="C2441" s="12"/>
      <c r="D2441" s="12"/>
      <c r="E2441" s="12"/>
      <c r="F2441" s="12"/>
      <c r="G2441" s="12"/>
      <c r="H2441" s="12"/>
      <c r="I2441" s="12"/>
      <c r="J2441" s="12"/>
      <c r="K2441" s="12"/>
      <c r="L2441" s="12"/>
      <c r="M2441" s="12"/>
      <c r="N2441" s="12"/>
      <c r="O2441" s="12"/>
      <c r="P2441" s="12"/>
      <c r="Q2441" s="12"/>
      <c r="R2441" s="12"/>
      <c r="S2441" s="2"/>
      <c r="T2441" s="2"/>
      <c r="U2441" s="12"/>
      <c r="V2441" s="12"/>
      <c r="W2441" s="12"/>
      <c r="X2441" s="12"/>
      <c r="Y2441" s="12"/>
      <c r="Z2441" s="12"/>
      <c r="AA2441" s="12"/>
      <c r="AB2441" s="12"/>
      <c r="AC2441" s="12"/>
      <c r="AD2441" s="12"/>
      <c r="AE2441" s="12"/>
      <c r="AF2441" s="12"/>
    </row>
    <row r="2442" customFormat="false" ht="15.75" hidden="false" customHeight="true" outlineLevel="0" collapsed="false">
      <c r="A2442" s="12"/>
      <c r="B2442" s="12"/>
      <c r="C2442" s="12"/>
      <c r="D2442" s="12"/>
      <c r="E2442" s="12"/>
      <c r="F2442" s="12"/>
      <c r="G2442" s="12"/>
      <c r="H2442" s="12"/>
      <c r="I2442" s="12"/>
      <c r="J2442" s="12"/>
      <c r="K2442" s="12"/>
      <c r="L2442" s="12"/>
      <c r="M2442" s="12"/>
      <c r="N2442" s="12"/>
      <c r="O2442" s="12"/>
      <c r="P2442" s="12"/>
      <c r="Q2442" s="12"/>
      <c r="R2442" s="12"/>
      <c r="S2442" s="2"/>
      <c r="T2442" s="2"/>
      <c r="U2442" s="12"/>
      <c r="V2442" s="12"/>
      <c r="W2442" s="12"/>
      <c r="X2442" s="12"/>
      <c r="Y2442" s="12"/>
      <c r="Z2442" s="12"/>
      <c r="AA2442" s="12"/>
      <c r="AB2442" s="12"/>
      <c r="AC2442" s="12"/>
      <c r="AD2442" s="12"/>
      <c r="AE2442" s="12"/>
      <c r="AF2442" s="12"/>
    </row>
    <row r="2443" customFormat="false" ht="15.75" hidden="false" customHeight="true" outlineLevel="0" collapsed="false">
      <c r="A2443" s="12"/>
      <c r="B2443" s="12"/>
      <c r="C2443" s="12"/>
      <c r="D2443" s="12"/>
      <c r="E2443" s="12"/>
      <c r="F2443" s="12"/>
      <c r="G2443" s="12"/>
      <c r="H2443" s="12"/>
      <c r="I2443" s="12"/>
      <c r="J2443" s="12"/>
      <c r="K2443" s="12"/>
      <c r="L2443" s="12"/>
      <c r="M2443" s="12"/>
      <c r="N2443" s="12"/>
      <c r="O2443" s="12"/>
      <c r="P2443" s="12"/>
      <c r="Q2443" s="12"/>
      <c r="R2443" s="12"/>
      <c r="S2443" s="2"/>
      <c r="T2443" s="2"/>
      <c r="U2443" s="12"/>
      <c r="V2443" s="12"/>
      <c r="W2443" s="12"/>
      <c r="X2443" s="12"/>
      <c r="Y2443" s="12"/>
      <c r="Z2443" s="12"/>
      <c r="AA2443" s="12"/>
      <c r="AB2443" s="12"/>
      <c r="AC2443" s="12"/>
      <c r="AD2443" s="12"/>
      <c r="AE2443" s="12"/>
      <c r="AF2443" s="12"/>
    </row>
    <row r="2444" customFormat="false" ht="15.75" hidden="false" customHeight="true" outlineLevel="0" collapsed="false">
      <c r="A2444" s="12"/>
      <c r="B2444" s="12"/>
      <c r="C2444" s="12"/>
      <c r="D2444" s="12"/>
      <c r="E2444" s="12"/>
      <c r="F2444" s="12"/>
      <c r="G2444" s="12"/>
      <c r="H2444" s="12"/>
      <c r="I2444" s="12"/>
      <c r="J2444" s="12"/>
      <c r="K2444" s="12"/>
      <c r="L2444" s="12"/>
      <c r="M2444" s="12"/>
      <c r="N2444" s="12"/>
      <c r="O2444" s="12"/>
      <c r="P2444" s="12"/>
      <c r="Q2444" s="12"/>
      <c r="R2444" s="12"/>
      <c r="S2444" s="2"/>
      <c r="T2444" s="2"/>
      <c r="U2444" s="12"/>
      <c r="V2444" s="12"/>
      <c r="W2444" s="12"/>
      <c r="X2444" s="12"/>
      <c r="Y2444" s="12"/>
      <c r="Z2444" s="12"/>
      <c r="AA2444" s="12"/>
      <c r="AB2444" s="12"/>
      <c r="AC2444" s="12"/>
      <c r="AD2444" s="12"/>
      <c r="AE2444" s="12"/>
      <c r="AF2444" s="12"/>
    </row>
    <row r="2445" customFormat="false" ht="15.75" hidden="false" customHeight="true" outlineLevel="0" collapsed="false">
      <c r="A2445" s="12"/>
      <c r="B2445" s="12"/>
      <c r="C2445" s="12"/>
      <c r="D2445" s="12"/>
      <c r="E2445" s="12"/>
      <c r="F2445" s="12"/>
      <c r="G2445" s="12"/>
      <c r="H2445" s="12"/>
      <c r="I2445" s="12"/>
      <c r="J2445" s="12"/>
      <c r="K2445" s="12"/>
      <c r="L2445" s="12"/>
      <c r="M2445" s="12"/>
      <c r="N2445" s="12"/>
      <c r="O2445" s="12"/>
      <c r="P2445" s="12"/>
      <c r="Q2445" s="12"/>
      <c r="R2445" s="12"/>
      <c r="S2445" s="2"/>
      <c r="T2445" s="2"/>
      <c r="U2445" s="12"/>
      <c r="V2445" s="12"/>
      <c r="W2445" s="12"/>
      <c r="X2445" s="12"/>
      <c r="Y2445" s="12"/>
      <c r="Z2445" s="12"/>
      <c r="AA2445" s="12"/>
      <c r="AB2445" s="12"/>
      <c r="AC2445" s="12"/>
      <c r="AD2445" s="12"/>
      <c r="AE2445" s="12"/>
      <c r="AF2445" s="12"/>
    </row>
    <row r="2446" customFormat="false" ht="15.75" hidden="false" customHeight="true" outlineLevel="0" collapsed="false">
      <c r="A2446" s="12"/>
      <c r="B2446" s="12"/>
      <c r="C2446" s="12"/>
      <c r="D2446" s="12"/>
      <c r="E2446" s="12"/>
      <c r="F2446" s="12"/>
      <c r="G2446" s="12"/>
      <c r="H2446" s="12"/>
      <c r="I2446" s="12"/>
      <c r="J2446" s="12"/>
      <c r="K2446" s="12"/>
      <c r="L2446" s="12"/>
      <c r="M2446" s="12"/>
      <c r="N2446" s="12"/>
      <c r="O2446" s="12"/>
      <c r="P2446" s="12"/>
      <c r="Q2446" s="12"/>
      <c r="R2446" s="12"/>
      <c r="S2446" s="2"/>
      <c r="T2446" s="2"/>
      <c r="U2446" s="12"/>
      <c r="V2446" s="12"/>
      <c r="W2446" s="12"/>
      <c r="X2446" s="12"/>
      <c r="Y2446" s="12"/>
      <c r="Z2446" s="12"/>
      <c r="AA2446" s="12"/>
      <c r="AB2446" s="12"/>
      <c r="AC2446" s="12"/>
      <c r="AD2446" s="12"/>
      <c r="AE2446" s="12"/>
      <c r="AF2446" s="12"/>
    </row>
    <row r="2447" customFormat="false" ht="15.75" hidden="false" customHeight="true" outlineLevel="0" collapsed="false">
      <c r="A2447" s="12"/>
      <c r="B2447" s="12"/>
      <c r="C2447" s="12"/>
      <c r="D2447" s="12"/>
      <c r="E2447" s="12"/>
      <c r="F2447" s="12"/>
      <c r="G2447" s="12"/>
      <c r="H2447" s="12"/>
      <c r="I2447" s="12"/>
      <c r="J2447" s="12"/>
      <c r="K2447" s="12"/>
      <c r="L2447" s="12"/>
      <c r="M2447" s="12"/>
      <c r="N2447" s="12"/>
      <c r="O2447" s="12"/>
      <c r="P2447" s="12"/>
      <c r="Q2447" s="12"/>
      <c r="R2447" s="12"/>
      <c r="S2447" s="2"/>
      <c r="T2447" s="2"/>
      <c r="U2447" s="12"/>
      <c r="V2447" s="12"/>
      <c r="W2447" s="12"/>
      <c r="X2447" s="12"/>
      <c r="Y2447" s="12"/>
      <c r="Z2447" s="12"/>
      <c r="AA2447" s="12"/>
      <c r="AB2447" s="12"/>
      <c r="AC2447" s="12"/>
      <c r="AD2447" s="12"/>
      <c r="AE2447" s="12"/>
      <c r="AF2447" s="12"/>
    </row>
    <row r="2448" customFormat="false" ht="15.75" hidden="false" customHeight="true" outlineLevel="0" collapsed="false">
      <c r="A2448" s="12"/>
      <c r="B2448" s="12"/>
      <c r="C2448" s="12"/>
      <c r="D2448" s="12"/>
      <c r="E2448" s="12"/>
      <c r="F2448" s="12"/>
      <c r="G2448" s="12"/>
      <c r="H2448" s="12"/>
      <c r="I2448" s="12"/>
      <c r="J2448" s="12"/>
      <c r="K2448" s="12"/>
      <c r="L2448" s="12"/>
      <c r="M2448" s="12"/>
      <c r="N2448" s="12"/>
      <c r="O2448" s="12"/>
      <c r="P2448" s="12"/>
      <c r="Q2448" s="12"/>
      <c r="R2448" s="12"/>
      <c r="S2448" s="2"/>
      <c r="T2448" s="2"/>
      <c r="U2448" s="12"/>
      <c r="V2448" s="12"/>
      <c r="W2448" s="12"/>
      <c r="X2448" s="12"/>
      <c r="Y2448" s="12"/>
      <c r="Z2448" s="12"/>
      <c r="AA2448" s="12"/>
      <c r="AB2448" s="12"/>
      <c r="AC2448" s="12"/>
      <c r="AD2448" s="12"/>
      <c r="AE2448" s="12"/>
      <c r="AF2448" s="12"/>
    </row>
    <row r="2449" customFormat="false" ht="15.75" hidden="false" customHeight="true" outlineLevel="0" collapsed="false">
      <c r="A2449" s="12"/>
      <c r="B2449" s="12"/>
      <c r="C2449" s="12"/>
      <c r="D2449" s="12"/>
      <c r="E2449" s="12"/>
      <c r="F2449" s="12"/>
      <c r="G2449" s="12"/>
      <c r="H2449" s="12"/>
      <c r="I2449" s="12"/>
      <c r="J2449" s="12"/>
      <c r="K2449" s="12"/>
      <c r="L2449" s="12"/>
      <c r="M2449" s="12"/>
      <c r="N2449" s="12"/>
      <c r="O2449" s="12"/>
      <c r="P2449" s="12"/>
      <c r="Q2449" s="12"/>
      <c r="R2449" s="12"/>
      <c r="S2449" s="2"/>
      <c r="T2449" s="2"/>
      <c r="U2449" s="12"/>
      <c r="V2449" s="12"/>
      <c r="W2449" s="12"/>
      <c r="X2449" s="12"/>
      <c r="Y2449" s="12"/>
      <c r="Z2449" s="12"/>
      <c r="AA2449" s="12"/>
      <c r="AB2449" s="12"/>
      <c r="AC2449" s="12"/>
      <c r="AD2449" s="12"/>
      <c r="AE2449" s="12"/>
      <c r="AF2449" s="12"/>
    </row>
    <row r="2450" customFormat="false" ht="15.75" hidden="false" customHeight="true" outlineLevel="0" collapsed="false">
      <c r="A2450" s="12"/>
      <c r="B2450" s="12"/>
      <c r="C2450" s="12"/>
      <c r="D2450" s="12"/>
      <c r="E2450" s="12"/>
      <c r="F2450" s="12"/>
      <c r="G2450" s="12"/>
      <c r="H2450" s="12"/>
      <c r="I2450" s="12"/>
      <c r="J2450" s="12"/>
      <c r="K2450" s="12"/>
      <c r="L2450" s="12"/>
      <c r="M2450" s="12"/>
      <c r="N2450" s="12"/>
      <c r="O2450" s="12"/>
      <c r="P2450" s="12"/>
      <c r="Q2450" s="12"/>
      <c r="R2450" s="12"/>
      <c r="S2450" s="2"/>
      <c r="T2450" s="2"/>
      <c r="U2450" s="12"/>
      <c r="V2450" s="12"/>
      <c r="W2450" s="12"/>
      <c r="X2450" s="12"/>
      <c r="Y2450" s="12"/>
      <c r="Z2450" s="12"/>
      <c r="AA2450" s="12"/>
      <c r="AB2450" s="12"/>
      <c r="AC2450" s="12"/>
      <c r="AD2450" s="12"/>
      <c r="AE2450" s="12"/>
      <c r="AF2450" s="12"/>
    </row>
    <row r="2451" customFormat="false" ht="15.75" hidden="false" customHeight="true" outlineLevel="0" collapsed="false">
      <c r="A2451" s="12"/>
      <c r="B2451" s="12"/>
      <c r="C2451" s="12"/>
      <c r="D2451" s="12"/>
      <c r="E2451" s="12"/>
      <c r="F2451" s="12"/>
      <c r="G2451" s="12"/>
      <c r="H2451" s="12"/>
      <c r="I2451" s="12"/>
      <c r="J2451" s="12"/>
      <c r="K2451" s="12"/>
      <c r="L2451" s="12"/>
      <c r="M2451" s="12"/>
      <c r="N2451" s="12"/>
      <c r="O2451" s="12"/>
      <c r="P2451" s="12"/>
      <c r="Q2451" s="12"/>
      <c r="R2451" s="12"/>
      <c r="S2451" s="2"/>
      <c r="T2451" s="2"/>
      <c r="U2451" s="12"/>
      <c r="V2451" s="12"/>
      <c r="W2451" s="12"/>
      <c r="X2451" s="12"/>
      <c r="Y2451" s="12"/>
      <c r="Z2451" s="12"/>
      <c r="AA2451" s="12"/>
      <c r="AB2451" s="12"/>
      <c r="AC2451" s="12"/>
      <c r="AD2451" s="12"/>
      <c r="AE2451" s="12"/>
      <c r="AF2451" s="12"/>
    </row>
    <row r="2452" customFormat="false" ht="15.75" hidden="false" customHeight="true" outlineLevel="0" collapsed="false">
      <c r="A2452" s="12"/>
      <c r="B2452" s="12"/>
      <c r="C2452" s="12"/>
      <c r="D2452" s="12"/>
      <c r="E2452" s="12"/>
      <c r="F2452" s="12"/>
      <c r="G2452" s="12"/>
      <c r="H2452" s="12"/>
      <c r="I2452" s="12"/>
      <c r="J2452" s="12"/>
      <c r="K2452" s="12"/>
      <c r="L2452" s="12"/>
      <c r="M2452" s="12"/>
      <c r="N2452" s="12"/>
      <c r="O2452" s="12"/>
      <c r="P2452" s="12"/>
      <c r="Q2452" s="12"/>
      <c r="R2452" s="12"/>
      <c r="S2452" s="2"/>
      <c r="T2452" s="2"/>
      <c r="U2452" s="12"/>
      <c r="V2452" s="12"/>
      <c r="W2452" s="12"/>
      <c r="X2452" s="12"/>
      <c r="Y2452" s="12"/>
      <c r="Z2452" s="12"/>
      <c r="AA2452" s="12"/>
      <c r="AB2452" s="12"/>
      <c r="AC2452" s="12"/>
      <c r="AD2452" s="12"/>
      <c r="AE2452" s="12"/>
      <c r="AF2452" s="12"/>
    </row>
    <row r="2453" customFormat="false" ht="15.75" hidden="false" customHeight="true" outlineLevel="0" collapsed="false">
      <c r="A2453" s="12"/>
      <c r="B2453" s="12"/>
      <c r="C2453" s="12"/>
      <c r="D2453" s="12"/>
      <c r="E2453" s="12"/>
      <c r="F2453" s="12"/>
      <c r="G2453" s="12"/>
      <c r="H2453" s="12"/>
      <c r="I2453" s="12"/>
      <c r="J2453" s="12"/>
      <c r="K2453" s="12"/>
      <c r="L2453" s="12"/>
      <c r="M2453" s="12"/>
      <c r="N2453" s="12"/>
      <c r="O2453" s="12"/>
      <c r="P2453" s="12"/>
      <c r="Q2453" s="12"/>
      <c r="R2453" s="12"/>
      <c r="S2453" s="2"/>
      <c r="T2453" s="2"/>
      <c r="U2453" s="12"/>
      <c r="V2453" s="12"/>
      <c r="W2453" s="12"/>
      <c r="X2453" s="12"/>
      <c r="Y2453" s="12"/>
      <c r="Z2453" s="12"/>
      <c r="AA2453" s="12"/>
      <c r="AB2453" s="12"/>
      <c r="AC2453" s="12"/>
      <c r="AD2453" s="12"/>
      <c r="AE2453" s="12"/>
      <c r="AF2453" s="12"/>
    </row>
    <row r="2454" customFormat="false" ht="15.75" hidden="false" customHeight="true" outlineLevel="0" collapsed="false">
      <c r="A2454" s="12"/>
      <c r="B2454" s="12"/>
      <c r="C2454" s="12"/>
      <c r="D2454" s="12"/>
      <c r="E2454" s="12"/>
      <c r="F2454" s="12"/>
      <c r="G2454" s="12"/>
      <c r="H2454" s="12"/>
      <c r="I2454" s="12"/>
      <c r="J2454" s="12"/>
      <c r="K2454" s="12"/>
      <c r="L2454" s="12"/>
      <c r="M2454" s="12"/>
      <c r="N2454" s="12"/>
      <c r="O2454" s="12"/>
      <c r="P2454" s="12"/>
      <c r="Q2454" s="12"/>
      <c r="R2454" s="12"/>
      <c r="S2454" s="2"/>
      <c r="T2454" s="2"/>
      <c r="U2454" s="12"/>
      <c r="V2454" s="12"/>
      <c r="W2454" s="12"/>
      <c r="X2454" s="12"/>
      <c r="Y2454" s="12"/>
      <c r="Z2454" s="12"/>
      <c r="AA2454" s="12"/>
      <c r="AB2454" s="12"/>
      <c r="AC2454" s="12"/>
      <c r="AD2454" s="12"/>
      <c r="AE2454" s="12"/>
      <c r="AF2454" s="12"/>
    </row>
    <row r="2455" customFormat="false" ht="15.75" hidden="false" customHeight="true" outlineLevel="0" collapsed="false">
      <c r="A2455" s="12"/>
      <c r="B2455" s="12"/>
      <c r="C2455" s="12"/>
      <c r="D2455" s="12"/>
      <c r="E2455" s="12"/>
      <c r="F2455" s="12"/>
      <c r="G2455" s="12"/>
      <c r="H2455" s="12"/>
      <c r="I2455" s="12"/>
      <c r="J2455" s="12"/>
      <c r="K2455" s="12"/>
      <c r="L2455" s="12"/>
      <c r="M2455" s="12"/>
      <c r="N2455" s="12"/>
      <c r="O2455" s="12"/>
      <c r="P2455" s="12"/>
      <c r="Q2455" s="12"/>
      <c r="R2455" s="12"/>
      <c r="S2455" s="2"/>
      <c r="T2455" s="2"/>
      <c r="U2455" s="12"/>
      <c r="V2455" s="12"/>
      <c r="W2455" s="12"/>
      <c r="X2455" s="12"/>
      <c r="Y2455" s="12"/>
      <c r="Z2455" s="12"/>
      <c r="AA2455" s="12"/>
      <c r="AB2455" s="12"/>
      <c r="AC2455" s="12"/>
      <c r="AD2455" s="12"/>
      <c r="AE2455" s="12"/>
      <c r="AF2455" s="12"/>
    </row>
    <row r="2456" customFormat="false" ht="15.75" hidden="false" customHeight="true" outlineLevel="0" collapsed="false">
      <c r="A2456" s="12"/>
      <c r="B2456" s="12"/>
      <c r="C2456" s="12"/>
      <c r="D2456" s="12"/>
      <c r="E2456" s="12"/>
      <c r="F2456" s="12"/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  <c r="R2456" s="12"/>
      <c r="S2456" s="2"/>
      <c r="T2456" s="2"/>
      <c r="U2456" s="12"/>
      <c r="V2456" s="12"/>
      <c r="W2456" s="12"/>
      <c r="X2456" s="12"/>
      <c r="Y2456" s="12"/>
      <c r="Z2456" s="12"/>
      <c r="AA2456" s="12"/>
      <c r="AB2456" s="12"/>
      <c r="AC2456" s="12"/>
      <c r="AD2456" s="12"/>
      <c r="AE2456" s="12"/>
      <c r="AF2456" s="12"/>
    </row>
    <row r="2457" customFormat="false" ht="15.75" hidden="false" customHeight="true" outlineLevel="0" collapsed="false">
      <c r="A2457" s="12"/>
      <c r="B2457" s="12"/>
      <c r="C2457" s="12"/>
      <c r="D2457" s="12"/>
      <c r="E2457" s="12"/>
      <c r="F2457" s="12"/>
      <c r="G2457" s="12"/>
      <c r="H2457" s="12"/>
      <c r="I2457" s="12"/>
      <c r="J2457" s="12"/>
      <c r="K2457" s="12"/>
      <c r="L2457" s="12"/>
      <c r="M2457" s="12"/>
      <c r="N2457" s="12"/>
      <c r="O2457" s="12"/>
      <c r="P2457" s="12"/>
      <c r="Q2457" s="12"/>
      <c r="R2457" s="12"/>
      <c r="S2457" s="2"/>
      <c r="T2457" s="2"/>
      <c r="U2457" s="12"/>
      <c r="V2457" s="12"/>
      <c r="W2457" s="12"/>
      <c r="X2457" s="12"/>
      <c r="Y2457" s="12"/>
      <c r="Z2457" s="12"/>
      <c r="AA2457" s="12"/>
      <c r="AB2457" s="12"/>
      <c r="AC2457" s="12"/>
      <c r="AD2457" s="12"/>
      <c r="AE2457" s="12"/>
      <c r="AF2457" s="12"/>
    </row>
    <row r="2458" customFormat="false" ht="15.75" hidden="false" customHeight="true" outlineLevel="0" collapsed="false">
      <c r="A2458" s="12"/>
      <c r="B2458" s="12"/>
      <c r="C2458" s="12"/>
      <c r="D2458" s="12"/>
      <c r="E2458" s="12"/>
      <c r="F2458" s="12"/>
      <c r="G2458" s="12"/>
      <c r="H2458" s="12"/>
      <c r="I2458" s="12"/>
      <c r="J2458" s="12"/>
      <c r="K2458" s="12"/>
      <c r="L2458" s="12"/>
      <c r="M2458" s="12"/>
      <c r="N2458" s="12"/>
      <c r="O2458" s="12"/>
      <c r="P2458" s="12"/>
      <c r="Q2458" s="12"/>
      <c r="R2458" s="12"/>
      <c r="S2458" s="2"/>
      <c r="T2458" s="2"/>
      <c r="U2458" s="12"/>
      <c r="V2458" s="12"/>
      <c r="W2458" s="12"/>
      <c r="X2458" s="12"/>
      <c r="Y2458" s="12"/>
      <c r="Z2458" s="12"/>
      <c r="AA2458" s="12"/>
      <c r="AB2458" s="12"/>
      <c r="AC2458" s="12"/>
      <c r="AD2458" s="12"/>
      <c r="AE2458" s="12"/>
      <c r="AF2458" s="12"/>
    </row>
    <row r="2459" customFormat="false" ht="15.75" hidden="false" customHeight="true" outlineLevel="0" collapsed="false">
      <c r="A2459" s="12"/>
      <c r="B2459" s="12"/>
      <c r="C2459" s="12"/>
      <c r="D2459" s="12"/>
      <c r="E2459" s="12"/>
      <c r="F2459" s="12"/>
      <c r="G2459" s="12"/>
      <c r="H2459" s="12"/>
      <c r="I2459" s="12"/>
      <c r="J2459" s="12"/>
      <c r="K2459" s="12"/>
      <c r="L2459" s="12"/>
      <c r="M2459" s="12"/>
      <c r="N2459" s="12"/>
      <c r="O2459" s="12"/>
      <c r="P2459" s="12"/>
      <c r="Q2459" s="12"/>
      <c r="R2459" s="12"/>
      <c r="S2459" s="2"/>
      <c r="T2459" s="2"/>
      <c r="U2459" s="12"/>
      <c r="V2459" s="12"/>
      <c r="W2459" s="12"/>
      <c r="X2459" s="12"/>
      <c r="Y2459" s="12"/>
      <c r="Z2459" s="12"/>
      <c r="AA2459" s="12"/>
      <c r="AB2459" s="12"/>
      <c r="AC2459" s="12"/>
      <c r="AD2459" s="12"/>
      <c r="AE2459" s="12"/>
      <c r="AF2459" s="12"/>
    </row>
    <row r="2460" customFormat="false" ht="15.75" hidden="false" customHeight="true" outlineLevel="0" collapsed="false">
      <c r="A2460" s="12"/>
      <c r="B2460" s="12"/>
      <c r="C2460" s="12"/>
      <c r="D2460" s="12"/>
      <c r="E2460" s="12"/>
      <c r="F2460" s="12"/>
      <c r="G2460" s="12"/>
      <c r="H2460" s="12"/>
      <c r="I2460" s="12"/>
      <c r="J2460" s="12"/>
      <c r="K2460" s="12"/>
      <c r="L2460" s="12"/>
      <c r="M2460" s="12"/>
      <c r="N2460" s="12"/>
      <c r="O2460" s="12"/>
      <c r="P2460" s="12"/>
      <c r="Q2460" s="12"/>
      <c r="R2460" s="12"/>
      <c r="S2460" s="2"/>
      <c r="T2460" s="2"/>
      <c r="U2460" s="12"/>
      <c r="V2460" s="12"/>
      <c r="W2460" s="12"/>
      <c r="X2460" s="12"/>
      <c r="Y2460" s="12"/>
      <c r="Z2460" s="12"/>
      <c r="AA2460" s="12"/>
      <c r="AB2460" s="12"/>
      <c r="AC2460" s="12"/>
      <c r="AD2460" s="12"/>
      <c r="AE2460" s="12"/>
      <c r="AF2460" s="12"/>
    </row>
    <row r="2461" customFormat="false" ht="15.75" hidden="false" customHeight="true" outlineLevel="0" collapsed="false">
      <c r="A2461" s="12"/>
      <c r="B2461" s="12"/>
      <c r="C2461" s="12"/>
      <c r="D2461" s="12"/>
      <c r="E2461" s="12"/>
      <c r="F2461" s="12"/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  <c r="R2461" s="12"/>
      <c r="S2461" s="2"/>
      <c r="T2461" s="2"/>
      <c r="U2461" s="12"/>
      <c r="V2461" s="12"/>
      <c r="W2461" s="12"/>
      <c r="X2461" s="12"/>
      <c r="Y2461" s="12"/>
      <c r="Z2461" s="12"/>
      <c r="AA2461" s="12"/>
      <c r="AB2461" s="12"/>
      <c r="AC2461" s="12"/>
      <c r="AD2461" s="12"/>
      <c r="AE2461" s="12"/>
      <c r="AF2461" s="12"/>
    </row>
    <row r="2462" customFormat="false" ht="15.75" hidden="false" customHeight="true" outlineLevel="0" collapsed="false">
      <c r="A2462" s="12"/>
      <c r="B2462" s="12"/>
      <c r="C2462" s="12"/>
      <c r="D2462" s="12"/>
      <c r="E2462" s="12"/>
      <c r="F2462" s="12"/>
      <c r="G2462" s="12"/>
      <c r="H2462" s="12"/>
      <c r="I2462" s="12"/>
      <c r="J2462" s="12"/>
      <c r="K2462" s="12"/>
      <c r="L2462" s="12"/>
      <c r="M2462" s="12"/>
      <c r="N2462" s="12"/>
      <c r="O2462" s="12"/>
      <c r="P2462" s="12"/>
      <c r="Q2462" s="12"/>
      <c r="R2462" s="12"/>
      <c r="S2462" s="2"/>
      <c r="T2462" s="2"/>
      <c r="U2462" s="12"/>
      <c r="V2462" s="12"/>
      <c r="W2462" s="12"/>
      <c r="X2462" s="12"/>
      <c r="Y2462" s="12"/>
      <c r="Z2462" s="12"/>
      <c r="AA2462" s="12"/>
      <c r="AB2462" s="12"/>
      <c r="AC2462" s="12"/>
      <c r="AD2462" s="12"/>
      <c r="AE2462" s="12"/>
      <c r="AF2462" s="12"/>
    </row>
    <row r="2463" customFormat="false" ht="15.75" hidden="false" customHeight="true" outlineLevel="0" collapsed="false">
      <c r="A2463" s="12"/>
      <c r="B2463" s="12"/>
      <c r="C2463" s="12"/>
      <c r="D2463" s="12"/>
      <c r="E2463" s="12"/>
      <c r="F2463" s="12"/>
      <c r="G2463" s="12"/>
      <c r="H2463" s="12"/>
      <c r="I2463" s="12"/>
      <c r="J2463" s="12"/>
      <c r="K2463" s="12"/>
      <c r="L2463" s="12"/>
      <c r="M2463" s="12"/>
      <c r="N2463" s="12"/>
      <c r="O2463" s="12"/>
      <c r="P2463" s="12"/>
      <c r="Q2463" s="12"/>
      <c r="R2463" s="12"/>
      <c r="S2463" s="2"/>
      <c r="T2463" s="2"/>
      <c r="U2463" s="12"/>
      <c r="V2463" s="12"/>
      <c r="W2463" s="12"/>
      <c r="X2463" s="12"/>
      <c r="Y2463" s="12"/>
      <c r="Z2463" s="12"/>
      <c r="AA2463" s="12"/>
      <c r="AB2463" s="12"/>
      <c r="AC2463" s="12"/>
      <c r="AD2463" s="12"/>
      <c r="AE2463" s="12"/>
      <c r="AF2463" s="12"/>
    </row>
    <row r="2464" customFormat="false" ht="15.75" hidden="false" customHeight="true" outlineLevel="0" collapsed="false">
      <c r="A2464" s="12"/>
      <c r="B2464" s="12"/>
      <c r="C2464" s="12"/>
      <c r="D2464" s="12"/>
      <c r="E2464" s="12"/>
      <c r="F2464" s="12"/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  <c r="R2464" s="12"/>
      <c r="S2464" s="2"/>
      <c r="T2464" s="2"/>
      <c r="U2464" s="12"/>
      <c r="V2464" s="12"/>
      <c r="W2464" s="12"/>
      <c r="X2464" s="12"/>
      <c r="Y2464" s="12"/>
      <c r="Z2464" s="12"/>
      <c r="AA2464" s="12"/>
      <c r="AB2464" s="12"/>
      <c r="AC2464" s="12"/>
      <c r="AD2464" s="12"/>
      <c r="AE2464" s="12"/>
      <c r="AF2464" s="12"/>
    </row>
    <row r="2465" customFormat="false" ht="15.75" hidden="false" customHeight="true" outlineLevel="0" collapsed="false">
      <c r="A2465" s="12"/>
      <c r="B2465" s="12"/>
      <c r="C2465" s="12"/>
      <c r="D2465" s="12"/>
      <c r="E2465" s="12"/>
      <c r="F2465" s="12"/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  <c r="R2465" s="12"/>
      <c r="S2465" s="2"/>
      <c r="T2465" s="2"/>
      <c r="U2465" s="12"/>
      <c r="V2465" s="12"/>
      <c r="W2465" s="12"/>
      <c r="X2465" s="12"/>
      <c r="Y2465" s="12"/>
      <c r="Z2465" s="12"/>
      <c r="AA2465" s="12"/>
      <c r="AB2465" s="12"/>
      <c r="AC2465" s="12"/>
      <c r="AD2465" s="12"/>
      <c r="AE2465" s="12"/>
      <c r="AF2465" s="12"/>
    </row>
    <row r="2466" customFormat="false" ht="15.75" hidden="false" customHeight="true" outlineLevel="0" collapsed="false">
      <c r="A2466" s="12"/>
      <c r="B2466" s="12"/>
      <c r="C2466" s="12"/>
      <c r="D2466" s="12"/>
      <c r="E2466" s="12"/>
      <c r="F2466" s="12"/>
      <c r="G2466" s="12"/>
      <c r="H2466" s="12"/>
      <c r="I2466" s="12"/>
      <c r="J2466" s="12"/>
      <c r="K2466" s="12"/>
      <c r="L2466" s="12"/>
      <c r="M2466" s="12"/>
      <c r="N2466" s="12"/>
      <c r="O2466" s="12"/>
      <c r="P2466" s="12"/>
      <c r="Q2466" s="12"/>
      <c r="R2466" s="12"/>
      <c r="S2466" s="2"/>
      <c r="T2466" s="2"/>
      <c r="U2466" s="12"/>
      <c r="V2466" s="12"/>
      <c r="W2466" s="12"/>
      <c r="X2466" s="12"/>
      <c r="Y2466" s="12"/>
      <c r="Z2466" s="12"/>
      <c r="AA2466" s="12"/>
      <c r="AB2466" s="12"/>
      <c r="AC2466" s="12"/>
      <c r="AD2466" s="12"/>
      <c r="AE2466" s="12"/>
      <c r="AF2466" s="12"/>
    </row>
    <row r="2467" customFormat="false" ht="15.75" hidden="false" customHeight="true" outlineLevel="0" collapsed="false">
      <c r="A2467" s="12"/>
      <c r="B2467" s="12"/>
      <c r="C2467" s="12"/>
      <c r="D2467" s="12"/>
      <c r="E2467" s="12"/>
      <c r="F2467" s="12"/>
      <c r="G2467" s="12"/>
      <c r="H2467" s="12"/>
      <c r="I2467" s="12"/>
      <c r="J2467" s="12"/>
      <c r="K2467" s="12"/>
      <c r="L2467" s="12"/>
      <c r="M2467" s="12"/>
      <c r="N2467" s="12"/>
      <c r="O2467" s="12"/>
      <c r="P2467" s="12"/>
      <c r="Q2467" s="12"/>
      <c r="R2467" s="12"/>
      <c r="S2467" s="2"/>
      <c r="T2467" s="2"/>
      <c r="U2467" s="12"/>
      <c r="V2467" s="12"/>
      <c r="W2467" s="12"/>
      <c r="X2467" s="12"/>
      <c r="Y2467" s="12"/>
      <c r="Z2467" s="12"/>
      <c r="AA2467" s="12"/>
      <c r="AB2467" s="12"/>
      <c r="AC2467" s="12"/>
      <c r="AD2467" s="12"/>
      <c r="AE2467" s="12"/>
      <c r="AF2467" s="12"/>
    </row>
    <row r="2468" customFormat="false" ht="15.75" hidden="false" customHeight="true" outlineLevel="0" collapsed="false">
      <c r="A2468" s="12"/>
      <c r="B2468" s="12"/>
      <c r="C2468" s="12"/>
      <c r="D2468" s="12"/>
      <c r="E2468" s="12"/>
      <c r="F2468" s="12"/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  <c r="R2468" s="12"/>
      <c r="S2468" s="2"/>
      <c r="T2468" s="2"/>
      <c r="U2468" s="12"/>
      <c r="V2468" s="12"/>
      <c r="W2468" s="12"/>
      <c r="X2468" s="12"/>
      <c r="Y2468" s="12"/>
      <c r="Z2468" s="12"/>
      <c r="AA2468" s="12"/>
      <c r="AB2468" s="12"/>
      <c r="AC2468" s="12"/>
      <c r="AD2468" s="12"/>
      <c r="AE2468" s="12"/>
      <c r="AF2468" s="12"/>
    </row>
    <row r="2469" customFormat="false" ht="15.75" hidden="false" customHeight="true" outlineLevel="0" collapsed="false">
      <c r="A2469" s="12"/>
      <c r="B2469" s="12"/>
      <c r="C2469" s="12"/>
      <c r="D2469" s="12"/>
      <c r="E2469" s="12"/>
      <c r="F2469" s="12"/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  <c r="R2469" s="12"/>
      <c r="S2469" s="2"/>
      <c r="T2469" s="2"/>
      <c r="U2469" s="12"/>
      <c r="V2469" s="12"/>
      <c r="W2469" s="12"/>
      <c r="X2469" s="12"/>
      <c r="Y2469" s="12"/>
      <c r="Z2469" s="12"/>
      <c r="AA2469" s="12"/>
      <c r="AB2469" s="12"/>
      <c r="AC2469" s="12"/>
      <c r="AD2469" s="12"/>
      <c r="AE2469" s="12"/>
      <c r="AF2469" s="12"/>
    </row>
    <row r="2470" customFormat="false" ht="15.75" hidden="false" customHeight="true" outlineLevel="0" collapsed="false">
      <c r="A2470" s="12"/>
      <c r="B2470" s="12"/>
      <c r="C2470" s="12"/>
      <c r="D2470" s="12"/>
      <c r="E2470" s="12"/>
      <c r="F2470" s="12"/>
      <c r="G2470" s="12"/>
      <c r="H2470" s="12"/>
      <c r="I2470" s="12"/>
      <c r="J2470" s="12"/>
      <c r="K2470" s="12"/>
      <c r="L2470" s="12"/>
      <c r="M2470" s="12"/>
      <c r="N2470" s="12"/>
      <c r="O2470" s="12"/>
      <c r="P2470" s="12"/>
      <c r="Q2470" s="12"/>
      <c r="R2470" s="12"/>
      <c r="S2470" s="2"/>
      <c r="T2470" s="2"/>
      <c r="U2470" s="12"/>
      <c r="V2470" s="12"/>
      <c r="W2470" s="12"/>
      <c r="X2470" s="12"/>
      <c r="Y2470" s="12"/>
      <c r="Z2470" s="12"/>
      <c r="AA2470" s="12"/>
      <c r="AB2470" s="12"/>
      <c r="AC2470" s="12"/>
      <c r="AD2470" s="12"/>
      <c r="AE2470" s="12"/>
      <c r="AF2470" s="12"/>
    </row>
    <row r="2471" customFormat="false" ht="15.75" hidden="false" customHeight="true" outlineLevel="0" collapsed="false">
      <c r="A2471" s="12"/>
      <c r="B2471" s="12"/>
      <c r="C2471" s="12"/>
      <c r="D2471" s="12"/>
      <c r="E2471" s="12"/>
      <c r="F2471" s="12"/>
      <c r="G2471" s="12"/>
      <c r="H2471" s="12"/>
      <c r="I2471" s="12"/>
      <c r="J2471" s="12"/>
      <c r="K2471" s="12"/>
      <c r="L2471" s="12"/>
      <c r="M2471" s="12"/>
      <c r="N2471" s="12"/>
      <c r="O2471" s="12"/>
      <c r="P2471" s="12"/>
      <c r="Q2471" s="12"/>
      <c r="R2471" s="12"/>
      <c r="S2471" s="2"/>
      <c r="T2471" s="2"/>
      <c r="U2471" s="12"/>
      <c r="V2471" s="12"/>
      <c r="W2471" s="12"/>
      <c r="X2471" s="12"/>
      <c r="Y2471" s="12"/>
      <c r="Z2471" s="12"/>
      <c r="AA2471" s="12"/>
      <c r="AB2471" s="12"/>
      <c r="AC2471" s="12"/>
      <c r="AD2471" s="12"/>
      <c r="AE2471" s="12"/>
      <c r="AF2471" s="12"/>
    </row>
    <row r="2472" customFormat="false" ht="15.75" hidden="false" customHeight="true" outlineLevel="0" collapsed="false">
      <c r="A2472" s="12"/>
      <c r="B2472" s="12"/>
      <c r="C2472" s="12"/>
      <c r="D2472" s="12"/>
      <c r="E2472" s="12"/>
      <c r="F2472" s="12"/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  <c r="R2472" s="12"/>
      <c r="S2472" s="2"/>
      <c r="T2472" s="2"/>
      <c r="U2472" s="12"/>
      <c r="V2472" s="12"/>
      <c r="W2472" s="12"/>
      <c r="X2472" s="12"/>
      <c r="Y2472" s="12"/>
      <c r="Z2472" s="12"/>
      <c r="AA2472" s="12"/>
      <c r="AB2472" s="12"/>
      <c r="AC2472" s="12"/>
      <c r="AD2472" s="12"/>
      <c r="AE2472" s="12"/>
      <c r="AF2472" s="12"/>
    </row>
    <row r="2473" customFormat="false" ht="15.75" hidden="false" customHeight="true" outlineLevel="0" collapsed="false">
      <c r="A2473" s="12"/>
      <c r="B2473" s="12"/>
      <c r="C2473" s="12"/>
      <c r="D2473" s="12"/>
      <c r="E2473" s="12"/>
      <c r="F2473" s="12"/>
      <c r="G2473" s="12"/>
      <c r="H2473" s="12"/>
      <c r="I2473" s="12"/>
      <c r="J2473" s="12"/>
      <c r="K2473" s="12"/>
      <c r="L2473" s="12"/>
      <c r="M2473" s="12"/>
      <c r="N2473" s="12"/>
      <c r="O2473" s="12"/>
      <c r="P2473" s="12"/>
      <c r="Q2473" s="12"/>
      <c r="R2473" s="12"/>
      <c r="S2473" s="2"/>
      <c r="T2473" s="2"/>
      <c r="U2473" s="12"/>
      <c r="V2473" s="12"/>
      <c r="W2473" s="12"/>
      <c r="X2473" s="12"/>
      <c r="Y2473" s="12"/>
      <c r="Z2473" s="12"/>
      <c r="AA2473" s="12"/>
      <c r="AB2473" s="12"/>
      <c r="AC2473" s="12"/>
      <c r="AD2473" s="12"/>
      <c r="AE2473" s="12"/>
      <c r="AF2473" s="12"/>
    </row>
    <row r="2474" customFormat="false" ht="15.75" hidden="false" customHeight="true" outlineLevel="0" collapsed="false">
      <c r="A2474" s="12"/>
      <c r="B2474" s="12"/>
      <c r="C2474" s="12"/>
      <c r="D2474" s="12"/>
      <c r="E2474" s="12"/>
      <c r="F2474" s="12"/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  <c r="R2474" s="12"/>
      <c r="S2474" s="2"/>
      <c r="T2474" s="2"/>
      <c r="U2474" s="12"/>
      <c r="V2474" s="12"/>
      <c r="W2474" s="12"/>
      <c r="X2474" s="12"/>
      <c r="Y2474" s="12"/>
      <c r="Z2474" s="12"/>
      <c r="AA2474" s="12"/>
      <c r="AB2474" s="12"/>
      <c r="AC2474" s="12"/>
      <c r="AD2474" s="12"/>
      <c r="AE2474" s="12"/>
      <c r="AF2474" s="12"/>
    </row>
    <row r="2475" customFormat="false" ht="15.75" hidden="false" customHeight="true" outlineLevel="0" collapsed="false">
      <c r="A2475" s="12"/>
      <c r="B2475" s="12"/>
      <c r="C2475" s="12"/>
      <c r="D2475" s="12"/>
      <c r="E2475" s="12"/>
      <c r="F2475" s="12"/>
      <c r="G2475" s="12"/>
      <c r="H2475" s="12"/>
      <c r="I2475" s="12"/>
      <c r="J2475" s="12"/>
      <c r="K2475" s="12"/>
      <c r="L2475" s="12"/>
      <c r="M2475" s="12"/>
      <c r="N2475" s="12"/>
      <c r="O2475" s="12"/>
      <c r="P2475" s="12"/>
      <c r="Q2475" s="12"/>
      <c r="R2475" s="12"/>
      <c r="S2475" s="2"/>
      <c r="T2475" s="2"/>
      <c r="U2475" s="12"/>
      <c r="V2475" s="12"/>
      <c r="W2475" s="12"/>
      <c r="X2475" s="12"/>
      <c r="Y2475" s="12"/>
      <c r="Z2475" s="12"/>
      <c r="AA2475" s="12"/>
      <c r="AB2475" s="12"/>
      <c r="AC2475" s="12"/>
      <c r="AD2475" s="12"/>
      <c r="AE2475" s="12"/>
      <c r="AF2475" s="12"/>
    </row>
    <row r="2476" customFormat="false" ht="15.75" hidden="false" customHeight="true" outlineLevel="0" collapsed="false">
      <c r="A2476" s="12"/>
      <c r="B2476" s="12"/>
      <c r="C2476" s="12"/>
      <c r="D2476" s="12"/>
      <c r="E2476" s="12"/>
      <c r="F2476" s="12"/>
      <c r="G2476" s="12"/>
      <c r="H2476" s="12"/>
      <c r="I2476" s="12"/>
      <c r="J2476" s="12"/>
      <c r="K2476" s="12"/>
      <c r="L2476" s="12"/>
      <c r="M2476" s="12"/>
      <c r="N2476" s="12"/>
      <c r="O2476" s="12"/>
      <c r="P2476" s="12"/>
      <c r="Q2476" s="12"/>
      <c r="R2476" s="12"/>
      <c r="S2476" s="2"/>
      <c r="T2476" s="2"/>
      <c r="U2476" s="12"/>
      <c r="V2476" s="12"/>
      <c r="W2476" s="12"/>
      <c r="X2476" s="12"/>
      <c r="Y2476" s="12"/>
      <c r="Z2476" s="12"/>
      <c r="AA2476" s="12"/>
      <c r="AB2476" s="12"/>
      <c r="AC2476" s="12"/>
      <c r="AD2476" s="12"/>
      <c r="AE2476" s="12"/>
      <c r="AF2476" s="12"/>
    </row>
    <row r="2477" customFormat="false" ht="15.75" hidden="false" customHeight="true" outlineLevel="0" collapsed="false">
      <c r="A2477" s="12"/>
      <c r="B2477" s="12"/>
      <c r="C2477" s="12"/>
      <c r="D2477" s="12"/>
      <c r="E2477" s="12"/>
      <c r="F2477" s="12"/>
      <c r="G2477" s="12"/>
      <c r="H2477" s="12"/>
      <c r="I2477" s="12"/>
      <c r="J2477" s="12"/>
      <c r="K2477" s="12"/>
      <c r="L2477" s="12"/>
      <c r="M2477" s="12"/>
      <c r="N2477" s="12"/>
      <c r="O2477" s="12"/>
      <c r="P2477" s="12"/>
      <c r="Q2477" s="12"/>
      <c r="R2477" s="12"/>
      <c r="S2477" s="2"/>
      <c r="T2477" s="2"/>
      <c r="U2477" s="12"/>
      <c r="V2477" s="12"/>
      <c r="W2477" s="12"/>
      <c r="X2477" s="12"/>
      <c r="Y2477" s="12"/>
      <c r="Z2477" s="12"/>
      <c r="AA2477" s="12"/>
      <c r="AB2477" s="12"/>
      <c r="AC2477" s="12"/>
      <c r="AD2477" s="12"/>
      <c r="AE2477" s="12"/>
      <c r="AF2477" s="12"/>
    </row>
    <row r="2478" customFormat="false" ht="15.75" hidden="false" customHeight="true" outlineLevel="0" collapsed="false">
      <c r="A2478" s="12"/>
      <c r="B2478" s="12"/>
      <c r="C2478" s="12"/>
      <c r="D2478" s="12"/>
      <c r="E2478" s="12"/>
      <c r="F2478" s="12"/>
      <c r="G2478" s="12"/>
      <c r="H2478" s="12"/>
      <c r="I2478" s="12"/>
      <c r="J2478" s="12"/>
      <c r="K2478" s="12"/>
      <c r="L2478" s="12"/>
      <c r="M2478" s="12"/>
      <c r="N2478" s="12"/>
      <c r="O2478" s="12"/>
      <c r="P2478" s="12"/>
      <c r="Q2478" s="12"/>
      <c r="R2478" s="12"/>
      <c r="S2478" s="2"/>
      <c r="T2478" s="2"/>
      <c r="U2478" s="12"/>
      <c r="V2478" s="12"/>
      <c r="W2478" s="12"/>
      <c r="X2478" s="12"/>
      <c r="Y2478" s="12"/>
      <c r="Z2478" s="12"/>
      <c r="AA2478" s="12"/>
      <c r="AB2478" s="12"/>
      <c r="AC2478" s="12"/>
      <c r="AD2478" s="12"/>
      <c r="AE2478" s="12"/>
      <c r="AF2478" s="12"/>
    </row>
    <row r="2479" customFormat="false" ht="15.75" hidden="false" customHeight="true" outlineLevel="0" collapsed="false">
      <c r="A2479" s="12"/>
      <c r="B2479" s="12"/>
      <c r="C2479" s="12"/>
      <c r="D2479" s="12"/>
      <c r="E2479" s="12"/>
      <c r="F2479" s="12"/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12"/>
      <c r="R2479" s="12"/>
      <c r="S2479" s="2"/>
      <c r="T2479" s="2"/>
      <c r="U2479" s="12"/>
      <c r="V2479" s="12"/>
      <c r="W2479" s="12"/>
      <c r="X2479" s="12"/>
      <c r="Y2479" s="12"/>
      <c r="Z2479" s="12"/>
      <c r="AA2479" s="12"/>
      <c r="AB2479" s="12"/>
      <c r="AC2479" s="12"/>
      <c r="AD2479" s="12"/>
      <c r="AE2479" s="12"/>
      <c r="AF2479" s="12"/>
    </row>
    <row r="2480" customFormat="false" ht="15.75" hidden="false" customHeight="true" outlineLevel="0" collapsed="false">
      <c r="A2480" s="12"/>
      <c r="B2480" s="12"/>
      <c r="C2480" s="12"/>
      <c r="D2480" s="12"/>
      <c r="E2480" s="12"/>
      <c r="F2480" s="12"/>
      <c r="G2480" s="12"/>
      <c r="H2480" s="12"/>
      <c r="I2480" s="12"/>
      <c r="J2480" s="12"/>
      <c r="K2480" s="12"/>
      <c r="L2480" s="12"/>
      <c r="M2480" s="12"/>
      <c r="N2480" s="12"/>
      <c r="O2480" s="12"/>
      <c r="P2480" s="12"/>
      <c r="Q2480" s="12"/>
      <c r="R2480" s="12"/>
      <c r="S2480" s="2"/>
      <c r="T2480" s="2"/>
      <c r="U2480" s="12"/>
      <c r="V2480" s="12"/>
      <c r="W2480" s="12"/>
      <c r="X2480" s="12"/>
      <c r="Y2480" s="12"/>
      <c r="Z2480" s="12"/>
      <c r="AA2480" s="12"/>
      <c r="AB2480" s="12"/>
      <c r="AC2480" s="12"/>
      <c r="AD2480" s="12"/>
      <c r="AE2480" s="12"/>
      <c r="AF2480" s="12"/>
    </row>
    <row r="2481" customFormat="false" ht="15.75" hidden="false" customHeight="true" outlineLevel="0" collapsed="false">
      <c r="A2481" s="12"/>
      <c r="B2481" s="12"/>
      <c r="C2481" s="12"/>
      <c r="D2481" s="12"/>
      <c r="E2481" s="12"/>
      <c r="F2481" s="12"/>
      <c r="G2481" s="12"/>
      <c r="H2481" s="12"/>
      <c r="I2481" s="12"/>
      <c r="J2481" s="12"/>
      <c r="K2481" s="12"/>
      <c r="L2481" s="12"/>
      <c r="M2481" s="12"/>
      <c r="N2481" s="12"/>
      <c r="O2481" s="12"/>
      <c r="P2481" s="12"/>
      <c r="Q2481" s="12"/>
      <c r="R2481" s="12"/>
      <c r="S2481" s="2"/>
      <c r="T2481" s="2"/>
      <c r="U2481" s="12"/>
      <c r="V2481" s="12"/>
      <c r="W2481" s="12"/>
      <c r="X2481" s="12"/>
      <c r="Y2481" s="12"/>
      <c r="Z2481" s="12"/>
      <c r="AA2481" s="12"/>
      <c r="AB2481" s="12"/>
      <c r="AC2481" s="12"/>
      <c r="AD2481" s="12"/>
      <c r="AE2481" s="12"/>
      <c r="AF2481" s="12"/>
    </row>
    <row r="2482" customFormat="false" ht="15.75" hidden="false" customHeight="true" outlineLevel="0" collapsed="false">
      <c r="A2482" s="12"/>
      <c r="B2482" s="12"/>
      <c r="C2482" s="12"/>
      <c r="D2482" s="12"/>
      <c r="E2482" s="12"/>
      <c r="F2482" s="12"/>
      <c r="G2482" s="12"/>
      <c r="H2482" s="12"/>
      <c r="I2482" s="12"/>
      <c r="J2482" s="12"/>
      <c r="K2482" s="12"/>
      <c r="L2482" s="12"/>
      <c r="M2482" s="12"/>
      <c r="N2482" s="12"/>
      <c r="O2482" s="12"/>
      <c r="P2482" s="12"/>
      <c r="Q2482" s="12"/>
      <c r="R2482" s="12"/>
      <c r="S2482" s="2"/>
      <c r="T2482" s="2"/>
      <c r="U2482" s="12"/>
      <c r="V2482" s="12"/>
      <c r="W2482" s="12"/>
      <c r="X2482" s="12"/>
      <c r="Y2482" s="12"/>
      <c r="Z2482" s="12"/>
      <c r="AA2482" s="12"/>
      <c r="AB2482" s="12"/>
      <c r="AC2482" s="12"/>
      <c r="AD2482" s="12"/>
      <c r="AE2482" s="12"/>
      <c r="AF2482" s="12"/>
    </row>
    <row r="2483" customFormat="false" ht="15.75" hidden="false" customHeight="true" outlineLevel="0" collapsed="false">
      <c r="A2483" s="12"/>
      <c r="B2483" s="12"/>
      <c r="C2483" s="12"/>
      <c r="D2483" s="12"/>
      <c r="E2483" s="12"/>
      <c r="F2483" s="12"/>
      <c r="G2483" s="12"/>
      <c r="H2483" s="12"/>
      <c r="I2483" s="12"/>
      <c r="J2483" s="12"/>
      <c r="K2483" s="12"/>
      <c r="L2483" s="12"/>
      <c r="M2483" s="12"/>
      <c r="N2483" s="12"/>
      <c r="O2483" s="12"/>
      <c r="P2483" s="12"/>
      <c r="Q2483" s="12"/>
      <c r="R2483" s="12"/>
      <c r="S2483" s="2"/>
      <c r="T2483" s="2"/>
      <c r="U2483" s="12"/>
      <c r="V2483" s="12"/>
      <c r="W2483" s="12"/>
      <c r="X2483" s="12"/>
      <c r="Y2483" s="12"/>
      <c r="Z2483" s="12"/>
      <c r="AA2483" s="12"/>
      <c r="AB2483" s="12"/>
      <c r="AC2483" s="12"/>
      <c r="AD2483" s="12"/>
      <c r="AE2483" s="12"/>
      <c r="AF2483" s="12"/>
    </row>
    <row r="2484" customFormat="false" ht="15.75" hidden="false" customHeight="true" outlineLevel="0" collapsed="false">
      <c r="A2484" s="12"/>
      <c r="B2484" s="12"/>
      <c r="C2484" s="12"/>
      <c r="D2484" s="12"/>
      <c r="E2484" s="12"/>
      <c r="F2484" s="12"/>
      <c r="G2484" s="12"/>
      <c r="H2484" s="12"/>
      <c r="I2484" s="12"/>
      <c r="J2484" s="12"/>
      <c r="K2484" s="12"/>
      <c r="L2484" s="12"/>
      <c r="M2484" s="12"/>
      <c r="N2484" s="12"/>
      <c r="O2484" s="12"/>
      <c r="P2484" s="12"/>
      <c r="Q2484" s="12"/>
      <c r="R2484" s="12"/>
      <c r="S2484" s="2"/>
      <c r="T2484" s="2"/>
      <c r="U2484" s="12"/>
      <c r="V2484" s="12"/>
      <c r="W2484" s="12"/>
      <c r="X2484" s="12"/>
      <c r="Y2484" s="12"/>
      <c r="Z2484" s="12"/>
      <c r="AA2484" s="12"/>
      <c r="AB2484" s="12"/>
      <c r="AC2484" s="12"/>
      <c r="AD2484" s="12"/>
      <c r="AE2484" s="12"/>
      <c r="AF2484" s="12"/>
    </row>
    <row r="2485" customFormat="false" ht="15.75" hidden="false" customHeight="true" outlineLevel="0" collapsed="false">
      <c r="A2485" s="12"/>
      <c r="B2485" s="12"/>
      <c r="C2485" s="12"/>
      <c r="D2485" s="12"/>
      <c r="E2485" s="12"/>
      <c r="F2485" s="12"/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  <c r="R2485" s="12"/>
      <c r="S2485" s="2"/>
      <c r="T2485" s="2"/>
      <c r="U2485" s="12"/>
      <c r="V2485" s="12"/>
      <c r="W2485" s="12"/>
      <c r="X2485" s="12"/>
      <c r="Y2485" s="12"/>
      <c r="Z2485" s="12"/>
      <c r="AA2485" s="12"/>
      <c r="AB2485" s="12"/>
      <c r="AC2485" s="12"/>
      <c r="AD2485" s="12"/>
      <c r="AE2485" s="12"/>
      <c r="AF2485" s="12"/>
    </row>
    <row r="2486" customFormat="false" ht="15.75" hidden="false" customHeight="true" outlineLevel="0" collapsed="false">
      <c r="A2486" s="12"/>
      <c r="B2486" s="12"/>
      <c r="C2486" s="12"/>
      <c r="D2486" s="12"/>
      <c r="E2486" s="12"/>
      <c r="F2486" s="12"/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  <c r="R2486" s="12"/>
      <c r="S2486" s="2"/>
      <c r="T2486" s="2"/>
      <c r="U2486" s="12"/>
      <c r="V2486" s="12"/>
      <c r="W2486" s="12"/>
      <c r="X2486" s="12"/>
      <c r="Y2486" s="12"/>
      <c r="Z2486" s="12"/>
      <c r="AA2486" s="12"/>
      <c r="AB2486" s="12"/>
      <c r="AC2486" s="12"/>
      <c r="AD2486" s="12"/>
      <c r="AE2486" s="12"/>
      <c r="AF2486" s="12"/>
    </row>
    <row r="2487" customFormat="false" ht="15.75" hidden="false" customHeight="true" outlineLevel="0" collapsed="false">
      <c r="A2487" s="12"/>
      <c r="B2487" s="12"/>
      <c r="C2487" s="12"/>
      <c r="D2487" s="12"/>
      <c r="E2487" s="12"/>
      <c r="F2487" s="12"/>
      <c r="G2487" s="12"/>
      <c r="H2487" s="12"/>
      <c r="I2487" s="12"/>
      <c r="J2487" s="12"/>
      <c r="K2487" s="12"/>
      <c r="L2487" s="12"/>
      <c r="M2487" s="12"/>
      <c r="N2487" s="12"/>
      <c r="O2487" s="12"/>
      <c r="P2487" s="12"/>
      <c r="Q2487" s="12"/>
      <c r="R2487" s="12"/>
      <c r="S2487" s="2"/>
      <c r="T2487" s="2"/>
      <c r="U2487" s="12"/>
      <c r="V2487" s="12"/>
      <c r="W2487" s="12"/>
      <c r="X2487" s="12"/>
      <c r="Y2487" s="12"/>
      <c r="Z2487" s="12"/>
      <c r="AA2487" s="12"/>
      <c r="AB2487" s="12"/>
      <c r="AC2487" s="12"/>
      <c r="AD2487" s="12"/>
      <c r="AE2487" s="12"/>
      <c r="AF2487" s="12"/>
    </row>
    <row r="2488" customFormat="false" ht="15.75" hidden="false" customHeight="true" outlineLevel="0" collapsed="false">
      <c r="A2488" s="12"/>
      <c r="B2488" s="12"/>
      <c r="C2488" s="12"/>
      <c r="D2488" s="12"/>
      <c r="E2488" s="12"/>
      <c r="F2488" s="12"/>
      <c r="G2488" s="12"/>
      <c r="H2488" s="12"/>
      <c r="I2488" s="12"/>
      <c r="J2488" s="12"/>
      <c r="K2488" s="12"/>
      <c r="L2488" s="12"/>
      <c r="M2488" s="12"/>
      <c r="N2488" s="12"/>
      <c r="O2488" s="12"/>
      <c r="P2488" s="12"/>
      <c r="Q2488" s="12"/>
      <c r="R2488" s="12"/>
      <c r="S2488" s="2"/>
      <c r="T2488" s="2"/>
      <c r="U2488" s="12"/>
      <c r="V2488" s="12"/>
      <c r="W2488" s="12"/>
      <c r="X2488" s="12"/>
      <c r="Y2488" s="12"/>
      <c r="Z2488" s="12"/>
      <c r="AA2488" s="12"/>
      <c r="AB2488" s="12"/>
      <c r="AC2488" s="12"/>
      <c r="AD2488" s="12"/>
      <c r="AE2488" s="12"/>
      <c r="AF2488" s="12"/>
    </row>
    <row r="2489" customFormat="false" ht="15.75" hidden="false" customHeight="true" outlineLevel="0" collapsed="false">
      <c r="A2489" s="12"/>
      <c r="B2489" s="12"/>
      <c r="C2489" s="12"/>
      <c r="D2489" s="12"/>
      <c r="E2489" s="12"/>
      <c r="F2489" s="12"/>
      <c r="G2489" s="12"/>
      <c r="H2489" s="12"/>
      <c r="I2489" s="12"/>
      <c r="J2489" s="12"/>
      <c r="K2489" s="12"/>
      <c r="L2489" s="12"/>
      <c r="M2489" s="12"/>
      <c r="N2489" s="12"/>
      <c r="O2489" s="12"/>
      <c r="P2489" s="12"/>
      <c r="Q2489" s="12"/>
      <c r="R2489" s="12"/>
      <c r="S2489" s="2"/>
      <c r="T2489" s="2"/>
      <c r="U2489" s="12"/>
      <c r="V2489" s="12"/>
      <c r="W2489" s="12"/>
      <c r="X2489" s="12"/>
      <c r="Y2489" s="12"/>
      <c r="Z2489" s="12"/>
      <c r="AA2489" s="12"/>
      <c r="AB2489" s="12"/>
      <c r="AC2489" s="12"/>
      <c r="AD2489" s="12"/>
      <c r="AE2489" s="12"/>
      <c r="AF2489" s="12"/>
    </row>
    <row r="2490" customFormat="false" ht="15.75" hidden="false" customHeight="true" outlineLevel="0" collapsed="false">
      <c r="A2490" s="12"/>
      <c r="B2490" s="12"/>
      <c r="C2490" s="12"/>
      <c r="D2490" s="12"/>
      <c r="E2490" s="12"/>
      <c r="F2490" s="12"/>
      <c r="G2490" s="12"/>
      <c r="H2490" s="12"/>
      <c r="I2490" s="12"/>
      <c r="J2490" s="12"/>
      <c r="K2490" s="12"/>
      <c r="L2490" s="12"/>
      <c r="M2490" s="12"/>
      <c r="N2490" s="12"/>
      <c r="O2490" s="12"/>
      <c r="P2490" s="12"/>
      <c r="Q2490" s="12"/>
      <c r="R2490" s="12"/>
      <c r="S2490" s="2"/>
      <c r="T2490" s="2"/>
      <c r="U2490" s="12"/>
      <c r="V2490" s="12"/>
      <c r="W2490" s="12"/>
      <c r="X2490" s="12"/>
      <c r="Y2490" s="12"/>
      <c r="Z2490" s="12"/>
      <c r="AA2490" s="12"/>
      <c r="AB2490" s="12"/>
      <c r="AC2490" s="12"/>
      <c r="AD2490" s="12"/>
      <c r="AE2490" s="12"/>
      <c r="AF2490" s="12"/>
    </row>
    <row r="2491" customFormat="false" ht="15.75" hidden="false" customHeight="true" outlineLevel="0" collapsed="false">
      <c r="A2491" s="12"/>
      <c r="B2491" s="12"/>
      <c r="C2491" s="12"/>
      <c r="D2491" s="12"/>
      <c r="E2491" s="12"/>
      <c r="F2491" s="12"/>
      <c r="G2491" s="12"/>
      <c r="H2491" s="12"/>
      <c r="I2491" s="12"/>
      <c r="J2491" s="12"/>
      <c r="K2491" s="12"/>
      <c r="L2491" s="12"/>
      <c r="M2491" s="12"/>
      <c r="N2491" s="12"/>
      <c r="O2491" s="12"/>
      <c r="P2491" s="12"/>
      <c r="Q2491" s="12"/>
      <c r="R2491" s="12"/>
      <c r="S2491" s="2"/>
      <c r="T2491" s="2"/>
      <c r="U2491" s="12"/>
      <c r="V2491" s="12"/>
      <c r="W2491" s="12"/>
      <c r="X2491" s="12"/>
      <c r="Y2491" s="12"/>
      <c r="Z2491" s="12"/>
      <c r="AA2491" s="12"/>
      <c r="AB2491" s="12"/>
      <c r="AC2491" s="12"/>
      <c r="AD2491" s="12"/>
      <c r="AE2491" s="12"/>
      <c r="AF2491" s="12"/>
    </row>
    <row r="2492" customFormat="false" ht="15.75" hidden="false" customHeight="true" outlineLevel="0" collapsed="false">
      <c r="A2492" s="12"/>
      <c r="B2492" s="12"/>
      <c r="C2492" s="12"/>
      <c r="D2492" s="12"/>
      <c r="E2492" s="12"/>
      <c r="F2492" s="12"/>
      <c r="G2492" s="12"/>
      <c r="H2492" s="12"/>
      <c r="I2492" s="12"/>
      <c r="J2492" s="12"/>
      <c r="K2492" s="12"/>
      <c r="L2492" s="12"/>
      <c r="M2492" s="12"/>
      <c r="N2492" s="12"/>
      <c r="O2492" s="12"/>
      <c r="P2492" s="12"/>
      <c r="Q2492" s="12"/>
      <c r="R2492" s="12"/>
      <c r="S2492" s="2"/>
      <c r="T2492" s="2"/>
      <c r="U2492" s="12"/>
      <c r="V2492" s="12"/>
      <c r="W2492" s="12"/>
      <c r="X2492" s="12"/>
      <c r="Y2492" s="12"/>
      <c r="Z2492" s="12"/>
      <c r="AA2492" s="12"/>
      <c r="AB2492" s="12"/>
      <c r="AC2492" s="12"/>
      <c r="AD2492" s="12"/>
      <c r="AE2492" s="12"/>
      <c r="AF2492" s="12"/>
    </row>
    <row r="2493" customFormat="false" ht="15.75" hidden="false" customHeight="true" outlineLevel="0" collapsed="false">
      <c r="A2493" s="12"/>
      <c r="B2493" s="12"/>
      <c r="C2493" s="12"/>
      <c r="D2493" s="12"/>
      <c r="E2493" s="12"/>
      <c r="F2493" s="12"/>
      <c r="G2493" s="12"/>
      <c r="H2493" s="12"/>
      <c r="I2493" s="12"/>
      <c r="J2493" s="12"/>
      <c r="K2493" s="12"/>
      <c r="L2493" s="12"/>
      <c r="M2493" s="12"/>
      <c r="N2493" s="12"/>
      <c r="O2493" s="12"/>
      <c r="P2493" s="12"/>
      <c r="Q2493" s="12"/>
      <c r="R2493" s="12"/>
      <c r="S2493" s="2"/>
      <c r="T2493" s="2"/>
      <c r="U2493" s="12"/>
      <c r="V2493" s="12"/>
      <c r="W2493" s="12"/>
      <c r="X2493" s="12"/>
      <c r="Y2493" s="12"/>
      <c r="Z2493" s="12"/>
      <c r="AA2493" s="12"/>
      <c r="AB2493" s="12"/>
      <c r="AC2493" s="12"/>
      <c r="AD2493" s="12"/>
      <c r="AE2493" s="12"/>
      <c r="AF2493" s="12"/>
    </row>
    <row r="2494" customFormat="false" ht="15.75" hidden="false" customHeight="true" outlineLevel="0" collapsed="false">
      <c r="A2494" s="12"/>
      <c r="B2494" s="12"/>
      <c r="C2494" s="12"/>
      <c r="D2494" s="12"/>
      <c r="E2494" s="12"/>
      <c r="F2494" s="12"/>
      <c r="G2494" s="12"/>
      <c r="H2494" s="12"/>
      <c r="I2494" s="12"/>
      <c r="J2494" s="12"/>
      <c r="K2494" s="12"/>
      <c r="L2494" s="12"/>
      <c r="M2494" s="12"/>
      <c r="N2494" s="12"/>
      <c r="O2494" s="12"/>
      <c r="P2494" s="12"/>
      <c r="Q2494" s="12"/>
      <c r="R2494" s="12"/>
      <c r="S2494" s="2"/>
      <c r="T2494" s="2"/>
      <c r="U2494" s="12"/>
      <c r="V2494" s="12"/>
      <c r="W2494" s="12"/>
      <c r="X2494" s="12"/>
      <c r="Y2494" s="12"/>
      <c r="Z2494" s="12"/>
      <c r="AA2494" s="12"/>
      <c r="AB2494" s="12"/>
      <c r="AC2494" s="12"/>
      <c r="AD2494" s="12"/>
      <c r="AE2494" s="12"/>
      <c r="AF2494" s="12"/>
    </row>
    <row r="2495" customFormat="false" ht="15.75" hidden="false" customHeight="true" outlineLevel="0" collapsed="false">
      <c r="A2495" s="12"/>
      <c r="B2495" s="12"/>
      <c r="C2495" s="12"/>
      <c r="D2495" s="12"/>
      <c r="E2495" s="12"/>
      <c r="F2495" s="12"/>
      <c r="G2495" s="12"/>
      <c r="H2495" s="12"/>
      <c r="I2495" s="12"/>
      <c r="J2495" s="12"/>
      <c r="K2495" s="12"/>
      <c r="L2495" s="12"/>
      <c r="M2495" s="12"/>
      <c r="N2495" s="12"/>
      <c r="O2495" s="12"/>
      <c r="P2495" s="12"/>
      <c r="Q2495" s="12"/>
      <c r="R2495" s="12"/>
      <c r="S2495" s="2"/>
      <c r="T2495" s="2"/>
      <c r="U2495" s="12"/>
      <c r="V2495" s="12"/>
      <c r="W2495" s="12"/>
      <c r="X2495" s="12"/>
      <c r="Y2495" s="12"/>
      <c r="Z2495" s="12"/>
      <c r="AA2495" s="12"/>
      <c r="AB2495" s="12"/>
      <c r="AC2495" s="12"/>
      <c r="AD2495" s="12"/>
      <c r="AE2495" s="12"/>
      <c r="AF2495" s="12"/>
    </row>
    <row r="2496" customFormat="false" ht="15.75" hidden="false" customHeight="true" outlineLevel="0" collapsed="false">
      <c r="A2496" s="12"/>
      <c r="B2496" s="12"/>
      <c r="C2496" s="12"/>
      <c r="D2496" s="12"/>
      <c r="E2496" s="12"/>
      <c r="F2496" s="12"/>
      <c r="G2496" s="12"/>
      <c r="H2496" s="12"/>
      <c r="I2496" s="12"/>
      <c r="J2496" s="12"/>
      <c r="K2496" s="12"/>
      <c r="L2496" s="12"/>
      <c r="M2496" s="12"/>
      <c r="N2496" s="12"/>
      <c r="O2496" s="12"/>
      <c r="P2496" s="12"/>
      <c r="Q2496" s="12"/>
      <c r="R2496" s="12"/>
      <c r="S2496" s="2"/>
      <c r="T2496" s="2"/>
      <c r="U2496" s="12"/>
      <c r="V2496" s="12"/>
      <c r="W2496" s="12"/>
      <c r="X2496" s="12"/>
      <c r="Y2496" s="12"/>
      <c r="Z2496" s="12"/>
      <c r="AA2496" s="12"/>
      <c r="AB2496" s="12"/>
      <c r="AC2496" s="12"/>
      <c r="AD2496" s="12"/>
      <c r="AE2496" s="12"/>
      <c r="AF2496" s="12"/>
    </row>
    <row r="2497" customFormat="false" ht="15.75" hidden="false" customHeight="true" outlineLevel="0" collapsed="false">
      <c r="A2497" s="12"/>
      <c r="B2497" s="12"/>
      <c r="C2497" s="12"/>
      <c r="D2497" s="12"/>
      <c r="E2497" s="12"/>
      <c r="F2497" s="12"/>
      <c r="G2497" s="12"/>
      <c r="H2497" s="12"/>
      <c r="I2497" s="12"/>
      <c r="J2497" s="12"/>
      <c r="K2497" s="12"/>
      <c r="L2497" s="12"/>
      <c r="M2497" s="12"/>
      <c r="N2497" s="12"/>
      <c r="O2497" s="12"/>
      <c r="P2497" s="12"/>
      <c r="Q2497" s="12"/>
      <c r="R2497" s="12"/>
      <c r="S2497" s="2"/>
      <c r="T2497" s="2"/>
      <c r="U2497" s="12"/>
      <c r="V2497" s="12"/>
      <c r="W2497" s="12"/>
      <c r="X2497" s="12"/>
      <c r="Y2497" s="12"/>
      <c r="Z2497" s="12"/>
      <c r="AA2497" s="12"/>
      <c r="AB2497" s="12"/>
      <c r="AC2497" s="12"/>
      <c r="AD2497" s="12"/>
      <c r="AE2497" s="12"/>
      <c r="AF2497" s="12"/>
    </row>
    <row r="2498" customFormat="false" ht="15.75" hidden="false" customHeight="true" outlineLevel="0" collapsed="false">
      <c r="A2498" s="12"/>
      <c r="B2498" s="12"/>
      <c r="C2498" s="12"/>
      <c r="D2498" s="12"/>
      <c r="E2498" s="12"/>
      <c r="F2498" s="12"/>
      <c r="G2498" s="12"/>
      <c r="H2498" s="12"/>
      <c r="I2498" s="12"/>
      <c r="J2498" s="12"/>
      <c r="K2498" s="12"/>
      <c r="L2498" s="12"/>
      <c r="M2498" s="12"/>
      <c r="N2498" s="12"/>
      <c r="O2498" s="12"/>
      <c r="P2498" s="12"/>
      <c r="Q2498" s="12"/>
      <c r="R2498" s="12"/>
      <c r="S2498" s="2"/>
      <c r="T2498" s="2"/>
      <c r="U2498" s="12"/>
      <c r="V2498" s="12"/>
      <c r="W2498" s="12"/>
      <c r="X2498" s="12"/>
      <c r="Y2498" s="12"/>
      <c r="Z2498" s="12"/>
      <c r="AA2498" s="12"/>
      <c r="AB2498" s="12"/>
      <c r="AC2498" s="12"/>
      <c r="AD2498" s="12"/>
      <c r="AE2498" s="12"/>
      <c r="AF2498" s="12"/>
    </row>
    <row r="2499" customFormat="false" ht="15.75" hidden="false" customHeight="true" outlineLevel="0" collapsed="false">
      <c r="A2499" s="12"/>
      <c r="B2499" s="12"/>
      <c r="C2499" s="12"/>
      <c r="D2499" s="12"/>
      <c r="E2499" s="12"/>
      <c r="F2499" s="12"/>
      <c r="G2499" s="12"/>
      <c r="H2499" s="12"/>
      <c r="I2499" s="12"/>
      <c r="J2499" s="12"/>
      <c r="K2499" s="12"/>
      <c r="L2499" s="12"/>
      <c r="M2499" s="12"/>
      <c r="N2499" s="12"/>
      <c r="O2499" s="12"/>
      <c r="P2499" s="12"/>
      <c r="Q2499" s="12"/>
      <c r="R2499" s="12"/>
      <c r="S2499" s="2"/>
      <c r="T2499" s="2"/>
      <c r="U2499" s="12"/>
      <c r="V2499" s="12"/>
      <c r="W2499" s="12"/>
      <c r="X2499" s="12"/>
      <c r="Y2499" s="12"/>
      <c r="Z2499" s="12"/>
      <c r="AA2499" s="12"/>
      <c r="AB2499" s="12"/>
      <c r="AC2499" s="12"/>
      <c r="AD2499" s="12"/>
      <c r="AE2499" s="12"/>
      <c r="AF2499" s="12"/>
    </row>
    <row r="2500" customFormat="false" ht="15.75" hidden="false" customHeight="true" outlineLevel="0" collapsed="false">
      <c r="A2500" s="12"/>
      <c r="B2500" s="12"/>
      <c r="C2500" s="12"/>
      <c r="D2500" s="12"/>
      <c r="E2500" s="12"/>
      <c r="F2500" s="12"/>
      <c r="G2500" s="12"/>
      <c r="H2500" s="12"/>
      <c r="I2500" s="12"/>
      <c r="J2500" s="12"/>
      <c r="K2500" s="12"/>
      <c r="L2500" s="12"/>
      <c r="M2500" s="12"/>
      <c r="N2500" s="12"/>
      <c r="O2500" s="12"/>
      <c r="P2500" s="12"/>
      <c r="Q2500" s="12"/>
      <c r="R2500" s="12"/>
      <c r="S2500" s="2"/>
      <c r="T2500" s="2"/>
      <c r="U2500" s="12"/>
      <c r="V2500" s="12"/>
      <c r="W2500" s="12"/>
      <c r="X2500" s="12"/>
      <c r="Y2500" s="12"/>
      <c r="Z2500" s="12"/>
      <c r="AA2500" s="12"/>
      <c r="AB2500" s="12"/>
      <c r="AC2500" s="12"/>
      <c r="AD2500" s="12"/>
      <c r="AE2500" s="12"/>
      <c r="AF2500" s="12"/>
    </row>
    <row r="2501" customFormat="false" ht="15.75" hidden="false" customHeight="true" outlineLevel="0" collapsed="false">
      <c r="A2501" s="12"/>
      <c r="B2501" s="12"/>
      <c r="C2501" s="12"/>
      <c r="D2501" s="12"/>
      <c r="E2501" s="12"/>
      <c r="F2501" s="12"/>
      <c r="G2501" s="12"/>
      <c r="H2501" s="12"/>
      <c r="I2501" s="12"/>
      <c r="J2501" s="12"/>
      <c r="K2501" s="12"/>
      <c r="L2501" s="12"/>
      <c r="M2501" s="12"/>
      <c r="N2501" s="12"/>
      <c r="O2501" s="12"/>
      <c r="P2501" s="12"/>
      <c r="Q2501" s="12"/>
      <c r="R2501" s="12"/>
      <c r="S2501" s="2"/>
      <c r="T2501" s="2"/>
      <c r="U2501" s="12"/>
      <c r="V2501" s="12"/>
      <c r="W2501" s="12"/>
      <c r="X2501" s="12"/>
      <c r="Y2501" s="12"/>
      <c r="Z2501" s="12"/>
      <c r="AA2501" s="12"/>
      <c r="AB2501" s="12"/>
      <c r="AC2501" s="12"/>
      <c r="AD2501" s="12"/>
      <c r="AE2501" s="12"/>
      <c r="AF2501" s="12"/>
    </row>
    <row r="2502" customFormat="false" ht="15.75" hidden="false" customHeight="true" outlineLevel="0" collapsed="false">
      <c r="A2502" s="12"/>
      <c r="B2502" s="12"/>
      <c r="C2502" s="12"/>
      <c r="D2502" s="12"/>
      <c r="E2502" s="12"/>
      <c r="F2502" s="12"/>
      <c r="G2502" s="12"/>
      <c r="H2502" s="12"/>
      <c r="I2502" s="12"/>
      <c r="J2502" s="12"/>
      <c r="K2502" s="12"/>
      <c r="L2502" s="12"/>
      <c r="M2502" s="12"/>
      <c r="N2502" s="12"/>
      <c r="O2502" s="12"/>
      <c r="P2502" s="12"/>
      <c r="Q2502" s="12"/>
      <c r="R2502" s="12"/>
      <c r="S2502" s="2"/>
      <c r="T2502" s="2"/>
      <c r="U2502" s="12"/>
      <c r="V2502" s="12"/>
      <c r="W2502" s="12"/>
      <c r="X2502" s="12"/>
      <c r="Y2502" s="12"/>
      <c r="Z2502" s="12"/>
      <c r="AA2502" s="12"/>
      <c r="AB2502" s="12"/>
      <c r="AC2502" s="12"/>
      <c r="AD2502" s="12"/>
      <c r="AE2502" s="12"/>
      <c r="AF2502" s="12"/>
    </row>
    <row r="2503" customFormat="false" ht="15.75" hidden="false" customHeight="true" outlineLevel="0" collapsed="false">
      <c r="A2503" s="12"/>
      <c r="B2503" s="12"/>
      <c r="C2503" s="12"/>
      <c r="D2503" s="12"/>
      <c r="E2503" s="12"/>
      <c r="F2503" s="12"/>
      <c r="G2503" s="12"/>
      <c r="H2503" s="12"/>
      <c r="I2503" s="12"/>
      <c r="J2503" s="12"/>
      <c r="K2503" s="12"/>
      <c r="L2503" s="12"/>
      <c r="M2503" s="12"/>
      <c r="N2503" s="12"/>
      <c r="O2503" s="12"/>
      <c r="P2503" s="12"/>
      <c r="Q2503" s="12"/>
      <c r="R2503" s="12"/>
      <c r="S2503" s="2"/>
      <c r="T2503" s="2"/>
      <c r="U2503" s="12"/>
      <c r="V2503" s="12"/>
      <c r="W2503" s="12"/>
      <c r="X2503" s="12"/>
      <c r="Y2503" s="12"/>
      <c r="Z2503" s="12"/>
      <c r="AA2503" s="12"/>
      <c r="AB2503" s="12"/>
      <c r="AC2503" s="12"/>
      <c r="AD2503" s="12"/>
      <c r="AE2503" s="12"/>
      <c r="AF2503" s="12"/>
    </row>
    <row r="2504" customFormat="false" ht="15.75" hidden="false" customHeight="true" outlineLevel="0" collapsed="false">
      <c r="A2504" s="12"/>
      <c r="B2504" s="12"/>
      <c r="C2504" s="12"/>
      <c r="D2504" s="12"/>
      <c r="E2504" s="12"/>
      <c r="F2504" s="12"/>
      <c r="G2504" s="12"/>
      <c r="H2504" s="12"/>
      <c r="I2504" s="12"/>
      <c r="J2504" s="12"/>
      <c r="K2504" s="12"/>
      <c r="L2504" s="12"/>
      <c r="M2504" s="12"/>
      <c r="N2504" s="12"/>
      <c r="O2504" s="12"/>
      <c r="P2504" s="12"/>
      <c r="Q2504" s="12"/>
      <c r="R2504" s="12"/>
      <c r="S2504" s="2"/>
      <c r="T2504" s="2"/>
      <c r="U2504" s="12"/>
      <c r="V2504" s="12"/>
      <c r="W2504" s="12"/>
      <c r="X2504" s="12"/>
      <c r="Y2504" s="12"/>
      <c r="Z2504" s="12"/>
      <c r="AA2504" s="12"/>
      <c r="AB2504" s="12"/>
      <c r="AC2504" s="12"/>
      <c r="AD2504" s="12"/>
      <c r="AE2504" s="12"/>
      <c r="AF2504" s="12"/>
    </row>
    <row r="2505" customFormat="false" ht="15.75" hidden="false" customHeight="true" outlineLevel="0" collapsed="false">
      <c r="A2505" s="12"/>
      <c r="B2505" s="12"/>
      <c r="C2505" s="12"/>
      <c r="D2505" s="12"/>
      <c r="E2505" s="12"/>
      <c r="F2505" s="12"/>
      <c r="G2505" s="12"/>
      <c r="H2505" s="12"/>
      <c r="I2505" s="12"/>
      <c r="J2505" s="12"/>
      <c r="K2505" s="12"/>
      <c r="L2505" s="12"/>
      <c r="M2505" s="12"/>
      <c r="N2505" s="12"/>
      <c r="O2505" s="12"/>
      <c r="P2505" s="12"/>
      <c r="Q2505" s="12"/>
      <c r="R2505" s="12"/>
      <c r="S2505" s="2"/>
      <c r="T2505" s="2"/>
      <c r="U2505" s="12"/>
      <c r="V2505" s="12"/>
      <c r="W2505" s="12"/>
      <c r="X2505" s="12"/>
      <c r="Y2505" s="12"/>
      <c r="Z2505" s="12"/>
      <c r="AA2505" s="12"/>
      <c r="AB2505" s="12"/>
      <c r="AC2505" s="12"/>
      <c r="AD2505" s="12"/>
      <c r="AE2505" s="12"/>
      <c r="AF2505" s="12"/>
    </row>
    <row r="2506" customFormat="false" ht="15.75" hidden="false" customHeight="true" outlineLevel="0" collapsed="false">
      <c r="A2506" s="12"/>
      <c r="B2506" s="12"/>
      <c r="C2506" s="12"/>
      <c r="D2506" s="12"/>
      <c r="E2506" s="12"/>
      <c r="F2506" s="12"/>
      <c r="G2506" s="12"/>
      <c r="H2506" s="12"/>
      <c r="I2506" s="12"/>
      <c r="J2506" s="12"/>
      <c r="K2506" s="12"/>
      <c r="L2506" s="12"/>
      <c r="M2506" s="12"/>
      <c r="N2506" s="12"/>
      <c r="O2506" s="12"/>
      <c r="P2506" s="12"/>
      <c r="Q2506" s="12"/>
      <c r="R2506" s="12"/>
      <c r="S2506" s="2"/>
      <c r="T2506" s="2"/>
      <c r="U2506" s="12"/>
      <c r="V2506" s="12"/>
      <c r="W2506" s="12"/>
      <c r="X2506" s="12"/>
      <c r="Y2506" s="12"/>
      <c r="Z2506" s="12"/>
      <c r="AA2506" s="12"/>
      <c r="AB2506" s="12"/>
      <c r="AC2506" s="12"/>
      <c r="AD2506" s="12"/>
      <c r="AE2506" s="12"/>
      <c r="AF2506" s="12"/>
    </row>
    <row r="2507" customFormat="false" ht="15.75" hidden="false" customHeight="true" outlineLevel="0" collapsed="false">
      <c r="A2507" s="12"/>
      <c r="B2507" s="12"/>
      <c r="C2507" s="12"/>
      <c r="D2507" s="12"/>
      <c r="E2507" s="12"/>
      <c r="F2507" s="12"/>
      <c r="G2507" s="12"/>
      <c r="H2507" s="12"/>
      <c r="I2507" s="12"/>
      <c r="J2507" s="12"/>
      <c r="K2507" s="12"/>
      <c r="L2507" s="12"/>
      <c r="M2507" s="12"/>
      <c r="N2507" s="12"/>
      <c r="O2507" s="12"/>
      <c r="P2507" s="12"/>
      <c r="Q2507" s="12"/>
      <c r="R2507" s="12"/>
      <c r="S2507" s="2"/>
      <c r="T2507" s="2"/>
      <c r="U2507" s="12"/>
      <c r="V2507" s="12"/>
      <c r="W2507" s="12"/>
      <c r="X2507" s="12"/>
      <c r="Y2507" s="12"/>
      <c r="Z2507" s="12"/>
      <c r="AA2507" s="12"/>
      <c r="AB2507" s="12"/>
      <c r="AC2507" s="12"/>
      <c r="AD2507" s="12"/>
      <c r="AE2507" s="12"/>
      <c r="AF2507" s="12"/>
    </row>
    <row r="2508" customFormat="false" ht="15.75" hidden="false" customHeight="true" outlineLevel="0" collapsed="false">
      <c r="A2508" s="12"/>
      <c r="B2508" s="12"/>
      <c r="C2508" s="12"/>
      <c r="D2508" s="12"/>
      <c r="E2508" s="12"/>
      <c r="F2508" s="12"/>
      <c r="G2508" s="12"/>
      <c r="H2508" s="12"/>
      <c r="I2508" s="12"/>
      <c r="J2508" s="12"/>
      <c r="K2508" s="12"/>
      <c r="L2508" s="12"/>
      <c r="M2508" s="12"/>
      <c r="N2508" s="12"/>
      <c r="O2508" s="12"/>
      <c r="P2508" s="12"/>
      <c r="Q2508" s="12"/>
      <c r="R2508" s="12"/>
      <c r="S2508" s="2"/>
      <c r="T2508" s="2"/>
      <c r="U2508" s="12"/>
      <c r="V2508" s="12"/>
      <c r="W2508" s="12"/>
      <c r="X2508" s="12"/>
      <c r="Y2508" s="12"/>
      <c r="Z2508" s="12"/>
      <c r="AA2508" s="12"/>
      <c r="AB2508" s="12"/>
      <c r="AC2508" s="12"/>
      <c r="AD2508" s="12"/>
      <c r="AE2508" s="12"/>
      <c r="AF2508" s="12"/>
    </row>
    <row r="2509" customFormat="false" ht="15.75" hidden="false" customHeight="true" outlineLevel="0" collapsed="false">
      <c r="A2509" s="12"/>
      <c r="B2509" s="12"/>
      <c r="C2509" s="12"/>
      <c r="D2509" s="12"/>
      <c r="E2509" s="12"/>
      <c r="F2509" s="12"/>
      <c r="G2509" s="12"/>
      <c r="H2509" s="12"/>
      <c r="I2509" s="12"/>
      <c r="J2509" s="12"/>
      <c r="K2509" s="12"/>
      <c r="L2509" s="12"/>
      <c r="M2509" s="12"/>
      <c r="N2509" s="12"/>
      <c r="O2509" s="12"/>
      <c r="P2509" s="12"/>
      <c r="Q2509" s="12"/>
      <c r="R2509" s="12"/>
      <c r="S2509" s="2"/>
      <c r="T2509" s="2"/>
      <c r="U2509" s="12"/>
      <c r="V2509" s="12"/>
      <c r="W2509" s="12"/>
      <c r="X2509" s="12"/>
      <c r="Y2509" s="12"/>
      <c r="Z2509" s="12"/>
      <c r="AA2509" s="12"/>
      <c r="AB2509" s="12"/>
      <c r="AC2509" s="12"/>
      <c r="AD2509" s="12"/>
      <c r="AE2509" s="12"/>
      <c r="AF2509" s="12"/>
    </row>
    <row r="2510" customFormat="false" ht="15.75" hidden="false" customHeight="true" outlineLevel="0" collapsed="false">
      <c r="A2510" s="12"/>
      <c r="B2510" s="12"/>
      <c r="C2510" s="12"/>
      <c r="D2510" s="12"/>
      <c r="E2510" s="12"/>
      <c r="F2510" s="12"/>
      <c r="G2510" s="12"/>
      <c r="H2510" s="12"/>
      <c r="I2510" s="12"/>
      <c r="J2510" s="12"/>
      <c r="K2510" s="12"/>
      <c r="L2510" s="12"/>
      <c r="M2510" s="12"/>
      <c r="N2510" s="12"/>
      <c r="O2510" s="12"/>
      <c r="P2510" s="12"/>
      <c r="Q2510" s="12"/>
      <c r="R2510" s="12"/>
      <c r="S2510" s="2"/>
      <c r="T2510" s="2"/>
      <c r="U2510" s="12"/>
      <c r="V2510" s="12"/>
      <c r="W2510" s="12"/>
      <c r="X2510" s="12"/>
      <c r="Y2510" s="12"/>
      <c r="Z2510" s="12"/>
      <c r="AA2510" s="12"/>
      <c r="AB2510" s="12"/>
      <c r="AC2510" s="12"/>
      <c r="AD2510" s="12"/>
      <c r="AE2510" s="12"/>
      <c r="AF2510" s="12"/>
    </row>
    <row r="2511" customFormat="false" ht="15.75" hidden="false" customHeight="true" outlineLevel="0" collapsed="false">
      <c r="A2511" s="12"/>
      <c r="B2511" s="12"/>
      <c r="C2511" s="12"/>
      <c r="D2511" s="12"/>
      <c r="E2511" s="12"/>
      <c r="F2511" s="12"/>
      <c r="G2511" s="12"/>
      <c r="H2511" s="12"/>
      <c r="I2511" s="12"/>
      <c r="J2511" s="12"/>
      <c r="K2511" s="12"/>
      <c r="L2511" s="12"/>
      <c r="M2511" s="12"/>
      <c r="N2511" s="12"/>
      <c r="O2511" s="12"/>
      <c r="P2511" s="12"/>
      <c r="Q2511" s="12"/>
      <c r="R2511" s="12"/>
      <c r="S2511" s="2"/>
      <c r="T2511" s="2"/>
      <c r="U2511" s="12"/>
      <c r="V2511" s="12"/>
      <c r="W2511" s="12"/>
      <c r="X2511" s="12"/>
      <c r="Y2511" s="12"/>
      <c r="Z2511" s="12"/>
      <c r="AA2511" s="12"/>
      <c r="AB2511" s="12"/>
      <c r="AC2511" s="12"/>
      <c r="AD2511" s="12"/>
      <c r="AE2511" s="12"/>
      <c r="AF2511" s="12"/>
    </row>
    <row r="2512" customFormat="false" ht="15.75" hidden="false" customHeight="true" outlineLevel="0" collapsed="false">
      <c r="A2512" s="12"/>
      <c r="B2512" s="12"/>
      <c r="C2512" s="12"/>
      <c r="D2512" s="12"/>
      <c r="E2512" s="12"/>
      <c r="F2512" s="12"/>
      <c r="G2512" s="12"/>
      <c r="H2512" s="12"/>
      <c r="I2512" s="12"/>
      <c r="J2512" s="12"/>
      <c r="K2512" s="12"/>
      <c r="L2512" s="12"/>
      <c r="M2512" s="12"/>
      <c r="N2512" s="12"/>
      <c r="O2512" s="12"/>
      <c r="P2512" s="12"/>
      <c r="Q2512" s="12"/>
      <c r="R2512" s="12"/>
      <c r="S2512" s="2"/>
      <c r="T2512" s="2"/>
      <c r="U2512" s="12"/>
      <c r="V2512" s="12"/>
      <c r="W2512" s="12"/>
      <c r="X2512" s="12"/>
      <c r="Y2512" s="12"/>
      <c r="Z2512" s="12"/>
      <c r="AA2512" s="12"/>
      <c r="AB2512" s="12"/>
      <c r="AC2512" s="12"/>
      <c r="AD2512" s="12"/>
      <c r="AE2512" s="12"/>
      <c r="AF2512" s="12"/>
    </row>
    <row r="2513" customFormat="false" ht="15.75" hidden="false" customHeight="true" outlineLevel="0" collapsed="false">
      <c r="A2513" s="12"/>
      <c r="B2513" s="12"/>
      <c r="C2513" s="12"/>
      <c r="D2513" s="12"/>
      <c r="E2513" s="12"/>
      <c r="F2513" s="12"/>
      <c r="G2513" s="12"/>
      <c r="H2513" s="12"/>
      <c r="I2513" s="12"/>
      <c r="J2513" s="12"/>
      <c r="K2513" s="12"/>
      <c r="L2513" s="12"/>
      <c r="M2513" s="12"/>
      <c r="N2513" s="12"/>
      <c r="O2513" s="12"/>
      <c r="P2513" s="12"/>
      <c r="Q2513" s="12"/>
      <c r="R2513" s="12"/>
      <c r="S2513" s="2"/>
      <c r="T2513" s="2"/>
      <c r="U2513" s="12"/>
      <c r="V2513" s="12"/>
      <c r="W2513" s="12"/>
      <c r="X2513" s="12"/>
      <c r="Y2513" s="12"/>
      <c r="Z2513" s="12"/>
      <c r="AA2513" s="12"/>
      <c r="AB2513" s="12"/>
      <c r="AC2513" s="12"/>
      <c r="AD2513" s="12"/>
      <c r="AE2513" s="12"/>
      <c r="AF2513" s="12"/>
    </row>
    <row r="2514" customFormat="false" ht="15.75" hidden="false" customHeight="true" outlineLevel="0" collapsed="false">
      <c r="A2514" s="12"/>
      <c r="B2514" s="12"/>
      <c r="C2514" s="12"/>
      <c r="D2514" s="12"/>
      <c r="E2514" s="12"/>
      <c r="F2514" s="12"/>
      <c r="G2514" s="12"/>
      <c r="H2514" s="12"/>
      <c r="I2514" s="12"/>
      <c r="J2514" s="12"/>
      <c r="K2514" s="12"/>
      <c r="L2514" s="12"/>
      <c r="M2514" s="12"/>
      <c r="N2514" s="12"/>
      <c r="O2514" s="12"/>
      <c r="P2514" s="12"/>
      <c r="Q2514" s="12"/>
      <c r="R2514" s="12"/>
      <c r="S2514" s="2"/>
      <c r="T2514" s="2"/>
      <c r="U2514" s="12"/>
      <c r="V2514" s="12"/>
      <c r="W2514" s="12"/>
      <c r="X2514" s="12"/>
      <c r="Y2514" s="12"/>
      <c r="Z2514" s="12"/>
      <c r="AA2514" s="12"/>
      <c r="AB2514" s="12"/>
      <c r="AC2514" s="12"/>
      <c r="AD2514" s="12"/>
      <c r="AE2514" s="12"/>
      <c r="AF2514" s="12"/>
    </row>
    <row r="2515" customFormat="false" ht="15.75" hidden="false" customHeight="true" outlineLevel="0" collapsed="false">
      <c r="A2515" s="12"/>
      <c r="B2515" s="12"/>
      <c r="C2515" s="12"/>
      <c r="D2515" s="12"/>
      <c r="E2515" s="12"/>
      <c r="F2515" s="12"/>
      <c r="G2515" s="12"/>
      <c r="H2515" s="12"/>
      <c r="I2515" s="12"/>
      <c r="J2515" s="12"/>
      <c r="K2515" s="12"/>
      <c r="L2515" s="12"/>
      <c r="M2515" s="12"/>
      <c r="N2515" s="12"/>
      <c r="O2515" s="12"/>
      <c r="P2515" s="12"/>
      <c r="Q2515" s="12"/>
      <c r="R2515" s="12"/>
      <c r="S2515" s="2"/>
      <c r="T2515" s="2"/>
      <c r="U2515" s="12"/>
      <c r="V2515" s="12"/>
      <c r="W2515" s="12"/>
      <c r="X2515" s="12"/>
      <c r="Y2515" s="12"/>
      <c r="Z2515" s="12"/>
      <c r="AA2515" s="12"/>
      <c r="AB2515" s="12"/>
      <c r="AC2515" s="12"/>
      <c r="AD2515" s="12"/>
      <c r="AE2515" s="12"/>
      <c r="AF2515" s="12"/>
    </row>
    <row r="2516" customFormat="false" ht="15.75" hidden="false" customHeight="true" outlineLevel="0" collapsed="false">
      <c r="A2516" s="12"/>
      <c r="B2516" s="12"/>
      <c r="C2516" s="12"/>
      <c r="D2516" s="12"/>
      <c r="E2516" s="12"/>
      <c r="F2516" s="12"/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  <c r="R2516" s="12"/>
      <c r="S2516" s="2"/>
      <c r="T2516" s="2"/>
      <c r="U2516" s="12"/>
      <c r="V2516" s="12"/>
      <c r="W2516" s="12"/>
      <c r="X2516" s="12"/>
      <c r="Y2516" s="12"/>
      <c r="Z2516" s="12"/>
      <c r="AA2516" s="12"/>
      <c r="AB2516" s="12"/>
      <c r="AC2516" s="12"/>
      <c r="AD2516" s="12"/>
      <c r="AE2516" s="12"/>
      <c r="AF2516" s="12"/>
    </row>
    <row r="2517" customFormat="false" ht="15.75" hidden="false" customHeight="true" outlineLevel="0" collapsed="false">
      <c r="A2517" s="12"/>
      <c r="B2517" s="12"/>
      <c r="C2517" s="12"/>
      <c r="D2517" s="12"/>
      <c r="E2517" s="12"/>
      <c r="F2517" s="12"/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  <c r="R2517" s="12"/>
      <c r="S2517" s="2"/>
      <c r="T2517" s="2"/>
      <c r="U2517" s="12"/>
      <c r="V2517" s="12"/>
      <c r="W2517" s="12"/>
      <c r="X2517" s="12"/>
      <c r="Y2517" s="12"/>
      <c r="Z2517" s="12"/>
      <c r="AA2517" s="12"/>
      <c r="AB2517" s="12"/>
      <c r="AC2517" s="12"/>
      <c r="AD2517" s="12"/>
      <c r="AE2517" s="12"/>
      <c r="AF2517" s="12"/>
    </row>
    <row r="2518" customFormat="false" ht="15.75" hidden="false" customHeight="true" outlineLevel="0" collapsed="false">
      <c r="A2518" s="12"/>
      <c r="B2518" s="12"/>
      <c r="C2518" s="12"/>
      <c r="D2518" s="12"/>
      <c r="E2518" s="12"/>
      <c r="F2518" s="12"/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  <c r="R2518" s="12"/>
      <c r="S2518" s="2"/>
      <c r="T2518" s="2"/>
      <c r="U2518" s="12"/>
      <c r="V2518" s="12"/>
      <c r="W2518" s="12"/>
      <c r="X2518" s="12"/>
      <c r="Y2518" s="12"/>
      <c r="Z2518" s="12"/>
      <c r="AA2518" s="12"/>
      <c r="AB2518" s="12"/>
      <c r="AC2518" s="12"/>
      <c r="AD2518" s="12"/>
      <c r="AE2518" s="12"/>
      <c r="AF2518" s="12"/>
    </row>
    <row r="2519" customFormat="false" ht="15.75" hidden="false" customHeight="true" outlineLevel="0" collapsed="false">
      <c r="A2519" s="12"/>
      <c r="B2519" s="12"/>
      <c r="C2519" s="12"/>
      <c r="D2519" s="12"/>
      <c r="E2519" s="12"/>
      <c r="F2519" s="12"/>
      <c r="G2519" s="12"/>
      <c r="H2519" s="12"/>
      <c r="I2519" s="12"/>
      <c r="J2519" s="12"/>
      <c r="K2519" s="12"/>
      <c r="L2519" s="12"/>
      <c r="M2519" s="12"/>
      <c r="N2519" s="12"/>
      <c r="O2519" s="12"/>
      <c r="P2519" s="12"/>
      <c r="Q2519" s="12"/>
      <c r="R2519" s="12"/>
      <c r="S2519" s="2"/>
      <c r="T2519" s="2"/>
      <c r="U2519" s="12"/>
      <c r="V2519" s="12"/>
      <c r="W2519" s="12"/>
      <c r="X2519" s="12"/>
      <c r="Y2519" s="12"/>
      <c r="Z2519" s="12"/>
      <c r="AA2519" s="12"/>
      <c r="AB2519" s="12"/>
      <c r="AC2519" s="12"/>
      <c r="AD2519" s="12"/>
      <c r="AE2519" s="12"/>
      <c r="AF2519" s="12"/>
    </row>
    <row r="2520" customFormat="false" ht="15.75" hidden="false" customHeight="true" outlineLevel="0" collapsed="false">
      <c r="A2520" s="12"/>
      <c r="B2520" s="12"/>
      <c r="C2520" s="12"/>
      <c r="D2520" s="12"/>
      <c r="E2520" s="12"/>
      <c r="F2520" s="12"/>
      <c r="G2520" s="12"/>
      <c r="H2520" s="12"/>
      <c r="I2520" s="12"/>
      <c r="J2520" s="12"/>
      <c r="K2520" s="12"/>
      <c r="L2520" s="12"/>
      <c r="M2520" s="12"/>
      <c r="N2520" s="12"/>
      <c r="O2520" s="12"/>
      <c r="P2520" s="12"/>
      <c r="Q2520" s="12"/>
      <c r="R2520" s="12"/>
      <c r="S2520" s="2"/>
      <c r="T2520" s="2"/>
      <c r="U2520" s="12"/>
      <c r="V2520" s="12"/>
      <c r="W2520" s="12"/>
      <c r="X2520" s="12"/>
      <c r="Y2520" s="12"/>
      <c r="Z2520" s="12"/>
      <c r="AA2520" s="12"/>
      <c r="AB2520" s="12"/>
      <c r="AC2520" s="12"/>
      <c r="AD2520" s="12"/>
      <c r="AE2520" s="12"/>
      <c r="AF2520" s="12"/>
    </row>
    <row r="2521" customFormat="false" ht="15.75" hidden="false" customHeight="true" outlineLevel="0" collapsed="false">
      <c r="A2521" s="12"/>
      <c r="B2521" s="12"/>
      <c r="C2521" s="12"/>
      <c r="D2521" s="12"/>
      <c r="E2521" s="12"/>
      <c r="F2521" s="12"/>
      <c r="G2521" s="12"/>
      <c r="H2521" s="12"/>
      <c r="I2521" s="12"/>
      <c r="J2521" s="12"/>
      <c r="K2521" s="12"/>
      <c r="L2521" s="12"/>
      <c r="M2521" s="12"/>
      <c r="N2521" s="12"/>
      <c r="O2521" s="12"/>
      <c r="P2521" s="12"/>
      <c r="Q2521" s="12"/>
      <c r="R2521" s="12"/>
      <c r="S2521" s="2"/>
      <c r="T2521" s="2"/>
      <c r="U2521" s="12"/>
      <c r="V2521" s="12"/>
      <c r="W2521" s="12"/>
      <c r="X2521" s="12"/>
      <c r="Y2521" s="12"/>
      <c r="Z2521" s="12"/>
      <c r="AA2521" s="12"/>
      <c r="AB2521" s="12"/>
      <c r="AC2521" s="12"/>
      <c r="AD2521" s="12"/>
      <c r="AE2521" s="12"/>
      <c r="AF2521" s="12"/>
    </row>
    <row r="2522" customFormat="false" ht="15.75" hidden="false" customHeight="true" outlineLevel="0" collapsed="false">
      <c r="A2522" s="12"/>
      <c r="B2522" s="12"/>
      <c r="C2522" s="12"/>
      <c r="D2522" s="12"/>
      <c r="E2522" s="12"/>
      <c r="F2522" s="12"/>
      <c r="G2522" s="12"/>
      <c r="H2522" s="12"/>
      <c r="I2522" s="12"/>
      <c r="J2522" s="12"/>
      <c r="K2522" s="12"/>
      <c r="L2522" s="12"/>
      <c r="M2522" s="12"/>
      <c r="N2522" s="12"/>
      <c r="O2522" s="12"/>
      <c r="P2522" s="12"/>
      <c r="Q2522" s="12"/>
      <c r="R2522" s="12"/>
      <c r="S2522" s="2"/>
      <c r="T2522" s="2"/>
      <c r="U2522" s="12"/>
      <c r="V2522" s="12"/>
      <c r="W2522" s="12"/>
      <c r="X2522" s="12"/>
      <c r="Y2522" s="12"/>
      <c r="Z2522" s="12"/>
      <c r="AA2522" s="12"/>
      <c r="AB2522" s="12"/>
      <c r="AC2522" s="12"/>
      <c r="AD2522" s="12"/>
      <c r="AE2522" s="12"/>
      <c r="AF2522" s="12"/>
    </row>
    <row r="2523" customFormat="false" ht="15.75" hidden="false" customHeight="true" outlineLevel="0" collapsed="false">
      <c r="A2523" s="12"/>
      <c r="B2523" s="12"/>
      <c r="C2523" s="12"/>
      <c r="D2523" s="12"/>
      <c r="E2523" s="12"/>
      <c r="F2523" s="12"/>
      <c r="G2523" s="12"/>
      <c r="H2523" s="12"/>
      <c r="I2523" s="12"/>
      <c r="J2523" s="12"/>
      <c r="K2523" s="12"/>
      <c r="L2523" s="12"/>
      <c r="M2523" s="12"/>
      <c r="N2523" s="12"/>
      <c r="O2523" s="12"/>
      <c r="P2523" s="12"/>
      <c r="Q2523" s="12"/>
      <c r="R2523" s="12"/>
      <c r="S2523" s="2"/>
      <c r="T2523" s="2"/>
      <c r="U2523" s="12"/>
      <c r="V2523" s="12"/>
      <c r="W2523" s="12"/>
      <c r="X2523" s="12"/>
      <c r="Y2523" s="12"/>
      <c r="Z2523" s="12"/>
      <c r="AA2523" s="12"/>
      <c r="AB2523" s="12"/>
      <c r="AC2523" s="12"/>
      <c r="AD2523" s="12"/>
      <c r="AE2523" s="12"/>
      <c r="AF2523" s="12"/>
    </row>
    <row r="2524" customFormat="false" ht="15.75" hidden="false" customHeight="true" outlineLevel="0" collapsed="false">
      <c r="A2524" s="12"/>
      <c r="B2524" s="12"/>
      <c r="C2524" s="12"/>
      <c r="D2524" s="12"/>
      <c r="E2524" s="12"/>
      <c r="F2524" s="12"/>
      <c r="G2524" s="12"/>
      <c r="H2524" s="12"/>
      <c r="I2524" s="12"/>
      <c r="J2524" s="12"/>
      <c r="K2524" s="12"/>
      <c r="L2524" s="12"/>
      <c r="M2524" s="12"/>
      <c r="N2524" s="12"/>
      <c r="O2524" s="12"/>
      <c r="P2524" s="12"/>
      <c r="Q2524" s="12"/>
      <c r="R2524" s="12"/>
      <c r="S2524" s="2"/>
      <c r="T2524" s="2"/>
      <c r="U2524" s="12"/>
      <c r="V2524" s="12"/>
      <c r="W2524" s="12"/>
      <c r="X2524" s="12"/>
      <c r="Y2524" s="12"/>
      <c r="Z2524" s="12"/>
      <c r="AA2524" s="12"/>
      <c r="AB2524" s="12"/>
      <c r="AC2524" s="12"/>
      <c r="AD2524" s="12"/>
      <c r="AE2524" s="12"/>
      <c r="AF2524" s="12"/>
    </row>
    <row r="2525" customFormat="false" ht="15.75" hidden="false" customHeight="true" outlineLevel="0" collapsed="false">
      <c r="A2525" s="12"/>
      <c r="B2525" s="12"/>
      <c r="C2525" s="12"/>
      <c r="D2525" s="12"/>
      <c r="E2525" s="12"/>
      <c r="F2525" s="12"/>
      <c r="G2525" s="12"/>
      <c r="H2525" s="12"/>
      <c r="I2525" s="12"/>
      <c r="J2525" s="12"/>
      <c r="K2525" s="12"/>
      <c r="L2525" s="12"/>
      <c r="M2525" s="12"/>
      <c r="N2525" s="12"/>
      <c r="O2525" s="12"/>
      <c r="P2525" s="12"/>
      <c r="Q2525" s="12"/>
      <c r="R2525" s="12"/>
      <c r="S2525" s="2"/>
      <c r="T2525" s="2"/>
      <c r="U2525" s="12"/>
      <c r="V2525" s="12"/>
      <c r="W2525" s="12"/>
      <c r="X2525" s="12"/>
      <c r="Y2525" s="12"/>
      <c r="Z2525" s="12"/>
      <c r="AA2525" s="12"/>
      <c r="AB2525" s="12"/>
      <c r="AC2525" s="12"/>
      <c r="AD2525" s="12"/>
      <c r="AE2525" s="12"/>
      <c r="AF2525" s="12"/>
    </row>
    <row r="2526" customFormat="false" ht="15.75" hidden="false" customHeight="true" outlineLevel="0" collapsed="false">
      <c r="A2526" s="12"/>
      <c r="B2526" s="12"/>
      <c r="C2526" s="12"/>
      <c r="D2526" s="12"/>
      <c r="E2526" s="12"/>
      <c r="F2526" s="12"/>
      <c r="G2526" s="12"/>
      <c r="H2526" s="12"/>
      <c r="I2526" s="12"/>
      <c r="J2526" s="12"/>
      <c r="K2526" s="12"/>
      <c r="L2526" s="12"/>
      <c r="M2526" s="12"/>
      <c r="N2526" s="12"/>
      <c r="O2526" s="12"/>
      <c r="P2526" s="12"/>
      <c r="Q2526" s="12"/>
      <c r="R2526" s="12"/>
      <c r="S2526" s="2"/>
      <c r="T2526" s="2"/>
      <c r="U2526" s="12"/>
      <c r="V2526" s="12"/>
      <c r="W2526" s="12"/>
      <c r="X2526" s="12"/>
      <c r="Y2526" s="12"/>
      <c r="Z2526" s="12"/>
      <c r="AA2526" s="12"/>
      <c r="AB2526" s="12"/>
      <c r="AC2526" s="12"/>
      <c r="AD2526" s="12"/>
      <c r="AE2526" s="12"/>
      <c r="AF2526" s="12"/>
    </row>
    <row r="2527" customFormat="false" ht="15.75" hidden="false" customHeight="true" outlineLevel="0" collapsed="false">
      <c r="A2527" s="12"/>
      <c r="B2527" s="12"/>
      <c r="C2527" s="12"/>
      <c r="D2527" s="12"/>
      <c r="E2527" s="12"/>
      <c r="F2527" s="12"/>
      <c r="G2527" s="12"/>
      <c r="H2527" s="12"/>
      <c r="I2527" s="12"/>
      <c r="J2527" s="12"/>
      <c r="K2527" s="12"/>
      <c r="L2527" s="12"/>
      <c r="M2527" s="12"/>
      <c r="N2527" s="12"/>
      <c r="O2527" s="12"/>
      <c r="P2527" s="12"/>
      <c r="Q2527" s="12"/>
      <c r="R2527" s="12"/>
      <c r="S2527" s="2"/>
      <c r="T2527" s="2"/>
      <c r="U2527" s="12"/>
      <c r="V2527" s="12"/>
      <c r="W2527" s="12"/>
      <c r="X2527" s="12"/>
      <c r="Y2527" s="12"/>
      <c r="Z2527" s="12"/>
      <c r="AA2527" s="12"/>
      <c r="AB2527" s="12"/>
      <c r="AC2527" s="12"/>
      <c r="AD2527" s="12"/>
      <c r="AE2527" s="12"/>
      <c r="AF2527" s="12"/>
    </row>
    <row r="2528" customFormat="false" ht="15.75" hidden="false" customHeight="true" outlineLevel="0" collapsed="false">
      <c r="A2528" s="12"/>
      <c r="B2528" s="12"/>
      <c r="C2528" s="12"/>
      <c r="D2528" s="12"/>
      <c r="E2528" s="12"/>
      <c r="F2528" s="12"/>
      <c r="G2528" s="12"/>
      <c r="H2528" s="12"/>
      <c r="I2528" s="12"/>
      <c r="J2528" s="12"/>
      <c r="K2528" s="12"/>
      <c r="L2528" s="12"/>
      <c r="M2528" s="12"/>
      <c r="N2528" s="12"/>
      <c r="O2528" s="12"/>
      <c r="P2528" s="12"/>
      <c r="Q2528" s="12"/>
      <c r="R2528" s="12"/>
      <c r="S2528" s="2"/>
      <c r="T2528" s="2"/>
      <c r="U2528" s="12"/>
      <c r="V2528" s="12"/>
      <c r="W2528" s="12"/>
      <c r="X2528" s="12"/>
      <c r="Y2528" s="12"/>
      <c r="Z2528" s="12"/>
      <c r="AA2528" s="12"/>
      <c r="AB2528" s="12"/>
      <c r="AC2528" s="12"/>
      <c r="AD2528" s="12"/>
      <c r="AE2528" s="12"/>
      <c r="AF2528" s="12"/>
    </row>
    <row r="2529" customFormat="false" ht="15.75" hidden="false" customHeight="true" outlineLevel="0" collapsed="false">
      <c r="A2529" s="12"/>
      <c r="B2529" s="12"/>
      <c r="C2529" s="12"/>
      <c r="D2529" s="12"/>
      <c r="E2529" s="12"/>
      <c r="F2529" s="12"/>
      <c r="G2529" s="12"/>
      <c r="H2529" s="12"/>
      <c r="I2529" s="12"/>
      <c r="J2529" s="12"/>
      <c r="K2529" s="12"/>
      <c r="L2529" s="12"/>
      <c r="M2529" s="12"/>
      <c r="N2529" s="12"/>
      <c r="O2529" s="12"/>
      <c r="P2529" s="12"/>
      <c r="Q2529" s="12"/>
      <c r="R2529" s="12"/>
      <c r="S2529" s="2"/>
      <c r="T2529" s="2"/>
      <c r="U2529" s="12"/>
      <c r="V2529" s="12"/>
      <c r="W2529" s="12"/>
      <c r="X2529" s="12"/>
      <c r="Y2529" s="12"/>
      <c r="Z2529" s="12"/>
      <c r="AA2529" s="12"/>
      <c r="AB2529" s="12"/>
      <c r="AC2529" s="12"/>
      <c r="AD2529" s="12"/>
      <c r="AE2529" s="12"/>
      <c r="AF2529" s="12"/>
    </row>
    <row r="2530" customFormat="false" ht="15.75" hidden="false" customHeight="true" outlineLevel="0" collapsed="false">
      <c r="A2530" s="12"/>
      <c r="B2530" s="12"/>
      <c r="C2530" s="12"/>
      <c r="D2530" s="12"/>
      <c r="E2530" s="12"/>
      <c r="F2530" s="12"/>
      <c r="G2530" s="12"/>
      <c r="H2530" s="12"/>
      <c r="I2530" s="12"/>
      <c r="J2530" s="12"/>
      <c r="K2530" s="12"/>
      <c r="L2530" s="12"/>
      <c r="M2530" s="12"/>
      <c r="N2530" s="12"/>
      <c r="O2530" s="12"/>
      <c r="P2530" s="12"/>
      <c r="Q2530" s="12"/>
      <c r="R2530" s="12"/>
      <c r="S2530" s="2"/>
      <c r="T2530" s="2"/>
      <c r="U2530" s="12"/>
      <c r="V2530" s="12"/>
      <c r="W2530" s="12"/>
      <c r="X2530" s="12"/>
      <c r="Y2530" s="12"/>
      <c r="Z2530" s="12"/>
      <c r="AA2530" s="12"/>
      <c r="AB2530" s="12"/>
      <c r="AC2530" s="12"/>
      <c r="AD2530" s="12"/>
      <c r="AE2530" s="12"/>
      <c r="AF2530" s="12"/>
    </row>
    <row r="2531" customFormat="false" ht="15.75" hidden="false" customHeight="true" outlineLevel="0" collapsed="false">
      <c r="A2531" s="12"/>
      <c r="B2531" s="12"/>
      <c r="C2531" s="12"/>
      <c r="D2531" s="12"/>
      <c r="E2531" s="12"/>
      <c r="F2531" s="12"/>
      <c r="G2531" s="12"/>
      <c r="H2531" s="12"/>
      <c r="I2531" s="12"/>
      <c r="J2531" s="12"/>
      <c r="K2531" s="12"/>
      <c r="L2531" s="12"/>
      <c r="M2531" s="12"/>
      <c r="N2531" s="12"/>
      <c r="O2531" s="12"/>
      <c r="P2531" s="12"/>
      <c r="Q2531" s="12"/>
      <c r="R2531" s="12"/>
      <c r="S2531" s="2"/>
      <c r="T2531" s="2"/>
      <c r="U2531" s="12"/>
      <c r="V2531" s="12"/>
      <c r="W2531" s="12"/>
      <c r="X2531" s="12"/>
      <c r="Y2531" s="12"/>
      <c r="Z2531" s="12"/>
      <c r="AA2531" s="12"/>
      <c r="AB2531" s="12"/>
      <c r="AC2531" s="12"/>
      <c r="AD2531" s="12"/>
      <c r="AE2531" s="12"/>
      <c r="AF2531" s="12"/>
    </row>
    <row r="2532" customFormat="false" ht="15.75" hidden="false" customHeight="true" outlineLevel="0" collapsed="false">
      <c r="A2532" s="12"/>
      <c r="B2532" s="12"/>
      <c r="C2532" s="12"/>
      <c r="D2532" s="12"/>
      <c r="E2532" s="12"/>
      <c r="F2532" s="12"/>
      <c r="G2532" s="12"/>
      <c r="H2532" s="12"/>
      <c r="I2532" s="12"/>
      <c r="J2532" s="12"/>
      <c r="K2532" s="12"/>
      <c r="L2532" s="12"/>
      <c r="M2532" s="12"/>
      <c r="N2532" s="12"/>
      <c r="O2532" s="12"/>
      <c r="P2532" s="12"/>
      <c r="Q2532" s="12"/>
      <c r="R2532" s="12"/>
      <c r="S2532" s="2"/>
      <c r="T2532" s="2"/>
      <c r="U2532" s="12"/>
      <c r="V2532" s="12"/>
      <c r="W2532" s="12"/>
      <c r="X2532" s="12"/>
      <c r="Y2532" s="12"/>
      <c r="Z2532" s="12"/>
      <c r="AA2532" s="12"/>
      <c r="AB2532" s="12"/>
      <c r="AC2532" s="12"/>
      <c r="AD2532" s="12"/>
      <c r="AE2532" s="12"/>
      <c r="AF2532" s="12"/>
    </row>
    <row r="2533" customFormat="false" ht="15.75" hidden="false" customHeight="true" outlineLevel="0" collapsed="false">
      <c r="A2533" s="12"/>
      <c r="B2533" s="12"/>
      <c r="C2533" s="12"/>
      <c r="D2533" s="12"/>
      <c r="E2533" s="12"/>
      <c r="F2533" s="12"/>
      <c r="G2533" s="12"/>
      <c r="H2533" s="12"/>
      <c r="I2533" s="12"/>
      <c r="J2533" s="12"/>
      <c r="K2533" s="12"/>
      <c r="L2533" s="12"/>
      <c r="M2533" s="12"/>
      <c r="N2533" s="12"/>
      <c r="O2533" s="12"/>
      <c r="P2533" s="12"/>
      <c r="Q2533" s="12"/>
      <c r="R2533" s="12"/>
      <c r="S2533" s="2"/>
      <c r="T2533" s="2"/>
      <c r="U2533" s="12"/>
      <c r="V2533" s="12"/>
      <c r="W2533" s="12"/>
      <c r="X2533" s="12"/>
      <c r="Y2533" s="12"/>
      <c r="Z2533" s="12"/>
      <c r="AA2533" s="12"/>
      <c r="AB2533" s="12"/>
      <c r="AC2533" s="12"/>
      <c r="AD2533" s="12"/>
      <c r="AE2533" s="12"/>
      <c r="AF2533" s="12"/>
    </row>
    <row r="2534" customFormat="false" ht="15.75" hidden="false" customHeight="true" outlineLevel="0" collapsed="false">
      <c r="A2534" s="12"/>
      <c r="B2534" s="12"/>
      <c r="C2534" s="12"/>
      <c r="D2534" s="12"/>
      <c r="E2534" s="12"/>
      <c r="F2534" s="12"/>
      <c r="G2534" s="12"/>
      <c r="H2534" s="12"/>
      <c r="I2534" s="12"/>
      <c r="J2534" s="12"/>
      <c r="K2534" s="12"/>
      <c r="L2534" s="12"/>
      <c r="M2534" s="12"/>
      <c r="N2534" s="12"/>
      <c r="O2534" s="12"/>
      <c r="P2534" s="12"/>
      <c r="Q2534" s="12"/>
      <c r="R2534" s="12"/>
      <c r="S2534" s="2"/>
      <c r="T2534" s="2"/>
      <c r="U2534" s="12"/>
      <c r="V2534" s="12"/>
      <c r="W2534" s="12"/>
      <c r="X2534" s="12"/>
      <c r="Y2534" s="12"/>
      <c r="Z2534" s="12"/>
      <c r="AA2534" s="12"/>
      <c r="AB2534" s="12"/>
      <c r="AC2534" s="12"/>
      <c r="AD2534" s="12"/>
      <c r="AE2534" s="12"/>
      <c r="AF2534" s="12"/>
    </row>
    <row r="2535" customFormat="false" ht="15.75" hidden="false" customHeight="true" outlineLevel="0" collapsed="false">
      <c r="A2535" s="12"/>
      <c r="B2535" s="12"/>
      <c r="C2535" s="12"/>
      <c r="D2535" s="12"/>
      <c r="E2535" s="12"/>
      <c r="F2535" s="12"/>
      <c r="G2535" s="12"/>
      <c r="H2535" s="12"/>
      <c r="I2535" s="12"/>
      <c r="J2535" s="12"/>
      <c r="K2535" s="12"/>
      <c r="L2535" s="12"/>
      <c r="M2535" s="12"/>
      <c r="N2535" s="12"/>
      <c r="O2535" s="12"/>
      <c r="P2535" s="12"/>
      <c r="Q2535" s="12"/>
      <c r="R2535" s="12"/>
      <c r="S2535" s="2"/>
      <c r="T2535" s="2"/>
      <c r="U2535" s="12"/>
      <c r="V2535" s="12"/>
      <c r="W2535" s="12"/>
      <c r="X2535" s="12"/>
      <c r="Y2535" s="12"/>
      <c r="Z2535" s="12"/>
      <c r="AA2535" s="12"/>
      <c r="AB2535" s="12"/>
      <c r="AC2535" s="12"/>
      <c r="AD2535" s="12"/>
      <c r="AE2535" s="12"/>
      <c r="AF2535" s="12"/>
    </row>
    <row r="2536" customFormat="false" ht="15.75" hidden="false" customHeight="true" outlineLevel="0" collapsed="false">
      <c r="A2536" s="12"/>
      <c r="B2536" s="12"/>
      <c r="C2536" s="12"/>
      <c r="D2536" s="12"/>
      <c r="E2536" s="12"/>
      <c r="F2536" s="12"/>
      <c r="G2536" s="12"/>
      <c r="H2536" s="12"/>
      <c r="I2536" s="12"/>
      <c r="J2536" s="12"/>
      <c r="K2536" s="12"/>
      <c r="L2536" s="12"/>
      <c r="M2536" s="12"/>
      <c r="N2536" s="12"/>
      <c r="O2536" s="12"/>
      <c r="P2536" s="12"/>
      <c r="Q2536" s="12"/>
      <c r="R2536" s="12"/>
      <c r="S2536" s="2"/>
      <c r="T2536" s="2"/>
      <c r="U2536" s="12"/>
      <c r="V2536" s="12"/>
      <c r="W2536" s="12"/>
      <c r="X2536" s="12"/>
      <c r="Y2536" s="12"/>
      <c r="Z2536" s="12"/>
      <c r="AA2536" s="12"/>
      <c r="AB2536" s="12"/>
      <c r="AC2536" s="12"/>
      <c r="AD2536" s="12"/>
      <c r="AE2536" s="12"/>
      <c r="AF2536" s="12"/>
    </row>
    <row r="2537" customFormat="false" ht="15.75" hidden="false" customHeight="true" outlineLevel="0" collapsed="false">
      <c r="A2537" s="12"/>
      <c r="B2537" s="12"/>
      <c r="C2537" s="12"/>
      <c r="D2537" s="12"/>
      <c r="E2537" s="12"/>
      <c r="F2537" s="12"/>
      <c r="G2537" s="12"/>
      <c r="H2537" s="12"/>
      <c r="I2537" s="12"/>
      <c r="J2537" s="12"/>
      <c r="K2537" s="12"/>
      <c r="L2537" s="12"/>
      <c r="M2537" s="12"/>
      <c r="N2537" s="12"/>
      <c r="O2537" s="12"/>
      <c r="P2537" s="12"/>
      <c r="Q2537" s="12"/>
      <c r="R2537" s="12"/>
      <c r="S2537" s="2"/>
      <c r="T2537" s="2"/>
      <c r="U2537" s="12"/>
      <c r="V2537" s="12"/>
      <c r="W2537" s="12"/>
      <c r="X2537" s="12"/>
      <c r="Y2537" s="12"/>
      <c r="Z2537" s="12"/>
      <c r="AA2537" s="12"/>
      <c r="AB2537" s="12"/>
      <c r="AC2537" s="12"/>
      <c r="AD2537" s="12"/>
      <c r="AE2537" s="12"/>
      <c r="AF2537" s="12"/>
    </row>
    <row r="2538" customFormat="false" ht="15.75" hidden="false" customHeight="true" outlineLevel="0" collapsed="false">
      <c r="A2538" s="12"/>
      <c r="B2538" s="12"/>
      <c r="C2538" s="12"/>
      <c r="D2538" s="12"/>
      <c r="E2538" s="12"/>
      <c r="F2538" s="12"/>
      <c r="G2538" s="12"/>
      <c r="H2538" s="12"/>
      <c r="I2538" s="12"/>
      <c r="J2538" s="12"/>
      <c r="K2538" s="12"/>
      <c r="L2538" s="12"/>
      <c r="M2538" s="12"/>
      <c r="N2538" s="12"/>
      <c r="O2538" s="12"/>
      <c r="P2538" s="12"/>
      <c r="Q2538" s="12"/>
      <c r="R2538" s="12"/>
      <c r="S2538" s="2"/>
      <c r="T2538" s="2"/>
      <c r="U2538" s="12"/>
      <c r="V2538" s="12"/>
      <c r="W2538" s="12"/>
      <c r="X2538" s="12"/>
      <c r="Y2538" s="12"/>
      <c r="Z2538" s="12"/>
      <c r="AA2538" s="12"/>
      <c r="AB2538" s="12"/>
      <c r="AC2538" s="12"/>
      <c r="AD2538" s="12"/>
      <c r="AE2538" s="12"/>
      <c r="AF2538" s="12"/>
    </row>
    <row r="2539" customFormat="false" ht="15.75" hidden="false" customHeight="true" outlineLevel="0" collapsed="false">
      <c r="A2539" s="12"/>
      <c r="B2539" s="12"/>
      <c r="C2539" s="12"/>
      <c r="D2539" s="12"/>
      <c r="E2539" s="12"/>
      <c r="F2539" s="12"/>
      <c r="G2539" s="12"/>
      <c r="H2539" s="12"/>
      <c r="I2539" s="12"/>
      <c r="J2539" s="12"/>
      <c r="K2539" s="12"/>
      <c r="L2539" s="12"/>
      <c r="M2539" s="12"/>
      <c r="N2539" s="12"/>
      <c r="O2539" s="12"/>
      <c r="P2539" s="12"/>
      <c r="Q2539" s="12"/>
      <c r="R2539" s="12"/>
      <c r="S2539" s="2"/>
      <c r="T2539" s="2"/>
      <c r="U2539" s="12"/>
      <c r="V2539" s="12"/>
      <c r="W2539" s="12"/>
      <c r="X2539" s="12"/>
      <c r="Y2539" s="12"/>
      <c r="Z2539" s="12"/>
      <c r="AA2539" s="12"/>
      <c r="AB2539" s="12"/>
      <c r="AC2539" s="12"/>
      <c r="AD2539" s="12"/>
      <c r="AE2539" s="12"/>
      <c r="AF2539" s="12"/>
    </row>
    <row r="2540" customFormat="false" ht="15.75" hidden="false" customHeight="true" outlineLevel="0" collapsed="false">
      <c r="A2540" s="12"/>
      <c r="B2540" s="12"/>
      <c r="C2540" s="12"/>
      <c r="D2540" s="12"/>
      <c r="E2540" s="12"/>
      <c r="F2540" s="12"/>
      <c r="G2540" s="12"/>
      <c r="H2540" s="12"/>
      <c r="I2540" s="12"/>
      <c r="J2540" s="12"/>
      <c r="K2540" s="12"/>
      <c r="L2540" s="12"/>
      <c r="M2540" s="12"/>
      <c r="N2540" s="12"/>
      <c r="O2540" s="12"/>
      <c r="P2540" s="12"/>
      <c r="Q2540" s="12"/>
      <c r="R2540" s="12"/>
      <c r="S2540" s="2"/>
      <c r="T2540" s="2"/>
      <c r="U2540" s="12"/>
      <c r="V2540" s="12"/>
      <c r="W2540" s="12"/>
      <c r="X2540" s="12"/>
      <c r="Y2540" s="12"/>
      <c r="Z2540" s="12"/>
      <c r="AA2540" s="12"/>
      <c r="AB2540" s="12"/>
      <c r="AC2540" s="12"/>
      <c r="AD2540" s="12"/>
      <c r="AE2540" s="12"/>
      <c r="AF2540" s="12"/>
    </row>
    <row r="2541" customFormat="false" ht="15.75" hidden="false" customHeight="true" outlineLevel="0" collapsed="false">
      <c r="A2541" s="12"/>
      <c r="B2541" s="12"/>
      <c r="C2541" s="12"/>
      <c r="D2541" s="12"/>
      <c r="E2541" s="12"/>
      <c r="F2541" s="12"/>
      <c r="G2541" s="12"/>
      <c r="H2541" s="12"/>
      <c r="I2541" s="12"/>
      <c r="J2541" s="12"/>
      <c r="K2541" s="12"/>
      <c r="L2541" s="12"/>
      <c r="M2541" s="12"/>
      <c r="N2541" s="12"/>
      <c r="O2541" s="12"/>
      <c r="P2541" s="12"/>
      <c r="Q2541" s="12"/>
      <c r="R2541" s="12"/>
      <c r="S2541" s="2"/>
      <c r="T2541" s="2"/>
      <c r="U2541" s="12"/>
      <c r="V2541" s="12"/>
      <c r="W2541" s="12"/>
      <c r="X2541" s="12"/>
      <c r="Y2541" s="12"/>
      <c r="Z2541" s="12"/>
      <c r="AA2541" s="12"/>
      <c r="AB2541" s="12"/>
      <c r="AC2541" s="12"/>
      <c r="AD2541" s="12"/>
      <c r="AE2541" s="12"/>
      <c r="AF2541" s="12"/>
    </row>
    <row r="2542" customFormat="false" ht="15.75" hidden="false" customHeight="true" outlineLevel="0" collapsed="false">
      <c r="A2542" s="12"/>
      <c r="B2542" s="12"/>
      <c r="C2542" s="12"/>
      <c r="D2542" s="12"/>
      <c r="E2542" s="12"/>
      <c r="F2542" s="12"/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  <c r="R2542" s="12"/>
      <c r="S2542" s="2"/>
      <c r="T2542" s="2"/>
      <c r="U2542" s="12"/>
      <c r="V2542" s="12"/>
      <c r="W2542" s="12"/>
      <c r="X2542" s="12"/>
      <c r="Y2542" s="12"/>
      <c r="Z2542" s="12"/>
      <c r="AA2542" s="12"/>
      <c r="AB2542" s="12"/>
      <c r="AC2542" s="12"/>
      <c r="AD2542" s="12"/>
      <c r="AE2542" s="12"/>
      <c r="AF2542" s="12"/>
    </row>
    <row r="2543" customFormat="false" ht="15.75" hidden="false" customHeight="true" outlineLevel="0" collapsed="false">
      <c r="A2543" s="12"/>
      <c r="B2543" s="12"/>
      <c r="C2543" s="12"/>
      <c r="D2543" s="12"/>
      <c r="E2543" s="12"/>
      <c r="F2543" s="12"/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  <c r="R2543" s="12"/>
      <c r="S2543" s="2"/>
      <c r="T2543" s="2"/>
      <c r="U2543" s="12"/>
      <c r="V2543" s="12"/>
      <c r="W2543" s="12"/>
      <c r="X2543" s="12"/>
      <c r="Y2543" s="12"/>
      <c r="Z2543" s="12"/>
      <c r="AA2543" s="12"/>
      <c r="AB2543" s="12"/>
      <c r="AC2543" s="12"/>
      <c r="AD2543" s="12"/>
      <c r="AE2543" s="12"/>
      <c r="AF2543" s="12"/>
    </row>
    <row r="2544" customFormat="false" ht="15.75" hidden="false" customHeight="true" outlineLevel="0" collapsed="false">
      <c r="A2544" s="12"/>
      <c r="B2544" s="12"/>
      <c r="C2544" s="12"/>
      <c r="D2544" s="12"/>
      <c r="E2544" s="12"/>
      <c r="F2544" s="12"/>
      <c r="G2544" s="12"/>
      <c r="H2544" s="12"/>
      <c r="I2544" s="12"/>
      <c r="J2544" s="12"/>
      <c r="K2544" s="12"/>
      <c r="L2544" s="12"/>
      <c r="M2544" s="12"/>
      <c r="N2544" s="12"/>
      <c r="O2544" s="12"/>
      <c r="P2544" s="12"/>
      <c r="Q2544" s="12"/>
      <c r="R2544" s="12"/>
      <c r="S2544" s="2"/>
      <c r="T2544" s="2"/>
      <c r="U2544" s="12"/>
      <c r="V2544" s="12"/>
      <c r="W2544" s="12"/>
      <c r="X2544" s="12"/>
      <c r="Y2544" s="12"/>
      <c r="Z2544" s="12"/>
      <c r="AA2544" s="12"/>
      <c r="AB2544" s="12"/>
      <c r="AC2544" s="12"/>
      <c r="AD2544" s="12"/>
      <c r="AE2544" s="12"/>
      <c r="AF2544" s="12"/>
    </row>
    <row r="2545" customFormat="false" ht="15.75" hidden="false" customHeight="true" outlineLevel="0" collapsed="false">
      <c r="A2545" s="12"/>
      <c r="B2545" s="12"/>
      <c r="C2545" s="12"/>
      <c r="D2545" s="12"/>
      <c r="E2545" s="12"/>
      <c r="F2545" s="12"/>
      <c r="G2545" s="12"/>
      <c r="H2545" s="12"/>
      <c r="I2545" s="12"/>
      <c r="J2545" s="12"/>
      <c r="K2545" s="12"/>
      <c r="L2545" s="12"/>
      <c r="M2545" s="12"/>
      <c r="N2545" s="12"/>
      <c r="O2545" s="12"/>
      <c r="P2545" s="12"/>
      <c r="Q2545" s="12"/>
      <c r="R2545" s="12"/>
      <c r="S2545" s="2"/>
      <c r="T2545" s="2"/>
      <c r="U2545" s="12"/>
      <c r="V2545" s="12"/>
      <c r="W2545" s="12"/>
      <c r="X2545" s="12"/>
      <c r="Y2545" s="12"/>
      <c r="Z2545" s="12"/>
      <c r="AA2545" s="12"/>
      <c r="AB2545" s="12"/>
      <c r="AC2545" s="12"/>
      <c r="AD2545" s="12"/>
      <c r="AE2545" s="12"/>
      <c r="AF2545" s="12"/>
    </row>
    <row r="2546" customFormat="false" ht="15.75" hidden="false" customHeight="true" outlineLevel="0" collapsed="false">
      <c r="A2546" s="12"/>
      <c r="B2546" s="12"/>
      <c r="C2546" s="12"/>
      <c r="D2546" s="12"/>
      <c r="E2546" s="12"/>
      <c r="F2546" s="12"/>
      <c r="G2546" s="12"/>
      <c r="H2546" s="12"/>
      <c r="I2546" s="12"/>
      <c r="J2546" s="12"/>
      <c r="K2546" s="12"/>
      <c r="L2546" s="12"/>
      <c r="M2546" s="12"/>
      <c r="N2546" s="12"/>
      <c r="O2546" s="12"/>
      <c r="P2546" s="12"/>
      <c r="Q2546" s="12"/>
      <c r="R2546" s="12"/>
      <c r="S2546" s="2"/>
      <c r="T2546" s="2"/>
      <c r="U2546" s="12"/>
      <c r="V2546" s="12"/>
      <c r="W2546" s="12"/>
      <c r="X2546" s="12"/>
      <c r="Y2546" s="12"/>
      <c r="Z2546" s="12"/>
      <c r="AA2546" s="12"/>
      <c r="AB2546" s="12"/>
      <c r="AC2546" s="12"/>
      <c r="AD2546" s="12"/>
      <c r="AE2546" s="12"/>
      <c r="AF2546" s="12"/>
    </row>
    <row r="2547" customFormat="false" ht="15.75" hidden="false" customHeight="true" outlineLevel="0" collapsed="false">
      <c r="A2547" s="12"/>
      <c r="B2547" s="12"/>
      <c r="C2547" s="12"/>
      <c r="D2547" s="12"/>
      <c r="E2547" s="12"/>
      <c r="F2547" s="12"/>
      <c r="G2547" s="12"/>
      <c r="H2547" s="12"/>
      <c r="I2547" s="12"/>
      <c r="J2547" s="12"/>
      <c r="K2547" s="12"/>
      <c r="L2547" s="12"/>
      <c r="M2547" s="12"/>
      <c r="N2547" s="12"/>
      <c r="O2547" s="12"/>
      <c r="P2547" s="12"/>
      <c r="Q2547" s="12"/>
      <c r="R2547" s="12"/>
      <c r="S2547" s="2"/>
      <c r="T2547" s="2"/>
      <c r="U2547" s="12"/>
      <c r="V2547" s="12"/>
      <c r="W2547" s="12"/>
      <c r="X2547" s="12"/>
      <c r="Y2547" s="12"/>
      <c r="Z2547" s="12"/>
      <c r="AA2547" s="12"/>
      <c r="AB2547" s="12"/>
      <c r="AC2547" s="12"/>
      <c r="AD2547" s="12"/>
      <c r="AE2547" s="12"/>
      <c r="AF2547" s="12"/>
    </row>
    <row r="2548" customFormat="false" ht="15.75" hidden="false" customHeight="true" outlineLevel="0" collapsed="false">
      <c r="A2548" s="12"/>
      <c r="B2548" s="12"/>
      <c r="C2548" s="12"/>
      <c r="D2548" s="12"/>
      <c r="E2548" s="12"/>
      <c r="F2548" s="12"/>
      <c r="G2548" s="12"/>
      <c r="H2548" s="12"/>
      <c r="I2548" s="12"/>
      <c r="J2548" s="12"/>
      <c r="K2548" s="12"/>
      <c r="L2548" s="12"/>
      <c r="M2548" s="12"/>
      <c r="N2548" s="12"/>
      <c r="O2548" s="12"/>
      <c r="P2548" s="12"/>
      <c r="Q2548" s="12"/>
      <c r="R2548" s="12"/>
      <c r="S2548" s="2"/>
      <c r="T2548" s="2"/>
      <c r="U2548" s="12"/>
      <c r="V2548" s="12"/>
      <c r="W2548" s="12"/>
      <c r="X2548" s="12"/>
      <c r="Y2548" s="12"/>
      <c r="Z2548" s="12"/>
      <c r="AA2548" s="12"/>
      <c r="AB2548" s="12"/>
      <c r="AC2548" s="12"/>
      <c r="AD2548" s="12"/>
      <c r="AE2548" s="12"/>
      <c r="AF2548" s="12"/>
    </row>
    <row r="2549" customFormat="false" ht="15.75" hidden="false" customHeight="true" outlineLevel="0" collapsed="false">
      <c r="A2549" s="12"/>
      <c r="B2549" s="12"/>
      <c r="C2549" s="12"/>
      <c r="D2549" s="12"/>
      <c r="E2549" s="12"/>
      <c r="F2549" s="12"/>
      <c r="G2549" s="12"/>
      <c r="H2549" s="12"/>
      <c r="I2549" s="12"/>
      <c r="J2549" s="12"/>
      <c r="K2549" s="12"/>
      <c r="L2549" s="12"/>
      <c r="M2549" s="12"/>
      <c r="N2549" s="12"/>
      <c r="O2549" s="12"/>
      <c r="P2549" s="12"/>
      <c r="Q2549" s="12"/>
      <c r="R2549" s="12"/>
      <c r="S2549" s="2"/>
      <c r="T2549" s="2"/>
      <c r="U2549" s="12"/>
      <c r="V2549" s="12"/>
      <c r="W2549" s="12"/>
      <c r="X2549" s="12"/>
      <c r="Y2549" s="12"/>
      <c r="Z2549" s="12"/>
      <c r="AA2549" s="12"/>
      <c r="AB2549" s="12"/>
      <c r="AC2549" s="12"/>
      <c r="AD2549" s="12"/>
      <c r="AE2549" s="12"/>
      <c r="AF2549" s="12"/>
    </row>
    <row r="2550" customFormat="false" ht="15.75" hidden="false" customHeight="true" outlineLevel="0" collapsed="false">
      <c r="A2550" s="12"/>
      <c r="B2550" s="12"/>
      <c r="C2550" s="12"/>
      <c r="D2550" s="12"/>
      <c r="E2550" s="12"/>
      <c r="F2550" s="12"/>
      <c r="G2550" s="12"/>
      <c r="H2550" s="12"/>
      <c r="I2550" s="12"/>
      <c r="J2550" s="12"/>
      <c r="K2550" s="12"/>
      <c r="L2550" s="12"/>
      <c r="M2550" s="12"/>
      <c r="N2550" s="12"/>
      <c r="O2550" s="12"/>
      <c r="P2550" s="12"/>
      <c r="Q2550" s="12"/>
      <c r="R2550" s="12"/>
      <c r="S2550" s="2"/>
      <c r="T2550" s="2"/>
      <c r="U2550" s="12"/>
      <c r="V2550" s="12"/>
      <c r="W2550" s="12"/>
      <c r="X2550" s="12"/>
      <c r="Y2550" s="12"/>
      <c r="Z2550" s="12"/>
      <c r="AA2550" s="12"/>
      <c r="AB2550" s="12"/>
      <c r="AC2550" s="12"/>
      <c r="AD2550" s="12"/>
      <c r="AE2550" s="12"/>
      <c r="AF2550" s="12"/>
    </row>
    <row r="2551" customFormat="false" ht="15.75" hidden="false" customHeight="true" outlineLevel="0" collapsed="false">
      <c r="A2551" s="12"/>
      <c r="B2551" s="12"/>
      <c r="C2551" s="12"/>
      <c r="D2551" s="12"/>
      <c r="E2551" s="12"/>
      <c r="F2551" s="12"/>
      <c r="G2551" s="12"/>
      <c r="H2551" s="12"/>
      <c r="I2551" s="12"/>
      <c r="J2551" s="12"/>
      <c r="K2551" s="12"/>
      <c r="L2551" s="12"/>
      <c r="M2551" s="12"/>
      <c r="N2551" s="12"/>
      <c r="O2551" s="12"/>
      <c r="P2551" s="12"/>
      <c r="Q2551" s="12"/>
      <c r="R2551" s="12"/>
      <c r="S2551" s="2"/>
      <c r="T2551" s="2"/>
      <c r="U2551" s="12"/>
      <c r="V2551" s="12"/>
      <c r="W2551" s="12"/>
      <c r="X2551" s="12"/>
      <c r="Y2551" s="12"/>
      <c r="Z2551" s="12"/>
      <c r="AA2551" s="12"/>
      <c r="AB2551" s="12"/>
      <c r="AC2551" s="12"/>
      <c r="AD2551" s="12"/>
      <c r="AE2551" s="12"/>
      <c r="AF2551" s="12"/>
    </row>
    <row r="2552" customFormat="false" ht="15.75" hidden="false" customHeight="true" outlineLevel="0" collapsed="false">
      <c r="A2552" s="12"/>
      <c r="B2552" s="12"/>
      <c r="C2552" s="12"/>
      <c r="D2552" s="12"/>
      <c r="E2552" s="12"/>
      <c r="F2552" s="12"/>
      <c r="G2552" s="12"/>
      <c r="H2552" s="12"/>
      <c r="I2552" s="12"/>
      <c r="J2552" s="12"/>
      <c r="K2552" s="12"/>
      <c r="L2552" s="12"/>
      <c r="M2552" s="12"/>
      <c r="N2552" s="12"/>
      <c r="O2552" s="12"/>
      <c r="P2552" s="12"/>
      <c r="Q2552" s="12"/>
      <c r="R2552" s="12"/>
      <c r="S2552" s="2"/>
      <c r="T2552" s="2"/>
      <c r="U2552" s="12"/>
      <c r="V2552" s="12"/>
      <c r="W2552" s="12"/>
      <c r="X2552" s="12"/>
      <c r="Y2552" s="12"/>
      <c r="Z2552" s="12"/>
      <c r="AA2552" s="12"/>
      <c r="AB2552" s="12"/>
      <c r="AC2552" s="12"/>
      <c r="AD2552" s="12"/>
      <c r="AE2552" s="12"/>
      <c r="AF2552" s="12"/>
    </row>
    <row r="2553" customFormat="false" ht="15.75" hidden="false" customHeight="true" outlineLevel="0" collapsed="false">
      <c r="A2553" s="12"/>
      <c r="B2553" s="12"/>
      <c r="C2553" s="12"/>
      <c r="D2553" s="12"/>
      <c r="E2553" s="12"/>
      <c r="F2553" s="12"/>
      <c r="G2553" s="12"/>
      <c r="H2553" s="12"/>
      <c r="I2553" s="12"/>
      <c r="J2553" s="12"/>
      <c r="K2553" s="12"/>
      <c r="L2553" s="12"/>
      <c r="M2553" s="12"/>
      <c r="N2553" s="12"/>
      <c r="O2553" s="12"/>
      <c r="P2553" s="12"/>
      <c r="Q2553" s="12"/>
      <c r="R2553" s="12"/>
      <c r="S2553" s="2"/>
      <c r="T2553" s="2"/>
      <c r="U2553" s="12"/>
      <c r="V2553" s="12"/>
      <c r="W2553" s="12"/>
      <c r="X2553" s="12"/>
      <c r="Y2553" s="12"/>
      <c r="Z2553" s="12"/>
      <c r="AA2553" s="12"/>
      <c r="AB2553" s="12"/>
      <c r="AC2553" s="12"/>
      <c r="AD2553" s="12"/>
      <c r="AE2553" s="12"/>
      <c r="AF2553" s="12"/>
    </row>
    <row r="2554" customFormat="false" ht="15.75" hidden="false" customHeight="true" outlineLevel="0" collapsed="false">
      <c r="A2554" s="12"/>
      <c r="B2554" s="12"/>
      <c r="C2554" s="12"/>
      <c r="D2554" s="12"/>
      <c r="E2554" s="12"/>
      <c r="F2554" s="12"/>
      <c r="G2554" s="12"/>
      <c r="H2554" s="12"/>
      <c r="I2554" s="12"/>
      <c r="J2554" s="12"/>
      <c r="K2554" s="12"/>
      <c r="L2554" s="12"/>
      <c r="M2554" s="12"/>
      <c r="N2554" s="12"/>
      <c r="O2554" s="12"/>
      <c r="P2554" s="12"/>
      <c r="Q2554" s="12"/>
      <c r="R2554" s="12"/>
      <c r="S2554" s="2"/>
      <c r="T2554" s="2"/>
      <c r="U2554" s="12"/>
      <c r="V2554" s="12"/>
      <c r="W2554" s="12"/>
      <c r="X2554" s="12"/>
      <c r="Y2554" s="12"/>
      <c r="Z2554" s="12"/>
      <c r="AA2554" s="12"/>
      <c r="AB2554" s="12"/>
      <c r="AC2554" s="12"/>
      <c r="AD2554" s="12"/>
      <c r="AE2554" s="12"/>
      <c r="AF2554" s="12"/>
    </row>
    <row r="2555" customFormat="false" ht="15.75" hidden="false" customHeight="true" outlineLevel="0" collapsed="false">
      <c r="A2555" s="12"/>
      <c r="B2555" s="12"/>
      <c r="C2555" s="12"/>
      <c r="D2555" s="12"/>
      <c r="E2555" s="12"/>
      <c r="F2555" s="12"/>
      <c r="G2555" s="12"/>
      <c r="H2555" s="12"/>
      <c r="I2555" s="12"/>
      <c r="J2555" s="12"/>
      <c r="K2555" s="12"/>
      <c r="L2555" s="12"/>
      <c r="M2555" s="12"/>
      <c r="N2555" s="12"/>
      <c r="O2555" s="12"/>
      <c r="P2555" s="12"/>
      <c r="Q2555" s="12"/>
      <c r="R2555" s="12"/>
      <c r="S2555" s="2"/>
      <c r="T2555" s="2"/>
      <c r="U2555" s="12"/>
      <c r="V2555" s="12"/>
      <c r="W2555" s="12"/>
      <c r="X2555" s="12"/>
      <c r="Y2555" s="12"/>
      <c r="Z2555" s="12"/>
      <c r="AA2555" s="12"/>
      <c r="AB2555" s="12"/>
      <c r="AC2555" s="12"/>
      <c r="AD2555" s="12"/>
      <c r="AE2555" s="12"/>
      <c r="AF2555" s="12"/>
    </row>
    <row r="2556" customFormat="false" ht="15.75" hidden="false" customHeight="true" outlineLevel="0" collapsed="false">
      <c r="A2556" s="12"/>
      <c r="B2556" s="12"/>
      <c r="C2556" s="12"/>
      <c r="D2556" s="12"/>
      <c r="E2556" s="12"/>
      <c r="F2556" s="12"/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  <c r="R2556" s="12"/>
      <c r="S2556" s="2"/>
      <c r="T2556" s="2"/>
      <c r="U2556" s="12"/>
      <c r="V2556" s="12"/>
      <c r="W2556" s="12"/>
      <c r="X2556" s="12"/>
      <c r="Y2556" s="12"/>
      <c r="Z2556" s="12"/>
      <c r="AA2556" s="12"/>
      <c r="AB2556" s="12"/>
      <c r="AC2556" s="12"/>
      <c r="AD2556" s="12"/>
      <c r="AE2556" s="12"/>
      <c r="AF2556" s="12"/>
    </row>
    <row r="2557" customFormat="false" ht="15.75" hidden="false" customHeight="true" outlineLevel="0" collapsed="false">
      <c r="A2557" s="12"/>
      <c r="B2557" s="12"/>
      <c r="C2557" s="12"/>
      <c r="D2557" s="12"/>
      <c r="E2557" s="12"/>
      <c r="F2557" s="12"/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  <c r="R2557" s="12"/>
      <c r="S2557" s="2"/>
      <c r="T2557" s="2"/>
      <c r="U2557" s="12"/>
      <c r="V2557" s="12"/>
      <c r="W2557" s="12"/>
      <c r="X2557" s="12"/>
      <c r="Y2557" s="12"/>
      <c r="Z2557" s="12"/>
      <c r="AA2557" s="12"/>
      <c r="AB2557" s="12"/>
      <c r="AC2557" s="12"/>
      <c r="AD2557" s="12"/>
      <c r="AE2557" s="12"/>
      <c r="AF2557" s="12"/>
    </row>
    <row r="2558" customFormat="false" ht="15.75" hidden="false" customHeight="true" outlineLevel="0" collapsed="false">
      <c r="A2558" s="12"/>
      <c r="B2558" s="12"/>
      <c r="C2558" s="12"/>
      <c r="D2558" s="12"/>
      <c r="E2558" s="12"/>
      <c r="F2558" s="12"/>
      <c r="G2558" s="12"/>
      <c r="H2558" s="12"/>
      <c r="I2558" s="12"/>
      <c r="J2558" s="12"/>
      <c r="K2558" s="12"/>
      <c r="L2558" s="12"/>
      <c r="M2558" s="12"/>
      <c r="N2558" s="12"/>
      <c r="O2558" s="12"/>
      <c r="P2558" s="12"/>
      <c r="Q2558" s="12"/>
      <c r="R2558" s="12"/>
      <c r="S2558" s="2"/>
      <c r="T2558" s="2"/>
      <c r="U2558" s="12"/>
      <c r="V2558" s="12"/>
      <c r="W2558" s="12"/>
      <c r="X2558" s="12"/>
      <c r="Y2558" s="12"/>
      <c r="Z2558" s="12"/>
      <c r="AA2558" s="12"/>
      <c r="AB2558" s="12"/>
      <c r="AC2558" s="12"/>
      <c r="AD2558" s="12"/>
      <c r="AE2558" s="12"/>
      <c r="AF2558" s="12"/>
    </row>
    <row r="2559" customFormat="false" ht="15.75" hidden="false" customHeight="true" outlineLevel="0" collapsed="false">
      <c r="A2559" s="12"/>
      <c r="B2559" s="12"/>
      <c r="C2559" s="12"/>
      <c r="D2559" s="12"/>
      <c r="E2559" s="12"/>
      <c r="F2559" s="12"/>
      <c r="G2559" s="12"/>
      <c r="H2559" s="12"/>
      <c r="I2559" s="12"/>
      <c r="J2559" s="12"/>
      <c r="K2559" s="12"/>
      <c r="L2559" s="12"/>
      <c r="M2559" s="12"/>
      <c r="N2559" s="12"/>
      <c r="O2559" s="12"/>
      <c r="P2559" s="12"/>
      <c r="Q2559" s="12"/>
      <c r="R2559" s="12"/>
      <c r="S2559" s="2"/>
      <c r="T2559" s="2"/>
      <c r="U2559" s="12"/>
      <c r="V2559" s="12"/>
      <c r="W2559" s="12"/>
      <c r="X2559" s="12"/>
      <c r="Y2559" s="12"/>
      <c r="Z2559" s="12"/>
      <c r="AA2559" s="12"/>
      <c r="AB2559" s="12"/>
      <c r="AC2559" s="12"/>
      <c r="AD2559" s="12"/>
      <c r="AE2559" s="12"/>
      <c r="AF2559" s="12"/>
    </row>
    <row r="2560" customFormat="false" ht="15.75" hidden="false" customHeight="true" outlineLevel="0" collapsed="false">
      <c r="A2560" s="12"/>
      <c r="B2560" s="12"/>
      <c r="C2560" s="12"/>
      <c r="D2560" s="12"/>
      <c r="E2560" s="12"/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2"/>
      <c r="T2560" s="2"/>
      <c r="U2560" s="12"/>
      <c r="V2560" s="12"/>
      <c r="W2560" s="12"/>
      <c r="X2560" s="12"/>
      <c r="Y2560" s="12"/>
      <c r="Z2560" s="12"/>
      <c r="AA2560" s="12"/>
      <c r="AB2560" s="12"/>
      <c r="AC2560" s="12"/>
      <c r="AD2560" s="12"/>
      <c r="AE2560" s="12"/>
      <c r="AF2560" s="12"/>
    </row>
    <row r="2561" customFormat="false" ht="15.75" hidden="false" customHeight="true" outlineLevel="0" collapsed="false">
      <c r="A2561" s="12"/>
      <c r="B2561" s="12"/>
      <c r="C2561" s="12"/>
      <c r="D2561" s="12"/>
      <c r="E2561" s="12"/>
      <c r="F2561" s="12"/>
      <c r="G2561" s="12"/>
      <c r="H2561" s="12"/>
      <c r="I2561" s="12"/>
      <c r="J2561" s="12"/>
      <c r="K2561" s="12"/>
      <c r="L2561" s="12"/>
      <c r="M2561" s="12"/>
      <c r="N2561" s="12"/>
      <c r="O2561" s="12"/>
      <c r="P2561" s="12"/>
      <c r="Q2561" s="12"/>
      <c r="R2561" s="12"/>
      <c r="S2561" s="2"/>
      <c r="T2561" s="2"/>
      <c r="U2561" s="12"/>
      <c r="V2561" s="12"/>
      <c r="W2561" s="12"/>
      <c r="X2561" s="12"/>
      <c r="Y2561" s="12"/>
      <c r="Z2561" s="12"/>
      <c r="AA2561" s="12"/>
      <c r="AB2561" s="12"/>
      <c r="AC2561" s="12"/>
      <c r="AD2561" s="12"/>
      <c r="AE2561" s="12"/>
      <c r="AF2561" s="12"/>
    </row>
    <row r="2562" customFormat="false" ht="15.75" hidden="false" customHeight="true" outlineLevel="0" collapsed="false">
      <c r="A2562" s="12"/>
      <c r="B2562" s="12"/>
      <c r="C2562" s="12"/>
      <c r="D2562" s="12"/>
      <c r="E2562" s="12"/>
      <c r="F2562" s="12"/>
      <c r="G2562" s="12"/>
      <c r="H2562" s="12"/>
      <c r="I2562" s="12"/>
      <c r="J2562" s="12"/>
      <c r="K2562" s="12"/>
      <c r="L2562" s="12"/>
      <c r="M2562" s="12"/>
      <c r="N2562" s="12"/>
      <c r="O2562" s="12"/>
      <c r="P2562" s="12"/>
      <c r="Q2562" s="12"/>
      <c r="R2562" s="12"/>
      <c r="S2562" s="2"/>
      <c r="T2562" s="2"/>
      <c r="U2562" s="12"/>
      <c r="V2562" s="12"/>
      <c r="W2562" s="12"/>
      <c r="X2562" s="12"/>
      <c r="Y2562" s="12"/>
      <c r="Z2562" s="12"/>
      <c r="AA2562" s="12"/>
      <c r="AB2562" s="12"/>
      <c r="AC2562" s="12"/>
      <c r="AD2562" s="12"/>
      <c r="AE2562" s="12"/>
      <c r="AF2562" s="12"/>
    </row>
    <row r="2563" customFormat="false" ht="15.75" hidden="false" customHeight="true" outlineLevel="0" collapsed="false">
      <c r="A2563" s="12"/>
      <c r="B2563" s="12"/>
      <c r="C2563" s="12"/>
      <c r="D2563" s="12"/>
      <c r="E2563" s="12"/>
      <c r="F2563" s="12"/>
      <c r="G2563" s="12"/>
      <c r="H2563" s="12"/>
      <c r="I2563" s="12"/>
      <c r="J2563" s="12"/>
      <c r="K2563" s="12"/>
      <c r="L2563" s="12"/>
      <c r="M2563" s="12"/>
      <c r="N2563" s="12"/>
      <c r="O2563" s="12"/>
      <c r="P2563" s="12"/>
      <c r="Q2563" s="12"/>
      <c r="R2563" s="12"/>
      <c r="S2563" s="2"/>
      <c r="T2563" s="2"/>
      <c r="U2563" s="12"/>
      <c r="V2563" s="12"/>
      <c r="W2563" s="12"/>
      <c r="X2563" s="12"/>
      <c r="Y2563" s="12"/>
      <c r="Z2563" s="12"/>
      <c r="AA2563" s="12"/>
      <c r="AB2563" s="12"/>
      <c r="AC2563" s="12"/>
      <c r="AD2563" s="12"/>
      <c r="AE2563" s="12"/>
      <c r="AF2563" s="12"/>
    </row>
    <row r="2564" customFormat="false" ht="15.75" hidden="false" customHeight="true" outlineLevel="0" collapsed="false">
      <c r="A2564" s="12"/>
      <c r="B2564" s="12"/>
      <c r="C2564" s="12"/>
      <c r="D2564" s="12"/>
      <c r="E2564" s="12"/>
      <c r="F2564" s="12"/>
      <c r="G2564" s="12"/>
      <c r="H2564" s="12"/>
      <c r="I2564" s="12"/>
      <c r="J2564" s="12"/>
      <c r="K2564" s="12"/>
      <c r="L2564" s="12"/>
      <c r="M2564" s="12"/>
      <c r="N2564" s="12"/>
      <c r="O2564" s="12"/>
      <c r="P2564" s="12"/>
      <c r="Q2564" s="12"/>
      <c r="R2564" s="12"/>
      <c r="S2564" s="2"/>
      <c r="T2564" s="2"/>
      <c r="U2564" s="12"/>
      <c r="V2564" s="12"/>
      <c r="W2564" s="12"/>
      <c r="X2564" s="12"/>
      <c r="Y2564" s="12"/>
      <c r="Z2564" s="12"/>
      <c r="AA2564" s="12"/>
      <c r="AB2564" s="12"/>
      <c r="AC2564" s="12"/>
      <c r="AD2564" s="12"/>
      <c r="AE2564" s="12"/>
      <c r="AF2564" s="12"/>
    </row>
    <row r="2565" customFormat="false" ht="15.75" hidden="false" customHeight="true" outlineLevel="0" collapsed="false">
      <c r="A2565" s="12"/>
      <c r="B2565" s="12"/>
      <c r="C2565" s="12"/>
      <c r="D2565" s="12"/>
      <c r="E2565" s="12"/>
      <c r="F2565" s="12"/>
      <c r="G2565" s="12"/>
      <c r="H2565" s="12"/>
      <c r="I2565" s="12"/>
      <c r="J2565" s="12"/>
      <c r="K2565" s="12"/>
      <c r="L2565" s="12"/>
      <c r="M2565" s="12"/>
      <c r="N2565" s="12"/>
      <c r="O2565" s="12"/>
      <c r="P2565" s="12"/>
      <c r="Q2565" s="12"/>
      <c r="R2565" s="12"/>
      <c r="S2565" s="2"/>
      <c r="T2565" s="2"/>
      <c r="U2565" s="12"/>
      <c r="V2565" s="12"/>
      <c r="W2565" s="12"/>
      <c r="X2565" s="12"/>
      <c r="Y2565" s="12"/>
      <c r="Z2565" s="12"/>
      <c r="AA2565" s="12"/>
      <c r="AB2565" s="12"/>
      <c r="AC2565" s="12"/>
      <c r="AD2565" s="12"/>
      <c r="AE2565" s="12"/>
      <c r="AF2565" s="12"/>
    </row>
    <row r="2566" customFormat="false" ht="15.75" hidden="false" customHeight="true" outlineLevel="0" collapsed="false">
      <c r="A2566" s="12"/>
      <c r="B2566" s="12"/>
      <c r="C2566" s="12"/>
      <c r="D2566" s="12"/>
      <c r="E2566" s="12"/>
      <c r="F2566" s="12"/>
      <c r="G2566" s="12"/>
      <c r="H2566" s="12"/>
      <c r="I2566" s="12"/>
      <c r="J2566" s="12"/>
      <c r="K2566" s="12"/>
      <c r="L2566" s="12"/>
      <c r="M2566" s="12"/>
      <c r="N2566" s="12"/>
      <c r="O2566" s="12"/>
      <c r="P2566" s="12"/>
      <c r="Q2566" s="12"/>
      <c r="R2566" s="12"/>
      <c r="S2566" s="2"/>
      <c r="T2566" s="2"/>
      <c r="U2566" s="12"/>
      <c r="V2566" s="12"/>
      <c r="W2566" s="12"/>
      <c r="X2566" s="12"/>
      <c r="Y2566" s="12"/>
      <c r="Z2566" s="12"/>
      <c r="AA2566" s="12"/>
      <c r="AB2566" s="12"/>
      <c r="AC2566" s="12"/>
      <c r="AD2566" s="12"/>
      <c r="AE2566" s="12"/>
      <c r="AF2566" s="12"/>
    </row>
    <row r="2567" customFormat="false" ht="15.75" hidden="false" customHeight="true" outlineLevel="0" collapsed="false">
      <c r="A2567" s="12"/>
      <c r="B2567" s="12"/>
      <c r="C2567" s="12"/>
      <c r="D2567" s="12"/>
      <c r="E2567" s="12"/>
      <c r="F2567" s="12"/>
      <c r="G2567" s="12"/>
      <c r="H2567" s="12"/>
      <c r="I2567" s="12"/>
      <c r="J2567" s="12"/>
      <c r="K2567" s="12"/>
      <c r="L2567" s="12"/>
      <c r="M2567" s="12"/>
      <c r="N2567" s="12"/>
      <c r="O2567" s="12"/>
      <c r="P2567" s="12"/>
      <c r="Q2567" s="12"/>
      <c r="R2567" s="12"/>
      <c r="S2567" s="2"/>
      <c r="T2567" s="2"/>
      <c r="U2567" s="12"/>
      <c r="V2567" s="12"/>
      <c r="W2567" s="12"/>
      <c r="X2567" s="12"/>
      <c r="Y2567" s="12"/>
      <c r="Z2567" s="12"/>
      <c r="AA2567" s="12"/>
      <c r="AB2567" s="12"/>
      <c r="AC2567" s="12"/>
      <c r="AD2567" s="12"/>
      <c r="AE2567" s="12"/>
      <c r="AF2567" s="12"/>
    </row>
    <row r="2568" customFormat="false" ht="15.75" hidden="false" customHeight="true" outlineLevel="0" collapsed="false">
      <c r="A2568" s="12"/>
      <c r="B2568" s="12"/>
      <c r="C2568" s="12"/>
      <c r="D2568" s="12"/>
      <c r="E2568" s="12"/>
      <c r="F2568" s="12"/>
      <c r="G2568" s="12"/>
      <c r="H2568" s="12"/>
      <c r="I2568" s="12"/>
      <c r="J2568" s="12"/>
      <c r="K2568" s="12"/>
      <c r="L2568" s="12"/>
      <c r="M2568" s="12"/>
      <c r="N2568" s="12"/>
      <c r="O2568" s="12"/>
      <c r="P2568" s="12"/>
      <c r="Q2568" s="12"/>
      <c r="R2568" s="12"/>
      <c r="S2568" s="2"/>
      <c r="T2568" s="2"/>
      <c r="U2568" s="12"/>
      <c r="V2568" s="12"/>
      <c r="W2568" s="12"/>
      <c r="X2568" s="12"/>
      <c r="Y2568" s="12"/>
      <c r="Z2568" s="12"/>
      <c r="AA2568" s="12"/>
      <c r="AB2568" s="12"/>
      <c r="AC2568" s="12"/>
      <c r="AD2568" s="12"/>
      <c r="AE2568" s="12"/>
      <c r="AF2568" s="12"/>
    </row>
    <row r="2569" customFormat="false" ht="15.75" hidden="false" customHeight="true" outlineLevel="0" collapsed="false">
      <c r="A2569" s="12"/>
      <c r="B2569" s="12"/>
      <c r="C2569" s="12"/>
      <c r="D2569" s="12"/>
      <c r="E2569" s="12"/>
      <c r="F2569" s="12"/>
      <c r="G2569" s="12"/>
      <c r="H2569" s="12"/>
      <c r="I2569" s="12"/>
      <c r="J2569" s="12"/>
      <c r="K2569" s="12"/>
      <c r="L2569" s="12"/>
      <c r="M2569" s="12"/>
      <c r="N2569" s="12"/>
      <c r="O2569" s="12"/>
      <c r="P2569" s="12"/>
      <c r="Q2569" s="12"/>
      <c r="R2569" s="12"/>
      <c r="S2569" s="2"/>
      <c r="T2569" s="2"/>
      <c r="U2569" s="12"/>
      <c r="V2569" s="12"/>
      <c r="W2569" s="12"/>
      <c r="X2569" s="12"/>
      <c r="Y2569" s="12"/>
      <c r="Z2569" s="12"/>
      <c r="AA2569" s="12"/>
      <c r="AB2569" s="12"/>
      <c r="AC2569" s="12"/>
      <c r="AD2569" s="12"/>
      <c r="AE2569" s="12"/>
      <c r="AF2569" s="12"/>
    </row>
    <row r="2570" customFormat="false" ht="15.75" hidden="false" customHeight="true" outlineLevel="0" collapsed="false">
      <c r="A2570" s="12"/>
      <c r="B2570" s="12"/>
      <c r="C2570" s="12"/>
      <c r="D2570" s="12"/>
      <c r="E2570" s="12"/>
      <c r="F2570" s="12"/>
      <c r="G2570" s="12"/>
      <c r="H2570" s="12"/>
      <c r="I2570" s="12"/>
      <c r="J2570" s="12"/>
      <c r="K2570" s="12"/>
      <c r="L2570" s="12"/>
      <c r="M2570" s="12"/>
      <c r="N2570" s="12"/>
      <c r="O2570" s="12"/>
      <c r="P2570" s="12"/>
      <c r="Q2570" s="12"/>
      <c r="R2570" s="12"/>
      <c r="S2570" s="2"/>
      <c r="T2570" s="2"/>
      <c r="U2570" s="12"/>
      <c r="V2570" s="12"/>
      <c r="W2570" s="12"/>
      <c r="X2570" s="12"/>
      <c r="Y2570" s="12"/>
      <c r="Z2570" s="12"/>
      <c r="AA2570" s="12"/>
      <c r="AB2570" s="12"/>
      <c r="AC2570" s="12"/>
      <c r="AD2570" s="12"/>
      <c r="AE2570" s="12"/>
      <c r="AF2570" s="12"/>
    </row>
    <row r="2571" customFormat="false" ht="15.75" hidden="false" customHeight="true" outlineLevel="0" collapsed="false">
      <c r="A2571" s="12"/>
      <c r="B2571" s="12"/>
      <c r="C2571" s="12"/>
      <c r="D2571" s="12"/>
      <c r="E2571" s="12"/>
      <c r="F2571" s="12"/>
      <c r="G2571" s="12"/>
      <c r="H2571" s="12"/>
      <c r="I2571" s="12"/>
      <c r="J2571" s="12"/>
      <c r="K2571" s="12"/>
      <c r="L2571" s="12"/>
      <c r="M2571" s="12"/>
      <c r="N2571" s="12"/>
      <c r="O2571" s="12"/>
      <c r="P2571" s="12"/>
      <c r="Q2571" s="12"/>
      <c r="R2571" s="12"/>
      <c r="S2571" s="2"/>
      <c r="T2571" s="2"/>
      <c r="U2571" s="12"/>
      <c r="V2571" s="12"/>
      <c r="W2571" s="12"/>
      <c r="X2571" s="12"/>
      <c r="Y2571" s="12"/>
      <c r="Z2571" s="12"/>
      <c r="AA2571" s="12"/>
      <c r="AB2571" s="12"/>
      <c r="AC2571" s="12"/>
      <c r="AD2571" s="12"/>
      <c r="AE2571" s="12"/>
      <c r="AF2571" s="12"/>
    </row>
    <row r="2572" customFormat="false" ht="15.75" hidden="false" customHeight="true" outlineLevel="0" collapsed="false">
      <c r="A2572" s="12"/>
      <c r="B2572" s="12"/>
      <c r="C2572" s="12"/>
      <c r="D2572" s="12"/>
      <c r="E2572" s="12"/>
      <c r="F2572" s="12"/>
      <c r="G2572" s="12"/>
      <c r="H2572" s="12"/>
      <c r="I2572" s="12"/>
      <c r="J2572" s="12"/>
      <c r="K2572" s="12"/>
      <c r="L2572" s="12"/>
      <c r="M2572" s="12"/>
      <c r="N2572" s="12"/>
      <c r="O2572" s="12"/>
      <c r="P2572" s="12"/>
      <c r="Q2572" s="12"/>
      <c r="R2572" s="12"/>
      <c r="S2572" s="2"/>
      <c r="T2572" s="2"/>
      <c r="U2572" s="12"/>
      <c r="V2572" s="12"/>
      <c r="W2572" s="12"/>
      <c r="X2572" s="12"/>
      <c r="Y2572" s="12"/>
      <c r="Z2572" s="12"/>
      <c r="AA2572" s="12"/>
      <c r="AB2572" s="12"/>
      <c r="AC2572" s="12"/>
      <c r="AD2572" s="12"/>
      <c r="AE2572" s="12"/>
      <c r="AF2572" s="12"/>
    </row>
    <row r="2573" customFormat="false" ht="15.75" hidden="false" customHeight="true" outlineLevel="0" collapsed="false">
      <c r="A2573" s="12"/>
      <c r="B2573" s="12"/>
      <c r="C2573" s="12"/>
      <c r="D2573" s="12"/>
      <c r="E2573" s="12"/>
      <c r="F2573" s="12"/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  <c r="R2573" s="12"/>
      <c r="S2573" s="2"/>
      <c r="T2573" s="2"/>
      <c r="U2573" s="12"/>
      <c r="V2573" s="12"/>
      <c r="W2573" s="12"/>
      <c r="X2573" s="12"/>
      <c r="Y2573" s="12"/>
      <c r="Z2573" s="12"/>
      <c r="AA2573" s="12"/>
      <c r="AB2573" s="12"/>
      <c r="AC2573" s="12"/>
      <c r="AD2573" s="12"/>
      <c r="AE2573" s="12"/>
      <c r="AF2573" s="12"/>
    </row>
    <row r="2574" customFormat="false" ht="15.75" hidden="false" customHeight="true" outlineLevel="0" collapsed="false">
      <c r="A2574" s="12"/>
      <c r="B2574" s="12"/>
      <c r="C2574" s="12"/>
      <c r="D2574" s="12"/>
      <c r="E2574" s="12"/>
      <c r="F2574" s="12"/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  <c r="R2574" s="12"/>
      <c r="S2574" s="2"/>
      <c r="T2574" s="2"/>
      <c r="U2574" s="12"/>
      <c r="V2574" s="12"/>
      <c r="W2574" s="12"/>
      <c r="X2574" s="12"/>
      <c r="Y2574" s="12"/>
      <c r="Z2574" s="12"/>
      <c r="AA2574" s="12"/>
      <c r="AB2574" s="12"/>
      <c r="AC2574" s="12"/>
      <c r="AD2574" s="12"/>
      <c r="AE2574" s="12"/>
      <c r="AF2574" s="12"/>
    </row>
    <row r="2575" customFormat="false" ht="15.75" hidden="false" customHeight="true" outlineLevel="0" collapsed="false">
      <c r="A2575" s="12"/>
      <c r="B2575" s="12"/>
      <c r="C2575" s="12"/>
      <c r="D2575" s="12"/>
      <c r="E2575" s="12"/>
      <c r="F2575" s="12"/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  <c r="R2575" s="12"/>
      <c r="S2575" s="2"/>
      <c r="T2575" s="2"/>
      <c r="U2575" s="12"/>
      <c r="V2575" s="12"/>
      <c r="W2575" s="12"/>
      <c r="X2575" s="12"/>
      <c r="Y2575" s="12"/>
      <c r="Z2575" s="12"/>
      <c r="AA2575" s="12"/>
      <c r="AB2575" s="12"/>
      <c r="AC2575" s="12"/>
      <c r="AD2575" s="12"/>
      <c r="AE2575" s="12"/>
      <c r="AF2575" s="12"/>
    </row>
    <row r="2576" customFormat="false" ht="15.75" hidden="false" customHeight="true" outlineLevel="0" collapsed="false">
      <c r="A2576" s="12"/>
      <c r="B2576" s="12"/>
      <c r="C2576" s="12"/>
      <c r="D2576" s="12"/>
      <c r="E2576" s="12"/>
      <c r="F2576" s="12"/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  <c r="R2576" s="12"/>
      <c r="S2576" s="2"/>
      <c r="T2576" s="2"/>
      <c r="U2576" s="12"/>
      <c r="V2576" s="12"/>
      <c r="W2576" s="12"/>
      <c r="X2576" s="12"/>
      <c r="Y2576" s="12"/>
      <c r="Z2576" s="12"/>
      <c r="AA2576" s="12"/>
      <c r="AB2576" s="12"/>
      <c r="AC2576" s="12"/>
      <c r="AD2576" s="12"/>
      <c r="AE2576" s="12"/>
      <c r="AF2576" s="12"/>
    </row>
    <row r="2577" customFormat="false" ht="15.75" hidden="false" customHeight="true" outlineLevel="0" collapsed="false">
      <c r="A2577" s="12"/>
      <c r="B2577" s="12"/>
      <c r="C2577" s="12"/>
      <c r="D2577" s="12"/>
      <c r="E2577" s="12"/>
      <c r="F2577" s="12"/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  <c r="R2577" s="12"/>
      <c r="S2577" s="2"/>
      <c r="T2577" s="2"/>
      <c r="U2577" s="12"/>
      <c r="V2577" s="12"/>
      <c r="W2577" s="12"/>
      <c r="X2577" s="12"/>
      <c r="Y2577" s="12"/>
      <c r="Z2577" s="12"/>
      <c r="AA2577" s="12"/>
      <c r="AB2577" s="12"/>
      <c r="AC2577" s="12"/>
      <c r="AD2577" s="12"/>
      <c r="AE2577" s="12"/>
      <c r="AF2577" s="12"/>
    </row>
    <row r="2578" customFormat="false" ht="15.75" hidden="false" customHeight="true" outlineLevel="0" collapsed="false">
      <c r="A2578" s="12"/>
      <c r="B2578" s="12"/>
      <c r="C2578" s="12"/>
      <c r="D2578" s="12"/>
      <c r="E2578" s="12"/>
      <c r="F2578" s="12"/>
      <c r="G2578" s="12"/>
      <c r="H2578" s="12"/>
      <c r="I2578" s="12"/>
      <c r="J2578" s="12"/>
      <c r="K2578" s="12"/>
      <c r="L2578" s="12"/>
      <c r="M2578" s="12"/>
      <c r="N2578" s="12"/>
      <c r="O2578" s="12"/>
      <c r="P2578" s="12"/>
      <c r="Q2578" s="12"/>
      <c r="R2578" s="12"/>
      <c r="S2578" s="2"/>
      <c r="T2578" s="2"/>
      <c r="U2578" s="12"/>
      <c r="V2578" s="12"/>
      <c r="W2578" s="12"/>
      <c r="X2578" s="12"/>
      <c r="Y2578" s="12"/>
      <c r="Z2578" s="12"/>
      <c r="AA2578" s="12"/>
      <c r="AB2578" s="12"/>
      <c r="AC2578" s="12"/>
      <c r="AD2578" s="12"/>
      <c r="AE2578" s="12"/>
      <c r="AF2578" s="12"/>
    </row>
    <row r="2579" customFormat="false" ht="15.75" hidden="false" customHeight="true" outlineLevel="0" collapsed="false">
      <c r="A2579" s="12"/>
      <c r="B2579" s="12"/>
      <c r="C2579" s="12"/>
      <c r="D2579" s="12"/>
      <c r="E2579" s="12"/>
      <c r="F2579" s="12"/>
      <c r="G2579" s="12"/>
      <c r="H2579" s="12"/>
      <c r="I2579" s="12"/>
      <c r="J2579" s="12"/>
      <c r="K2579" s="12"/>
      <c r="L2579" s="12"/>
      <c r="M2579" s="12"/>
      <c r="N2579" s="12"/>
      <c r="O2579" s="12"/>
      <c r="P2579" s="12"/>
      <c r="Q2579" s="12"/>
      <c r="R2579" s="12"/>
      <c r="S2579" s="2"/>
      <c r="T2579" s="2"/>
      <c r="U2579" s="12"/>
      <c r="V2579" s="12"/>
      <c r="W2579" s="12"/>
      <c r="X2579" s="12"/>
      <c r="Y2579" s="12"/>
      <c r="Z2579" s="12"/>
      <c r="AA2579" s="12"/>
      <c r="AB2579" s="12"/>
      <c r="AC2579" s="12"/>
      <c r="AD2579" s="12"/>
      <c r="AE2579" s="12"/>
      <c r="AF2579" s="12"/>
    </row>
    <row r="2580" customFormat="false" ht="15.75" hidden="false" customHeight="true" outlineLevel="0" collapsed="false">
      <c r="A2580" s="12"/>
      <c r="B2580" s="12"/>
      <c r="C2580" s="12"/>
      <c r="D2580" s="12"/>
      <c r="E2580" s="12"/>
      <c r="F2580" s="12"/>
      <c r="G2580" s="12"/>
      <c r="H2580" s="12"/>
      <c r="I2580" s="12"/>
      <c r="J2580" s="12"/>
      <c r="K2580" s="12"/>
      <c r="L2580" s="12"/>
      <c r="M2580" s="12"/>
      <c r="N2580" s="12"/>
      <c r="O2580" s="12"/>
      <c r="P2580" s="12"/>
      <c r="Q2580" s="12"/>
      <c r="R2580" s="12"/>
      <c r="S2580" s="2"/>
      <c r="T2580" s="2"/>
      <c r="U2580" s="12"/>
      <c r="V2580" s="12"/>
      <c r="W2580" s="12"/>
      <c r="X2580" s="12"/>
      <c r="Y2580" s="12"/>
      <c r="Z2580" s="12"/>
      <c r="AA2580" s="12"/>
      <c r="AB2580" s="12"/>
      <c r="AC2580" s="12"/>
      <c r="AD2580" s="12"/>
      <c r="AE2580" s="12"/>
      <c r="AF2580" s="12"/>
    </row>
    <row r="2581" customFormat="false" ht="15.75" hidden="false" customHeight="true" outlineLevel="0" collapsed="false">
      <c r="A2581" s="12"/>
      <c r="B2581" s="12"/>
      <c r="C2581" s="12"/>
      <c r="D2581" s="12"/>
      <c r="E2581" s="12"/>
      <c r="F2581" s="12"/>
      <c r="G2581" s="12"/>
      <c r="H2581" s="12"/>
      <c r="I2581" s="12"/>
      <c r="J2581" s="12"/>
      <c r="K2581" s="12"/>
      <c r="L2581" s="12"/>
      <c r="M2581" s="12"/>
      <c r="N2581" s="12"/>
      <c r="O2581" s="12"/>
      <c r="P2581" s="12"/>
      <c r="Q2581" s="12"/>
      <c r="R2581" s="12"/>
      <c r="S2581" s="2"/>
      <c r="T2581" s="2"/>
      <c r="U2581" s="12"/>
      <c r="V2581" s="12"/>
      <c r="W2581" s="12"/>
      <c r="X2581" s="12"/>
      <c r="Y2581" s="12"/>
      <c r="Z2581" s="12"/>
      <c r="AA2581" s="12"/>
      <c r="AB2581" s="12"/>
      <c r="AC2581" s="12"/>
      <c r="AD2581" s="12"/>
      <c r="AE2581" s="12"/>
      <c r="AF2581" s="12"/>
    </row>
    <row r="2582" customFormat="false" ht="15.75" hidden="false" customHeight="true" outlineLevel="0" collapsed="false">
      <c r="A2582" s="12"/>
      <c r="B2582" s="12"/>
      <c r="C2582" s="12"/>
      <c r="D2582" s="12"/>
      <c r="E2582" s="12"/>
      <c r="F2582" s="12"/>
      <c r="G2582" s="12"/>
      <c r="H2582" s="12"/>
      <c r="I2582" s="12"/>
      <c r="J2582" s="12"/>
      <c r="K2582" s="12"/>
      <c r="L2582" s="12"/>
      <c r="M2582" s="12"/>
      <c r="N2582" s="12"/>
      <c r="O2582" s="12"/>
      <c r="P2582" s="12"/>
      <c r="Q2582" s="12"/>
      <c r="R2582" s="12"/>
      <c r="S2582" s="2"/>
      <c r="T2582" s="2"/>
      <c r="U2582" s="12"/>
      <c r="V2582" s="12"/>
      <c r="W2582" s="12"/>
      <c r="X2582" s="12"/>
      <c r="Y2582" s="12"/>
      <c r="Z2582" s="12"/>
      <c r="AA2582" s="12"/>
      <c r="AB2582" s="12"/>
      <c r="AC2582" s="12"/>
      <c r="AD2582" s="12"/>
      <c r="AE2582" s="12"/>
      <c r="AF2582" s="12"/>
    </row>
    <row r="2583" customFormat="false" ht="15.75" hidden="false" customHeight="true" outlineLevel="0" collapsed="false">
      <c r="A2583" s="12"/>
      <c r="B2583" s="12"/>
      <c r="C2583" s="12"/>
      <c r="D2583" s="12"/>
      <c r="E2583" s="12"/>
      <c r="F2583" s="12"/>
      <c r="G2583" s="12"/>
      <c r="H2583" s="12"/>
      <c r="I2583" s="12"/>
      <c r="J2583" s="12"/>
      <c r="K2583" s="12"/>
      <c r="L2583" s="12"/>
      <c r="M2583" s="12"/>
      <c r="N2583" s="12"/>
      <c r="O2583" s="12"/>
      <c r="P2583" s="12"/>
      <c r="Q2583" s="12"/>
      <c r="R2583" s="12"/>
      <c r="S2583" s="2"/>
      <c r="T2583" s="2"/>
      <c r="U2583" s="12"/>
      <c r="V2583" s="12"/>
      <c r="W2583" s="12"/>
      <c r="X2583" s="12"/>
      <c r="Y2583" s="12"/>
      <c r="Z2583" s="12"/>
      <c r="AA2583" s="12"/>
      <c r="AB2583" s="12"/>
      <c r="AC2583" s="12"/>
      <c r="AD2583" s="12"/>
      <c r="AE2583" s="12"/>
      <c r="AF2583" s="12"/>
    </row>
    <row r="2584" customFormat="false" ht="15.75" hidden="false" customHeight="true" outlineLevel="0" collapsed="false">
      <c r="A2584" s="12"/>
      <c r="B2584" s="12"/>
      <c r="C2584" s="12"/>
      <c r="D2584" s="12"/>
      <c r="E2584" s="12"/>
      <c r="F2584" s="12"/>
      <c r="G2584" s="12"/>
      <c r="H2584" s="12"/>
      <c r="I2584" s="12"/>
      <c r="J2584" s="12"/>
      <c r="K2584" s="12"/>
      <c r="L2584" s="12"/>
      <c r="M2584" s="12"/>
      <c r="N2584" s="12"/>
      <c r="O2584" s="12"/>
      <c r="P2584" s="12"/>
      <c r="Q2584" s="12"/>
      <c r="R2584" s="12"/>
      <c r="S2584" s="2"/>
      <c r="T2584" s="2"/>
      <c r="U2584" s="12"/>
      <c r="V2584" s="12"/>
      <c r="W2584" s="12"/>
      <c r="X2584" s="12"/>
      <c r="Y2584" s="12"/>
      <c r="Z2584" s="12"/>
      <c r="AA2584" s="12"/>
      <c r="AB2584" s="12"/>
      <c r="AC2584" s="12"/>
      <c r="AD2584" s="12"/>
      <c r="AE2584" s="12"/>
      <c r="AF2584" s="12"/>
    </row>
    <row r="2585" customFormat="false" ht="15.75" hidden="false" customHeight="true" outlineLevel="0" collapsed="false">
      <c r="A2585" s="12"/>
      <c r="B2585" s="12"/>
      <c r="C2585" s="12"/>
      <c r="D2585" s="12"/>
      <c r="E2585" s="12"/>
      <c r="F2585" s="12"/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  <c r="R2585" s="12"/>
      <c r="S2585" s="2"/>
      <c r="T2585" s="2"/>
      <c r="U2585" s="12"/>
      <c r="V2585" s="12"/>
      <c r="W2585" s="12"/>
      <c r="X2585" s="12"/>
      <c r="Y2585" s="12"/>
      <c r="Z2585" s="12"/>
      <c r="AA2585" s="12"/>
      <c r="AB2585" s="12"/>
      <c r="AC2585" s="12"/>
      <c r="AD2585" s="12"/>
      <c r="AE2585" s="12"/>
      <c r="AF2585" s="12"/>
    </row>
    <row r="2586" customFormat="false" ht="15.75" hidden="false" customHeight="true" outlineLevel="0" collapsed="false">
      <c r="A2586" s="12"/>
      <c r="B2586" s="12"/>
      <c r="C2586" s="12"/>
      <c r="D2586" s="12"/>
      <c r="E2586" s="12"/>
      <c r="F2586" s="12"/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  <c r="R2586" s="12"/>
      <c r="S2586" s="2"/>
      <c r="T2586" s="2"/>
      <c r="U2586" s="12"/>
      <c r="V2586" s="12"/>
      <c r="W2586" s="12"/>
      <c r="X2586" s="12"/>
      <c r="Y2586" s="12"/>
      <c r="Z2586" s="12"/>
      <c r="AA2586" s="12"/>
      <c r="AB2586" s="12"/>
      <c r="AC2586" s="12"/>
      <c r="AD2586" s="12"/>
      <c r="AE2586" s="12"/>
      <c r="AF2586" s="12"/>
    </row>
    <row r="2587" customFormat="false" ht="15.75" hidden="false" customHeight="true" outlineLevel="0" collapsed="false">
      <c r="A2587" s="12"/>
      <c r="B2587" s="12"/>
      <c r="C2587" s="12"/>
      <c r="D2587" s="12"/>
      <c r="E2587" s="12"/>
      <c r="F2587" s="12"/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  <c r="R2587" s="12"/>
      <c r="S2587" s="2"/>
      <c r="T2587" s="2"/>
      <c r="U2587" s="12"/>
      <c r="V2587" s="12"/>
      <c r="W2587" s="12"/>
      <c r="X2587" s="12"/>
      <c r="Y2587" s="12"/>
      <c r="Z2587" s="12"/>
      <c r="AA2587" s="12"/>
      <c r="AB2587" s="12"/>
      <c r="AC2587" s="12"/>
      <c r="AD2587" s="12"/>
      <c r="AE2587" s="12"/>
      <c r="AF2587" s="12"/>
    </row>
    <row r="2588" customFormat="false" ht="15.75" hidden="false" customHeight="true" outlineLevel="0" collapsed="false">
      <c r="A2588" s="12"/>
      <c r="B2588" s="12"/>
      <c r="C2588" s="12"/>
      <c r="D2588" s="12"/>
      <c r="E2588" s="12"/>
      <c r="F2588" s="12"/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  <c r="R2588" s="12"/>
      <c r="S2588" s="2"/>
      <c r="T2588" s="2"/>
      <c r="U2588" s="12"/>
      <c r="V2588" s="12"/>
      <c r="W2588" s="12"/>
      <c r="X2588" s="12"/>
      <c r="Y2588" s="12"/>
      <c r="Z2588" s="12"/>
      <c r="AA2588" s="12"/>
      <c r="AB2588" s="12"/>
      <c r="AC2588" s="12"/>
      <c r="AD2588" s="12"/>
      <c r="AE2588" s="12"/>
      <c r="AF2588" s="12"/>
    </row>
    <row r="2589" customFormat="false" ht="15.75" hidden="false" customHeight="true" outlineLevel="0" collapsed="false">
      <c r="A2589" s="12"/>
      <c r="B2589" s="12"/>
      <c r="C2589" s="12"/>
      <c r="D2589" s="12"/>
      <c r="E2589" s="12"/>
      <c r="F2589" s="12"/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  <c r="R2589" s="12"/>
      <c r="S2589" s="2"/>
      <c r="T2589" s="2"/>
      <c r="U2589" s="12"/>
      <c r="V2589" s="12"/>
      <c r="W2589" s="12"/>
      <c r="X2589" s="12"/>
      <c r="Y2589" s="12"/>
      <c r="Z2589" s="12"/>
      <c r="AA2589" s="12"/>
      <c r="AB2589" s="12"/>
      <c r="AC2589" s="12"/>
      <c r="AD2589" s="12"/>
      <c r="AE2589" s="12"/>
      <c r="AF2589" s="12"/>
    </row>
    <row r="2590" customFormat="false" ht="15.75" hidden="false" customHeight="true" outlineLevel="0" collapsed="false">
      <c r="A2590" s="12"/>
      <c r="B2590" s="12"/>
      <c r="C2590" s="12"/>
      <c r="D2590" s="12"/>
      <c r="E2590" s="12"/>
      <c r="F2590" s="12"/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  <c r="R2590" s="12"/>
      <c r="S2590" s="2"/>
      <c r="T2590" s="2"/>
      <c r="U2590" s="12"/>
      <c r="V2590" s="12"/>
      <c r="W2590" s="12"/>
      <c r="X2590" s="12"/>
      <c r="Y2590" s="12"/>
      <c r="Z2590" s="12"/>
      <c r="AA2590" s="12"/>
      <c r="AB2590" s="12"/>
      <c r="AC2590" s="12"/>
      <c r="AD2590" s="12"/>
      <c r="AE2590" s="12"/>
      <c r="AF2590" s="12"/>
    </row>
    <row r="2591" customFormat="false" ht="15.75" hidden="false" customHeight="true" outlineLevel="0" collapsed="false">
      <c r="A2591" s="12"/>
      <c r="B2591" s="12"/>
      <c r="C2591" s="12"/>
      <c r="D2591" s="12"/>
      <c r="E2591" s="12"/>
      <c r="F2591" s="12"/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  <c r="R2591" s="12"/>
      <c r="S2591" s="2"/>
      <c r="T2591" s="2"/>
      <c r="U2591" s="12"/>
      <c r="V2591" s="12"/>
      <c r="W2591" s="12"/>
      <c r="X2591" s="12"/>
      <c r="Y2591" s="12"/>
      <c r="Z2591" s="12"/>
      <c r="AA2591" s="12"/>
      <c r="AB2591" s="12"/>
      <c r="AC2591" s="12"/>
      <c r="AD2591" s="12"/>
      <c r="AE2591" s="12"/>
      <c r="AF2591" s="12"/>
    </row>
    <row r="2592" customFormat="false" ht="15.75" hidden="false" customHeight="true" outlineLevel="0" collapsed="false">
      <c r="A2592" s="12"/>
      <c r="B2592" s="12"/>
      <c r="C2592" s="12"/>
      <c r="D2592" s="12"/>
      <c r="E2592" s="12"/>
      <c r="F2592" s="12"/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  <c r="R2592" s="12"/>
      <c r="S2592" s="2"/>
      <c r="T2592" s="2"/>
      <c r="U2592" s="12"/>
      <c r="V2592" s="12"/>
      <c r="W2592" s="12"/>
      <c r="X2592" s="12"/>
      <c r="Y2592" s="12"/>
      <c r="Z2592" s="12"/>
      <c r="AA2592" s="12"/>
      <c r="AB2592" s="12"/>
      <c r="AC2592" s="12"/>
      <c r="AD2592" s="12"/>
      <c r="AE2592" s="12"/>
      <c r="AF2592" s="12"/>
    </row>
    <row r="2593" customFormat="false" ht="15.75" hidden="false" customHeight="true" outlineLevel="0" collapsed="false">
      <c r="A2593" s="12"/>
      <c r="B2593" s="12"/>
      <c r="C2593" s="12"/>
      <c r="D2593" s="12"/>
      <c r="E2593" s="12"/>
      <c r="F2593" s="12"/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  <c r="R2593" s="12"/>
      <c r="S2593" s="2"/>
      <c r="T2593" s="2"/>
      <c r="U2593" s="12"/>
      <c r="V2593" s="12"/>
      <c r="W2593" s="12"/>
      <c r="X2593" s="12"/>
      <c r="Y2593" s="12"/>
      <c r="Z2593" s="12"/>
      <c r="AA2593" s="12"/>
      <c r="AB2593" s="12"/>
      <c r="AC2593" s="12"/>
      <c r="AD2593" s="12"/>
      <c r="AE2593" s="12"/>
      <c r="AF2593" s="12"/>
    </row>
    <row r="2594" customFormat="false" ht="15.75" hidden="false" customHeight="true" outlineLevel="0" collapsed="false">
      <c r="A2594" s="12"/>
      <c r="B2594" s="12"/>
      <c r="C2594" s="12"/>
      <c r="D2594" s="12"/>
      <c r="E2594" s="12"/>
      <c r="F2594" s="12"/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  <c r="R2594" s="12"/>
      <c r="S2594" s="2"/>
      <c r="T2594" s="2"/>
      <c r="U2594" s="12"/>
      <c r="V2594" s="12"/>
      <c r="W2594" s="12"/>
      <c r="X2594" s="12"/>
      <c r="Y2594" s="12"/>
      <c r="Z2594" s="12"/>
      <c r="AA2594" s="12"/>
      <c r="AB2594" s="12"/>
      <c r="AC2594" s="12"/>
      <c r="AD2594" s="12"/>
      <c r="AE2594" s="12"/>
      <c r="AF2594" s="12"/>
    </row>
    <row r="2595" customFormat="false" ht="15.75" hidden="false" customHeight="true" outlineLevel="0" collapsed="false">
      <c r="A2595" s="12"/>
      <c r="B2595" s="12"/>
      <c r="C2595" s="12"/>
      <c r="D2595" s="12"/>
      <c r="E2595" s="12"/>
      <c r="F2595" s="12"/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  <c r="R2595" s="12"/>
      <c r="S2595" s="2"/>
      <c r="T2595" s="2"/>
      <c r="U2595" s="12"/>
      <c r="V2595" s="12"/>
      <c r="W2595" s="12"/>
      <c r="X2595" s="12"/>
      <c r="Y2595" s="12"/>
      <c r="Z2595" s="12"/>
      <c r="AA2595" s="12"/>
      <c r="AB2595" s="12"/>
      <c r="AC2595" s="12"/>
      <c r="AD2595" s="12"/>
      <c r="AE2595" s="12"/>
      <c r="AF2595" s="12"/>
    </row>
    <row r="2596" customFormat="false" ht="15.75" hidden="false" customHeight="true" outlineLevel="0" collapsed="false">
      <c r="A2596" s="12"/>
      <c r="B2596" s="12"/>
      <c r="C2596" s="12"/>
      <c r="D2596" s="12"/>
      <c r="E2596" s="12"/>
      <c r="F2596" s="12"/>
      <c r="G2596" s="12"/>
      <c r="H2596" s="12"/>
      <c r="I2596" s="12"/>
      <c r="J2596" s="12"/>
      <c r="K2596" s="12"/>
      <c r="L2596" s="12"/>
      <c r="M2596" s="12"/>
      <c r="N2596" s="12"/>
      <c r="O2596" s="12"/>
      <c r="P2596" s="12"/>
      <c r="Q2596" s="12"/>
      <c r="R2596" s="12"/>
      <c r="S2596" s="2"/>
      <c r="T2596" s="2"/>
      <c r="U2596" s="12"/>
      <c r="V2596" s="12"/>
      <c r="W2596" s="12"/>
      <c r="X2596" s="12"/>
      <c r="Y2596" s="12"/>
      <c r="Z2596" s="12"/>
      <c r="AA2596" s="12"/>
      <c r="AB2596" s="12"/>
      <c r="AC2596" s="12"/>
      <c r="AD2596" s="12"/>
      <c r="AE2596" s="12"/>
      <c r="AF2596" s="12"/>
    </row>
    <row r="2597" customFormat="false" ht="15.75" hidden="false" customHeight="true" outlineLevel="0" collapsed="false">
      <c r="A2597" s="12"/>
      <c r="B2597" s="12"/>
      <c r="C2597" s="12"/>
      <c r="D2597" s="12"/>
      <c r="E2597" s="12"/>
      <c r="F2597" s="12"/>
      <c r="G2597" s="12"/>
      <c r="H2597" s="12"/>
      <c r="I2597" s="12"/>
      <c r="J2597" s="12"/>
      <c r="K2597" s="12"/>
      <c r="L2597" s="12"/>
      <c r="M2597" s="12"/>
      <c r="N2597" s="12"/>
      <c r="O2597" s="12"/>
      <c r="P2597" s="12"/>
      <c r="Q2597" s="12"/>
      <c r="R2597" s="12"/>
      <c r="S2597" s="2"/>
      <c r="T2597" s="2"/>
      <c r="U2597" s="12"/>
      <c r="V2597" s="12"/>
      <c r="W2597" s="12"/>
      <c r="X2597" s="12"/>
      <c r="Y2597" s="12"/>
      <c r="Z2597" s="12"/>
      <c r="AA2597" s="12"/>
      <c r="AB2597" s="12"/>
      <c r="AC2597" s="12"/>
      <c r="AD2597" s="12"/>
      <c r="AE2597" s="12"/>
      <c r="AF2597" s="12"/>
    </row>
    <row r="2598" customFormat="false" ht="15.75" hidden="false" customHeight="true" outlineLevel="0" collapsed="false">
      <c r="A2598" s="12"/>
      <c r="B2598" s="12"/>
      <c r="C2598" s="12"/>
      <c r="D2598" s="12"/>
      <c r="E2598" s="12"/>
      <c r="F2598" s="12"/>
      <c r="G2598" s="12"/>
      <c r="H2598" s="12"/>
      <c r="I2598" s="12"/>
      <c r="J2598" s="12"/>
      <c r="K2598" s="12"/>
      <c r="L2598" s="12"/>
      <c r="M2598" s="12"/>
      <c r="N2598" s="12"/>
      <c r="O2598" s="12"/>
      <c r="P2598" s="12"/>
      <c r="Q2598" s="12"/>
      <c r="R2598" s="12"/>
      <c r="S2598" s="2"/>
      <c r="T2598" s="2"/>
      <c r="U2598" s="12"/>
      <c r="V2598" s="12"/>
      <c r="W2598" s="12"/>
      <c r="X2598" s="12"/>
      <c r="Y2598" s="12"/>
      <c r="Z2598" s="12"/>
      <c r="AA2598" s="12"/>
      <c r="AB2598" s="12"/>
      <c r="AC2598" s="12"/>
      <c r="AD2598" s="12"/>
      <c r="AE2598" s="12"/>
      <c r="AF2598" s="12"/>
    </row>
    <row r="2599" customFormat="false" ht="15.75" hidden="false" customHeight="true" outlineLevel="0" collapsed="false">
      <c r="A2599" s="12"/>
      <c r="B2599" s="12"/>
      <c r="C2599" s="12"/>
      <c r="D2599" s="12"/>
      <c r="E2599" s="12"/>
      <c r="F2599" s="12"/>
      <c r="G2599" s="12"/>
      <c r="H2599" s="12"/>
      <c r="I2599" s="12"/>
      <c r="J2599" s="12"/>
      <c r="K2599" s="12"/>
      <c r="L2599" s="12"/>
      <c r="M2599" s="12"/>
      <c r="N2599" s="12"/>
      <c r="O2599" s="12"/>
      <c r="P2599" s="12"/>
      <c r="Q2599" s="12"/>
      <c r="R2599" s="12"/>
      <c r="S2599" s="2"/>
      <c r="T2599" s="2"/>
      <c r="U2599" s="12"/>
      <c r="V2599" s="12"/>
      <c r="W2599" s="12"/>
      <c r="X2599" s="12"/>
      <c r="Y2599" s="12"/>
      <c r="Z2599" s="12"/>
      <c r="AA2599" s="12"/>
      <c r="AB2599" s="12"/>
      <c r="AC2599" s="12"/>
      <c r="AD2599" s="12"/>
      <c r="AE2599" s="12"/>
      <c r="AF2599" s="12"/>
    </row>
    <row r="2600" customFormat="false" ht="15.75" hidden="false" customHeight="true" outlineLevel="0" collapsed="false">
      <c r="A2600" s="12"/>
      <c r="B2600" s="12"/>
      <c r="C2600" s="12"/>
      <c r="D2600" s="12"/>
      <c r="E2600" s="12"/>
      <c r="F2600" s="12"/>
      <c r="G2600" s="12"/>
      <c r="H2600" s="12"/>
      <c r="I2600" s="12"/>
      <c r="J2600" s="12"/>
      <c r="K2600" s="12"/>
      <c r="L2600" s="12"/>
      <c r="M2600" s="12"/>
      <c r="N2600" s="12"/>
      <c r="O2600" s="12"/>
      <c r="P2600" s="12"/>
      <c r="Q2600" s="12"/>
      <c r="R2600" s="12"/>
      <c r="S2600" s="2"/>
      <c r="T2600" s="2"/>
      <c r="U2600" s="12"/>
      <c r="V2600" s="12"/>
      <c r="W2600" s="12"/>
      <c r="X2600" s="12"/>
      <c r="Y2600" s="12"/>
      <c r="Z2600" s="12"/>
      <c r="AA2600" s="12"/>
      <c r="AB2600" s="12"/>
      <c r="AC2600" s="12"/>
      <c r="AD2600" s="12"/>
      <c r="AE2600" s="12"/>
      <c r="AF2600" s="12"/>
    </row>
    <row r="2601" customFormat="false" ht="15.75" hidden="false" customHeight="true" outlineLevel="0" collapsed="false">
      <c r="A2601" s="12"/>
      <c r="B2601" s="12"/>
      <c r="C2601" s="12"/>
      <c r="D2601" s="12"/>
      <c r="E2601" s="12"/>
      <c r="F2601" s="12"/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  <c r="R2601" s="12"/>
      <c r="S2601" s="2"/>
      <c r="T2601" s="2"/>
      <c r="U2601" s="12"/>
      <c r="V2601" s="12"/>
      <c r="W2601" s="12"/>
      <c r="X2601" s="12"/>
      <c r="Y2601" s="12"/>
      <c r="Z2601" s="12"/>
      <c r="AA2601" s="12"/>
      <c r="AB2601" s="12"/>
      <c r="AC2601" s="12"/>
      <c r="AD2601" s="12"/>
      <c r="AE2601" s="12"/>
      <c r="AF2601" s="12"/>
    </row>
    <row r="2602" customFormat="false" ht="15.75" hidden="false" customHeight="true" outlineLevel="0" collapsed="false">
      <c r="A2602" s="12"/>
      <c r="B2602" s="12"/>
      <c r="C2602" s="12"/>
      <c r="D2602" s="12"/>
      <c r="E2602" s="12"/>
      <c r="F2602" s="12"/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  <c r="R2602" s="12"/>
      <c r="S2602" s="2"/>
      <c r="T2602" s="2"/>
      <c r="U2602" s="12"/>
      <c r="V2602" s="12"/>
      <c r="W2602" s="12"/>
      <c r="X2602" s="12"/>
      <c r="Y2602" s="12"/>
      <c r="Z2602" s="12"/>
      <c r="AA2602" s="12"/>
      <c r="AB2602" s="12"/>
      <c r="AC2602" s="12"/>
      <c r="AD2602" s="12"/>
      <c r="AE2602" s="12"/>
      <c r="AF2602" s="12"/>
    </row>
    <row r="2603" customFormat="false" ht="15.75" hidden="false" customHeight="true" outlineLevel="0" collapsed="false">
      <c r="A2603" s="12"/>
      <c r="B2603" s="12"/>
      <c r="C2603" s="12"/>
      <c r="D2603" s="12"/>
      <c r="E2603" s="12"/>
      <c r="F2603" s="12"/>
      <c r="G2603" s="12"/>
      <c r="H2603" s="12"/>
      <c r="I2603" s="12"/>
      <c r="J2603" s="12"/>
      <c r="K2603" s="12"/>
      <c r="L2603" s="12"/>
      <c r="M2603" s="12"/>
      <c r="N2603" s="12"/>
      <c r="O2603" s="12"/>
      <c r="P2603" s="12"/>
      <c r="Q2603" s="12"/>
      <c r="R2603" s="12"/>
      <c r="S2603" s="2"/>
      <c r="T2603" s="2"/>
      <c r="U2603" s="12"/>
      <c r="V2603" s="12"/>
      <c r="W2603" s="12"/>
      <c r="X2603" s="12"/>
      <c r="Y2603" s="12"/>
      <c r="Z2603" s="12"/>
      <c r="AA2603" s="12"/>
      <c r="AB2603" s="12"/>
      <c r="AC2603" s="12"/>
      <c r="AD2603" s="12"/>
      <c r="AE2603" s="12"/>
      <c r="AF2603" s="12"/>
    </row>
    <row r="2604" customFormat="false" ht="15.75" hidden="false" customHeight="true" outlineLevel="0" collapsed="false">
      <c r="A2604" s="12"/>
      <c r="B2604" s="12"/>
      <c r="C2604" s="12"/>
      <c r="D2604" s="12"/>
      <c r="E2604" s="12"/>
      <c r="F2604" s="12"/>
      <c r="G2604" s="12"/>
      <c r="H2604" s="12"/>
      <c r="I2604" s="12"/>
      <c r="J2604" s="12"/>
      <c r="K2604" s="12"/>
      <c r="L2604" s="12"/>
      <c r="M2604" s="12"/>
      <c r="N2604" s="12"/>
      <c r="O2604" s="12"/>
      <c r="P2604" s="12"/>
      <c r="Q2604" s="12"/>
      <c r="R2604" s="12"/>
      <c r="S2604" s="2"/>
      <c r="T2604" s="2"/>
      <c r="U2604" s="12"/>
      <c r="V2604" s="12"/>
      <c r="W2604" s="12"/>
      <c r="X2604" s="12"/>
      <c r="Y2604" s="12"/>
      <c r="Z2604" s="12"/>
      <c r="AA2604" s="12"/>
      <c r="AB2604" s="12"/>
      <c r="AC2604" s="12"/>
      <c r="AD2604" s="12"/>
      <c r="AE2604" s="12"/>
      <c r="AF2604" s="12"/>
    </row>
    <row r="2605" customFormat="false" ht="15.75" hidden="false" customHeight="true" outlineLevel="0" collapsed="false">
      <c r="A2605" s="12"/>
      <c r="B2605" s="12"/>
      <c r="C2605" s="12"/>
      <c r="D2605" s="12"/>
      <c r="E2605" s="12"/>
      <c r="F2605" s="12"/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  <c r="R2605" s="12"/>
      <c r="S2605" s="2"/>
      <c r="T2605" s="2"/>
      <c r="U2605" s="12"/>
      <c r="V2605" s="12"/>
      <c r="W2605" s="12"/>
      <c r="X2605" s="12"/>
      <c r="Y2605" s="12"/>
      <c r="Z2605" s="12"/>
      <c r="AA2605" s="12"/>
      <c r="AB2605" s="12"/>
      <c r="AC2605" s="12"/>
      <c r="AD2605" s="12"/>
      <c r="AE2605" s="12"/>
      <c r="AF2605" s="12"/>
    </row>
    <row r="2606" customFormat="false" ht="15.75" hidden="false" customHeight="true" outlineLevel="0" collapsed="false">
      <c r="A2606" s="12"/>
      <c r="B2606" s="12"/>
      <c r="C2606" s="12"/>
      <c r="D2606" s="12"/>
      <c r="E2606" s="12"/>
      <c r="F2606" s="12"/>
      <c r="G2606" s="12"/>
      <c r="H2606" s="12"/>
      <c r="I2606" s="12"/>
      <c r="J2606" s="12"/>
      <c r="K2606" s="12"/>
      <c r="L2606" s="12"/>
      <c r="M2606" s="12"/>
      <c r="N2606" s="12"/>
      <c r="O2606" s="12"/>
      <c r="P2606" s="12"/>
      <c r="Q2606" s="12"/>
      <c r="R2606" s="12"/>
      <c r="S2606" s="2"/>
      <c r="T2606" s="2"/>
      <c r="U2606" s="12"/>
      <c r="V2606" s="12"/>
      <c r="W2606" s="12"/>
      <c r="X2606" s="12"/>
      <c r="Y2606" s="12"/>
      <c r="Z2606" s="12"/>
      <c r="AA2606" s="12"/>
      <c r="AB2606" s="12"/>
      <c r="AC2606" s="12"/>
      <c r="AD2606" s="12"/>
      <c r="AE2606" s="12"/>
      <c r="AF2606" s="12"/>
    </row>
    <row r="2607" customFormat="false" ht="15.75" hidden="false" customHeight="true" outlineLevel="0" collapsed="false">
      <c r="A2607" s="12"/>
      <c r="B2607" s="12"/>
      <c r="C2607" s="12"/>
      <c r="D2607" s="12"/>
      <c r="E2607" s="12"/>
      <c r="F2607" s="12"/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  <c r="R2607" s="12"/>
      <c r="S2607" s="2"/>
      <c r="T2607" s="2"/>
      <c r="U2607" s="12"/>
      <c r="V2607" s="12"/>
      <c r="W2607" s="12"/>
      <c r="X2607" s="12"/>
      <c r="Y2607" s="12"/>
      <c r="Z2607" s="12"/>
      <c r="AA2607" s="12"/>
      <c r="AB2607" s="12"/>
      <c r="AC2607" s="12"/>
      <c r="AD2607" s="12"/>
      <c r="AE2607" s="12"/>
      <c r="AF2607" s="12"/>
    </row>
    <row r="2608" customFormat="false" ht="15.75" hidden="false" customHeight="true" outlineLevel="0" collapsed="false">
      <c r="A2608" s="12"/>
      <c r="B2608" s="12"/>
      <c r="C2608" s="12"/>
      <c r="D2608" s="12"/>
      <c r="E2608" s="12"/>
      <c r="F2608" s="12"/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  <c r="R2608" s="12"/>
      <c r="S2608" s="2"/>
      <c r="T2608" s="2"/>
      <c r="U2608" s="12"/>
      <c r="V2608" s="12"/>
      <c r="W2608" s="12"/>
      <c r="X2608" s="12"/>
      <c r="Y2608" s="12"/>
      <c r="Z2608" s="12"/>
      <c r="AA2608" s="12"/>
      <c r="AB2608" s="12"/>
      <c r="AC2608" s="12"/>
      <c r="AD2608" s="12"/>
      <c r="AE2608" s="12"/>
      <c r="AF2608" s="12"/>
    </row>
    <row r="2609" customFormat="false" ht="15.75" hidden="false" customHeight="true" outlineLevel="0" collapsed="false">
      <c r="A2609" s="12"/>
      <c r="B2609" s="12"/>
      <c r="C2609" s="12"/>
      <c r="D2609" s="12"/>
      <c r="E2609" s="12"/>
      <c r="F2609" s="12"/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  <c r="R2609" s="12"/>
      <c r="S2609" s="2"/>
      <c r="T2609" s="2"/>
      <c r="U2609" s="12"/>
      <c r="V2609" s="12"/>
      <c r="W2609" s="12"/>
      <c r="X2609" s="12"/>
      <c r="Y2609" s="12"/>
      <c r="Z2609" s="12"/>
      <c r="AA2609" s="12"/>
      <c r="AB2609" s="12"/>
      <c r="AC2609" s="12"/>
      <c r="AD2609" s="12"/>
      <c r="AE2609" s="12"/>
      <c r="AF2609" s="12"/>
    </row>
    <row r="2610" customFormat="false" ht="15.75" hidden="false" customHeight="true" outlineLevel="0" collapsed="false">
      <c r="A2610" s="12"/>
      <c r="B2610" s="12"/>
      <c r="C2610" s="12"/>
      <c r="D2610" s="12"/>
      <c r="E2610" s="12"/>
      <c r="F2610" s="12"/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  <c r="R2610" s="12"/>
      <c r="S2610" s="2"/>
      <c r="T2610" s="2"/>
      <c r="U2610" s="12"/>
      <c r="V2610" s="12"/>
      <c r="W2610" s="12"/>
      <c r="X2610" s="12"/>
      <c r="Y2610" s="12"/>
      <c r="Z2610" s="12"/>
      <c r="AA2610" s="12"/>
      <c r="AB2610" s="12"/>
      <c r="AC2610" s="12"/>
      <c r="AD2610" s="12"/>
      <c r="AE2610" s="12"/>
      <c r="AF2610" s="12"/>
    </row>
    <row r="2611" customFormat="false" ht="15.75" hidden="false" customHeight="true" outlineLevel="0" collapsed="false">
      <c r="A2611" s="12"/>
      <c r="B2611" s="12"/>
      <c r="C2611" s="12"/>
      <c r="D2611" s="12"/>
      <c r="E2611" s="12"/>
      <c r="F2611" s="12"/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  <c r="R2611" s="12"/>
      <c r="S2611" s="2"/>
      <c r="T2611" s="2"/>
      <c r="U2611" s="12"/>
      <c r="V2611" s="12"/>
      <c r="W2611" s="12"/>
      <c r="X2611" s="12"/>
      <c r="Y2611" s="12"/>
      <c r="Z2611" s="12"/>
      <c r="AA2611" s="12"/>
      <c r="AB2611" s="12"/>
      <c r="AC2611" s="12"/>
      <c r="AD2611" s="12"/>
      <c r="AE2611" s="12"/>
      <c r="AF2611" s="12"/>
    </row>
    <row r="2612" customFormat="false" ht="15.75" hidden="false" customHeight="true" outlineLevel="0" collapsed="false">
      <c r="A2612" s="12"/>
      <c r="B2612" s="12"/>
      <c r="C2612" s="12"/>
      <c r="D2612" s="12"/>
      <c r="E2612" s="12"/>
      <c r="F2612" s="12"/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  <c r="R2612" s="12"/>
      <c r="S2612" s="2"/>
      <c r="T2612" s="2"/>
      <c r="U2612" s="12"/>
      <c r="V2612" s="12"/>
      <c r="W2612" s="12"/>
      <c r="X2612" s="12"/>
      <c r="Y2612" s="12"/>
      <c r="Z2612" s="12"/>
      <c r="AA2612" s="12"/>
      <c r="AB2612" s="12"/>
      <c r="AC2612" s="12"/>
      <c r="AD2612" s="12"/>
      <c r="AE2612" s="12"/>
      <c r="AF2612" s="12"/>
    </row>
    <row r="2613" customFormat="false" ht="15.75" hidden="false" customHeight="true" outlineLevel="0" collapsed="false">
      <c r="A2613" s="12"/>
      <c r="B2613" s="12"/>
      <c r="C2613" s="12"/>
      <c r="D2613" s="12"/>
      <c r="E2613" s="12"/>
      <c r="F2613" s="12"/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  <c r="R2613" s="12"/>
      <c r="S2613" s="2"/>
      <c r="T2613" s="2"/>
      <c r="U2613" s="12"/>
      <c r="V2613" s="12"/>
      <c r="W2613" s="12"/>
      <c r="X2613" s="12"/>
      <c r="Y2613" s="12"/>
      <c r="Z2613" s="12"/>
      <c r="AA2613" s="12"/>
      <c r="AB2613" s="12"/>
      <c r="AC2613" s="12"/>
      <c r="AD2613" s="12"/>
      <c r="AE2613" s="12"/>
      <c r="AF2613" s="12"/>
    </row>
    <row r="2614" customFormat="false" ht="15.75" hidden="false" customHeight="true" outlineLevel="0" collapsed="false">
      <c r="A2614" s="12"/>
      <c r="B2614" s="12"/>
      <c r="C2614" s="12"/>
      <c r="D2614" s="12"/>
      <c r="E2614" s="12"/>
      <c r="F2614" s="12"/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  <c r="R2614" s="12"/>
      <c r="S2614" s="2"/>
      <c r="T2614" s="2"/>
      <c r="U2614" s="12"/>
      <c r="V2614" s="12"/>
      <c r="W2614" s="12"/>
      <c r="X2614" s="12"/>
      <c r="Y2614" s="12"/>
      <c r="Z2614" s="12"/>
      <c r="AA2614" s="12"/>
      <c r="AB2614" s="12"/>
      <c r="AC2614" s="12"/>
      <c r="AD2614" s="12"/>
      <c r="AE2614" s="12"/>
      <c r="AF2614" s="12"/>
    </row>
    <row r="2615" customFormat="false" ht="15.75" hidden="false" customHeight="true" outlineLevel="0" collapsed="false">
      <c r="A2615" s="12"/>
      <c r="B2615" s="12"/>
      <c r="C2615" s="12"/>
      <c r="D2615" s="12"/>
      <c r="E2615" s="12"/>
      <c r="F2615" s="12"/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  <c r="R2615" s="12"/>
      <c r="S2615" s="2"/>
      <c r="T2615" s="2"/>
      <c r="U2615" s="12"/>
      <c r="V2615" s="12"/>
      <c r="W2615" s="12"/>
      <c r="X2615" s="12"/>
      <c r="Y2615" s="12"/>
      <c r="Z2615" s="12"/>
      <c r="AA2615" s="12"/>
      <c r="AB2615" s="12"/>
      <c r="AC2615" s="12"/>
      <c r="AD2615" s="12"/>
      <c r="AE2615" s="12"/>
      <c r="AF2615" s="12"/>
    </row>
    <row r="2616" customFormat="false" ht="15.75" hidden="false" customHeight="true" outlineLevel="0" collapsed="false">
      <c r="A2616" s="12"/>
      <c r="B2616" s="12"/>
      <c r="C2616" s="12"/>
      <c r="D2616" s="12"/>
      <c r="E2616" s="12"/>
      <c r="F2616" s="12"/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  <c r="R2616" s="12"/>
      <c r="S2616" s="2"/>
      <c r="T2616" s="2"/>
      <c r="U2616" s="12"/>
      <c r="V2616" s="12"/>
      <c r="W2616" s="12"/>
      <c r="X2616" s="12"/>
      <c r="Y2616" s="12"/>
      <c r="Z2616" s="12"/>
      <c r="AA2616" s="12"/>
      <c r="AB2616" s="12"/>
      <c r="AC2616" s="12"/>
      <c r="AD2616" s="12"/>
      <c r="AE2616" s="12"/>
      <c r="AF2616" s="12"/>
    </row>
    <row r="2617" customFormat="false" ht="15.75" hidden="false" customHeight="true" outlineLevel="0" collapsed="false">
      <c r="A2617" s="12"/>
      <c r="B2617" s="12"/>
      <c r="C2617" s="12"/>
      <c r="D2617" s="12"/>
      <c r="E2617" s="12"/>
      <c r="F2617" s="12"/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  <c r="R2617" s="12"/>
      <c r="S2617" s="2"/>
      <c r="T2617" s="2"/>
      <c r="U2617" s="12"/>
      <c r="V2617" s="12"/>
      <c r="W2617" s="12"/>
      <c r="X2617" s="12"/>
      <c r="Y2617" s="12"/>
      <c r="Z2617" s="12"/>
      <c r="AA2617" s="12"/>
      <c r="AB2617" s="12"/>
      <c r="AC2617" s="12"/>
      <c r="AD2617" s="12"/>
      <c r="AE2617" s="12"/>
      <c r="AF2617" s="12"/>
    </row>
    <row r="2618" customFormat="false" ht="15.75" hidden="false" customHeight="true" outlineLevel="0" collapsed="false">
      <c r="A2618" s="12"/>
      <c r="B2618" s="12"/>
      <c r="C2618" s="12"/>
      <c r="D2618" s="12"/>
      <c r="E2618" s="12"/>
      <c r="F2618" s="12"/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  <c r="R2618" s="12"/>
      <c r="S2618" s="2"/>
      <c r="T2618" s="2"/>
      <c r="U2618" s="12"/>
      <c r="V2618" s="12"/>
      <c r="W2618" s="12"/>
      <c r="X2618" s="12"/>
      <c r="Y2618" s="12"/>
      <c r="Z2618" s="12"/>
      <c r="AA2618" s="12"/>
      <c r="AB2618" s="12"/>
      <c r="AC2618" s="12"/>
      <c r="AD2618" s="12"/>
      <c r="AE2618" s="12"/>
      <c r="AF2618" s="12"/>
    </row>
    <row r="2619" customFormat="false" ht="15.75" hidden="false" customHeight="true" outlineLevel="0" collapsed="false">
      <c r="A2619" s="12"/>
      <c r="B2619" s="12"/>
      <c r="C2619" s="12"/>
      <c r="D2619" s="12"/>
      <c r="E2619" s="12"/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2"/>
      <c r="T2619" s="2"/>
      <c r="U2619" s="12"/>
      <c r="V2619" s="12"/>
      <c r="W2619" s="12"/>
      <c r="X2619" s="12"/>
      <c r="Y2619" s="12"/>
      <c r="Z2619" s="12"/>
      <c r="AA2619" s="12"/>
      <c r="AB2619" s="12"/>
      <c r="AC2619" s="12"/>
      <c r="AD2619" s="12"/>
      <c r="AE2619" s="12"/>
      <c r="AF2619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2592" colorId="64" zoomScale="100" zoomScaleNormal="100" zoomScalePageLayoutView="100" workbookViewId="0">
      <selection pane="topLeft" activeCell="F2603" activeCellId="0" sqref="F2603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3.9"/>
    <col collapsed="false" customWidth="true" hidden="false" outlineLevel="0" max="2" min="2" style="1" width="5"/>
    <col collapsed="false" customWidth="true" hidden="false" outlineLevel="0" max="3" min="3" style="1" width="16.25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6.25"/>
  </cols>
  <sheetData>
    <row r="1" customFormat="false" ht="12.75" hidden="false" customHeight="true" outlineLevel="0" collapsed="false">
      <c r="A1" s="1" t="s">
        <v>459</v>
      </c>
      <c r="B1" s="13" t="s">
        <v>460</v>
      </c>
      <c r="C1" s="14" t="s">
        <v>461</v>
      </c>
      <c r="D1" s="14" t="s">
        <v>462</v>
      </c>
      <c r="E1" s="15" t="s">
        <v>463</v>
      </c>
      <c r="F1" s="14" t="s">
        <v>464</v>
      </c>
      <c r="G1" s="16" t="s">
        <v>465</v>
      </c>
      <c r="H1" s="17" t="s">
        <v>466</v>
      </c>
      <c r="I1" s="16" t="s">
        <v>467</v>
      </c>
      <c r="J1" s="14" t="s">
        <v>468</v>
      </c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customFormat="false" ht="12.75" hidden="false" customHeight="true" outlineLevel="0" collapsed="false">
      <c r="A2" s="1" t="n">
        <v>1</v>
      </c>
      <c r="B2" s="19" t="n">
        <v>1837</v>
      </c>
      <c r="C2" s="20" t="s">
        <v>469</v>
      </c>
      <c r="D2" s="20" t="s">
        <v>292</v>
      </c>
      <c r="E2" s="21" t="s">
        <v>470</v>
      </c>
      <c r="F2" s="21" t="n">
        <v>37084</v>
      </c>
      <c r="G2" s="22" t="s">
        <v>471</v>
      </c>
      <c r="H2" s="23" t="n">
        <f aca="false">COUNTIF(CAL!U:AF,B2)</f>
        <v>16</v>
      </c>
      <c r="I2" s="22" t="n">
        <v>16</v>
      </c>
      <c r="J2" s="20" t="s">
        <v>472</v>
      </c>
    </row>
    <row r="3" customFormat="false" ht="12.75" hidden="false" customHeight="true" outlineLevel="0" collapsed="false">
      <c r="A3" s="1" t="n">
        <v>2</v>
      </c>
      <c r="B3" s="19" t="n">
        <v>1304</v>
      </c>
      <c r="C3" s="20" t="s">
        <v>473</v>
      </c>
      <c r="D3" s="20" t="s">
        <v>83</v>
      </c>
      <c r="E3" s="24" t="s">
        <v>474</v>
      </c>
      <c r="F3" s="21" t="n">
        <v>36167</v>
      </c>
      <c r="G3" s="22" t="s">
        <v>471</v>
      </c>
      <c r="H3" s="23" t="n">
        <f aca="false">COUNTIF(CAL!U:AF,B3)</f>
        <v>13</v>
      </c>
      <c r="I3" s="22" t="n">
        <v>17</v>
      </c>
      <c r="J3" s="20"/>
    </row>
    <row r="4" customFormat="false" ht="12.75" hidden="false" customHeight="true" outlineLevel="0" collapsed="false">
      <c r="A4" s="1" t="n">
        <v>3</v>
      </c>
      <c r="B4" s="19" t="n">
        <v>1829</v>
      </c>
      <c r="C4" s="20" t="s">
        <v>475</v>
      </c>
      <c r="D4" s="20" t="s">
        <v>328</v>
      </c>
      <c r="E4" s="21" t="s">
        <v>476</v>
      </c>
      <c r="F4" s="21" t="n">
        <v>33111</v>
      </c>
      <c r="G4" s="22" t="s">
        <v>471</v>
      </c>
      <c r="H4" s="23" t="n">
        <f aca="false">COUNTIF(CAL!U:AF,B4)</f>
        <v>12</v>
      </c>
      <c r="I4" s="22" t="n">
        <v>14</v>
      </c>
      <c r="J4" s="20"/>
    </row>
    <row r="5" customFormat="false" ht="12.75" hidden="false" customHeight="true" outlineLevel="0" collapsed="false">
      <c r="A5" s="1" t="n">
        <v>4</v>
      </c>
      <c r="B5" s="19" t="n">
        <v>1418</v>
      </c>
      <c r="C5" s="20" t="s">
        <v>477</v>
      </c>
      <c r="D5" s="20" t="s">
        <v>149</v>
      </c>
      <c r="E5" s="21" t="s">
        <v>478</v>
      </c>
      <c r="F5" s="21" t="n">
        <v>34783</v>
      </c>
      <c r="G5" s="22" t="s">
        <v>471</v>
      </c>
      <c r="H5" s="23" t="n">
        <f aca="false">COUNTIF(CAL!U:AF,B5)</f>
        <v>12</v>
      </c>
      <c r="I5" s="22" t="n">
        <v>21</v>
      </c>
      <c r="J5" s="20"/>
    </row>
    <row r="6" customFormat="false" ht="12.75" hidden="false" customHeight="true" outlineLevel="0" collapsed="false">
      <c r="A6" s="1" t="n">
        <v>5</v>
      </c>
      <c r="B6" s="19" t="n">
        <v>1623</v>
      </c>
      <c r="C6" s="20" t="s">
        <v>479</v>
      </c>
      <c r="D6" s="20" t="s">
        <v>235</v>
      </c>
      <c r="E6" s="21" t="s">
        <v>480</v>
      </c>
      <c r="F6" s="21" t="n">
        <v>34235</v>
      </c>
      <c r="G6" s="22" t="s">
        <v>481</v>
      </c>
      <c r="H6" s="23" t="n">
        <f aca="false">COUNTIF(CAL!U:AF,B6)</f>
        <v>11</v>
      </c>
      <c r="I6" s="22" t="n">
        <v>19</v>
      </c>
      <c r="J6" s="20"/>
    </row>
    <row r="7" customFormat="false" ht="12.75" hidden="false" customHeight="true" outlineLevel="0" collapsed="false">
      <c r="A7" s="1" t="n">
        <v>6</v>
      </c>
      <c r="B7" s="19" t="n">
        <v>1733</v>
      </c>
      <c r="C7" s="20" t="s">
        <v>482</v>
      </c>
      <c r="D7" s="20" t="s">
        <v>187</v>
      </c>
      <c r="E7" s="21" t="s">
        <v>483</v>
      </c>
      <c r="F7" s="21" t="n">
        <v>32317</v>
      </c>
      <c r="G7" s="22" t="s">
        <v>471</v>
      </c>
      <c r="H7" s="23" t="n">
        <f aca="false">COUNTIF(CAL!U:AF,B7)</f>
        <v>11</v>
      </c>
      <c r="I7" s="22" t="n">
        <v>20</v>
      </c>
      <c r="J7" s="20"/>
    </row>
    <row r="8" customFormat="false" ht="12.75" hidden="false" customHeight="true" outlineLevel="0" collapsed="false">
      <c r="A8" s="1" t="n">
        <v>7</v>
      </c>
      <c r="B8" s="19" t="n">
        <v>1128</v>
      </c>
      <c r="C8" s="20" t="s">
        <v>484</v>
      </c>
      <c r="D8" s="20" t="s">
        <v>101</v>
      </c>
      <c r="E8" s="21" t="s">
        <v>485</v>
      </c>
      <c r="F8" s="21" t="n">
        <v>36328</v>
      </c>
      <c r="G8" s="22" t="s">
        <v>471</v>
      </c>
      <c r="H8" s="23" t="n">
        <f aca="false">COUNTIF(CAL!U:AF,B8)</f>
        <v>10</v>
      </c>
      <c r="I8" s="22" t="n">
        <v>15</v>
      </c>
      <c r="J8" s="20"/>
    </row>
    <row r="9" customFormat="false" ht="12.75" hidden="false" customHeight="true" outlineLevel="0" collapsed="false">
      <c r="A9" s="1" t="n">
        <v>8</v>
      </c>
      <c r="B9" s="19" t="n">
        <v>1382</v>
      </c>
      <c r="C9" s="20" t="s">
        <v>486</v>
      </c>
      <c r="D9" s="20" t="s">
        <v>78</v>
      </c>
      <c r="E9" s="24" t="s">
        <v>487</v>
      </c>
      <c r="F9" s="21" t="n">
        <v>36308</v>
      </c>
      <c r="G9" s="22" t="s">
        <v>471</v>
      </c>
      <c r="H9" s="23" t="n">
        <f aca="false">COUNTIF(CAL!U:AF,B9)</f>
        <v>10</v>
      </c>
      <c r="I9" s="22" t="n">
        <v>18</v>
      </c>
      <c r="J9" s="20"/>
    </row>
    <row r="10" customFormat="false" ht="12.75" hidden="false" customHeight="true" outlineLevel="0" collapsed="false">
      <c r="A10" s="1" t="n">
        <v>9</v>
      </c>
      <c r="B10" s="19" t="n">
        <v>1695</v>
      </c>
      <c r="C10" s="20" t="s">
        <v>488</v>
      </c>
      <c r="D10" s="20" t="s">
        <v>302</v>
      </c>
      <c r="E10" s="24" t="s">
        <v>489</v>
      </c>
      <c r="F10" s="21" t="n">
        <v>32312</v>
      </c>
      <c r="G10" s="22" t="s">
        <v>471</v>
      </c>
      <c r="H10" s="23" t="n">
        <f aca="false">COUNTIF(CAL!U:AF,B10)</f>
        <v>10</v>
      </c>
      <c r="I10" s="22" t="n">
        <v>22</v>
      </c>
      <c r="J10" s="20"/>
    </row>
    <row r="11" customFormat="false" ht="12.75" hidden="false" customHeight="true" outlineLevel="0" collapsed="false">
      <c r="A11" s="1" t="n">
        <v>10</v>
      </c>
      <c r="B11" s="19" t="n">
        <v>1639</v>
      </c>
      <c r="C11" s="20" t="s">
        <v>490</v>
      </c>
      <c r="D11" s="20" t="s">
        <v>200</v>
      </c>
      <c r="E11" s="21" t="s">
        <v>491</v>
      </c>
      <c r="F11" s="21" t="n">
        <v>35633</v>
      </c>
      <c r="G11" s="22" t="s">
        <v>492</v>
      </c>
      <c r="H11" s="23" t="n">
        <f aca="false">COUNTIF(CAL!U:AF,B11)</f>
        <v>9</v>
      </c>
      <c r="I11" s="22" t="n">
        <v>12</v>
      </c>
      <c r="J11" s="20"/>
    </row>
    <row r="12" customFormat="false" ht="12.75" hidden="false" customHeight="true" outlineLevel="0" collapsed="false">
      <c r="A12" s="1" t="n">
        <v>11</v>
      </c>
      <c r="B12" s="19" t="n">
        <v>1421</v>
      </c>
      <c r="C12" s="20" t="s">
        <v>493</v>
      </c>
      <c r="D12" s="20" t="s">
        <v>116</v>
      </c>
      <c r="E12" s="21" t="s">
        <v>494</v>
      </c>
      <c r="F12" s="21" t="n">
        <v>37280</v>
      </c>
      <c r="G12" s="22" t="s">
        <v>471</v>
      </c>
      <c r="H12" s="23" t="n">
        <f aca="false">COUNTIF(CAL!U:AF,B12)</f>
        <v>9</v>
      </c>
      <c r="I12" s="22" t="n">
        <v>13</v>
      </c>
      <c r="J12" s="20"/>
    </row>
    <row r="13" customFormat="false" ht="12.75" hidden="false" customHeight="true" outlineLevel="0" collapsed="false">
      <c r="A13" s="1" t="n">
        <v>12</v>
      </c>
      <c r="B13" s="19" t="n">
        <v>1851</v>
      </c>
      <c r="C13" s="20" t="s">
        <v>495</v>
      </c>
      <c r="D13" s="20" t="s">
        <v>333</v>
      </c>
      <c r="E13" s="21" t="s">
        <v>496</v>
      </c>
      <c r="F13" s="21" t="n">
        <v>35439</v>
      </c>
      <c r="G13" s="22" t="s">
        <v>471</v>
      </c>
      <c r="H13" s="23" t="n">
        <f aca="false">COUNTIF(CAL!U:AF,B13)</f>
        <v>9</v>
      </c>
      <c r="I13" s="22" t="n">
        <v>13</v>
      </c>
      <c r="J13" s="20"/>
    </row>
    <row r="14" customFormat="false" ht="12.75" hidden="false" customHeight="true" outlineLevel="0" collapsed="false">
      <c r="A14" s="1" t="n">
        <v>13</v>
      </c>
      <c r="B14" s="19" t="n">
        <v>1249</v>
      </c>
      <c r="C14" s="20" t="s">
        <v>497</v>
      </c>
      <c r="D14" s="20" t="s">
        <v>303</v>
      </c>
      <c r="E14" s="21" t="s">
        <v>498</v>
      </c>
      <c r="F14" s="21" t="n">
        <v>35533</v>
      </c>
      <c r="G14" s="22" t="s">
        <v>471</v>
      </c>
      <c r="H14" s="23" t="n">
        <f aca="false">COUNTIF(CAL!U:AF,B14)</f>
        <v>9</v>
      </c>
      <c r="I14" s="22" t="n">
        <v>16</v>
      </c>
      <c r="J14" s="20" t="s">
        <v>499</v>
      </c>
    </row>
    <row r="15" customFormat="false" ht="12.75" hidden="false" customHeight="true" outlineLevel="0" collapsed="false">
      <c r="A15" s="1" t="n">
        <v>14</v>
      </c>
      <c r="B15" s="19" t="n">
        <v>1079</v>
      </c>
      <c r="C15" s="20" t="s">
        <v>500</v>
      </c>
      <c r="D15" s="20" t="s">
        <v>109</v>
      </c>
      <c r="E15" s="21" t="s">
        <v>501</v>
      </c>
      <c r="F15" s="21" t="n">
        <v>33725</v>
      </c>
      <c r="G15" s="22" t="s">
        <v>471</v>
      </c>
      <c r="H15" s="23" t="n">
        <f aca="false">COUNTIF(CAL!U:AF,B15)</f>
        <v>9</v>
      </c>
      <c r="I15" s="22" t="n">
        <v>17</v>
      </c>
      <c r="J15" s="20"/>
    </row>
    <row r="16" customFormat="false" ht="12.75" hidden="false" customHeight="true" outlineLevel="0" collapsed="false">
      <c r="A16" s="1" t="n">
        <v>15</v>
      </c>
      <c r="B16" s="19" t="n">
        <v>2217</v>
      </c>
      <c r="C16" s="20" t="s">
        <v>502</v>
      </c>
      <c r="D16" s="20" t="s">
        <v>414</v>
      </c>
      <c r="E16" s="21" t="s">
        <v>503</v>
      </c>
      <c r="F16" s="21" t="n">
        <v>35767</v>
      </c>
      <c r="G16" s="22" t="s">
        <v>504</v>
      </c>
      <c r="H16" s="23" t="n">
        <f aca="false">COUNTIF(CAL!U:AF,B16)</f>
        <v>9</v>
      </c>
      <c r="I16" s="22" t="n">
        <v>17</v>
      </c>
      <c r="J16" s="20" t="s">
        <v>505</v>
      </c>
    </row>
    <row r="17" customFormat="false" ht="12.75" hidden="false" customHeight="true" outlineLevel="0" collapsed="false">
      <c r="A17" s="1" t="n">
        <v>16</v>
      </c>
      <c r="B17" s="19" t="n">
        <v>1268</v>
      </c>
      <c r="C17" s="20" t="s">
        <v>506</v>
      </c>
      <c r="D17" s="20" t="s">
        <v>47</v>
      </c>
      <c r="E17" s="21" t="s">
        <v>507</v>
      </c>
      <c r="F17" s="21" t="n">
        <v>35387</v>
      </c>
      <c r="G17" s="22" t="s">
        <v>471</v>
      </c>
      <c r="H17" s="23" t="n">
        <f aca="false">COUNTIF(CAL!U:AF,B17)</f>
        <v>9</v>
      </c>
      <c r="I17" s="22" t="n">
        <v>18</v>
      </c>
      <c r="J17" s="20"/>
    </row>
    <row r="18" customFormat="false" ht="12.75" hidden="false" customHeight="true" outlineLevel="0" collapsed="false">
      <c r="A18" s="1" t="n">
        <v>17</v>
      </c>
      <c r="B18" s="19" t="n">
        <v>1345</v>
      </c>
      <c r="C18" s="20" t="s">
        <v>508</v>
      </c>
      <c r="D18" s="20" t="s">
        <v>168</v>
      </c>
      <c r="E18" s="24" t="s">
        <v>509</v>
      </c>
      <c r="F18" s="21" t="n">
        <v>36225</v>
      </c>
      <c r="G18" s="22" t="s">
        <v>471</v>
      </c>
      <c r="H18" s="23" t="n">
        <f aca="false">COUNTIF(CAL!U:AF,B18)</f>
        <v>9</v>
      </c>
      <c r="I18" s="22" t="n">
        <v>18</v>
      </c>
      <c r="J18" s="20"/>
    </row>
    <row r="19" customFormat="false" ht="12.75" hidden="false" customHeight="true" outlineLevel="0" collapsed="false">
      <c r="A19" s="1" t="n">
        <v>18</v>
      </c>
      <c r="B19" s="19" t="n">
        <v>2373</v>
      </c>
      <c r="C19" s="20" t="s">
        <v>510</v>
      </c>
      <c r="D19" s="20" t="s">
        <v>207</v>
      </c>
      <c r="E19" s="21" t="s">
        <v>511</v>
      </c>
      <c r="F19" s="21" t="n">
        <v>35601</v>
      </c>
      <c r="G19" s="22" t="s">
        <v>471</v>
      </c>
      <c r="H19" s="23" t="n">
        <f aca="false">COUNTIF(CAL!U:AF,B19)</f>
        <v>9</v>
      </c>
      <c r="I19" s="22" t="n">
        <v>18</v>
      </c>
      <c r="J19" s="20"/>
    </row>
    <row r="20" customFormat="false" ht="12.75" hidden="false" customHeight="true" outlineLevel="0" collapsed="false">
      <c r="A20" s="1" t="n">
        <v>19</v>
      </c>
      <c r="B20" s="19" t="n">
        <v>1411</v>
      </c>
      <c r="C20" s="20" t="s">
        <v>512</v>
      </c>
      <c r="D20" s="20" t="s">
        <v>163</v>
      </c>
      <c r="E20" s="21" t="s">
        <v>513</v>
      </c>
      <c r="F20" s="21" t="n">
        <v>36866</v>
      </c>
      <c r="G20" s="22" t="s">
        <v>481</v>
      </c>
      <c r="H20" s="23" t="n">
        <f aca="false">COUNTIF(CAL!U:AF,B20)</f>
        <v>9</v>
      </c>
      <c r="I20" s="22" t="n">
        <v>20</v>
      </c>
      <c r="J20" s="20"/>
    </row>
    <row r="21" customFormat="false" ht="12.75" hidden="false" customHeight="true" outlineLevel="0" collapsed="false">
      <c r="A21" s="1" t="n">
        <v>20</v>
      </c>
      <c r="B21" s="19" t="n">
        <v>1048</v>
      </c>
      <c r="C21" s="20" t="s">
        <v>514</v>
      </c>
      <c r="D21" s="20" t="s">
        <v>73</v>
      </c>
      <c r="E21" s="21" t="s">
        <v>515</v>
      </c>
      <c r="F21" s="21" t="n">
        <v>32670</v>
      </c>
      <c r="G21" s="22" t="s">
        <v>471</v>
      </c>
      <c r="H21" s="23" t="n">
        <f aca="false">COUNTIF(CAL!U:AF,B21)</f>
        <v>8</v>
      </c>
      <c r="I21" s="22" t="n">
        <v>10</v>
      </c>
      <c r="J21" s="20"/>
    </row>
    <row r="22" customFormat="false" ht="12.75" hidden="false" customHeight="true" outlineLevel="0" collapsed="false">
      <c r="A22" s="1" t="n">
        <v>21</v>
      </c>
      <c r="B22" s="19" t="n">
        <v>1909</v>
      </c>
      <c r="C22" s="20" t="s">
        <v>516</v>
      </c>
      <c r="D22" s="20" t="s">
        <v>343</v>
      </c>
      <c r="E22" s="21" t="s">
        <v>517</v>
      </c>
      <c r="F22" s="21" t="n">
        <v>35376</v>
      </c>
      <c r="G22" s="22" t="s">
        <v>471</v>
      </c>
      <c r="H22" s="23" t="n">
        <f aca="false">COUNTIF(CAL!U:AF,B22)</f>
        <v>8</v>
      </c>
      <c r="I22" s="22" t="n">
        <v>13</v>
      </c>
      <c r="J22" s="20"/>
    </row>
    <row r="23" customFormat="false" ht="12.75" hidden="false" customHeight="true" outlineLevel="0" collapsed="false">
      <c r="A23" s="1" t="n">
        <v>22</v>
      </c>
      <c r="B23" s="19" t="n">
        <v>1408</v>
      </c>
      <c r="C23" s="20" t="s">
        <v>518</v>
      </c>
      <c r="D23" s="20" t="s">
        <v>88</v>
      </c>
      <c r="E23" s="21" t="s">
        <v>519</v>
      </c>
      <c r="F23" s="21" t="n">
        <v>37901</v>
      </c>
      <c r="G23" s="22" t="s">
        <v>471</v>
      </c>
      <c r="H23" s="23" t="n">
        <f aca="false">COUNTIF(CAL!U:AF,B23)</f>
        <v>8</v>
      </c>
      <c r="I23" s="22" t="n">
        <v>13</v>
      </c>
      <c r="J23" s="20" t="s">
        <v>520</v>
      </c>
    </row>
    <row r="24" customFormat="false" ht="12.75" hidden="false" customHeight="true" outlineLevel="0" collapsed="false">
      <c r="A24" s="1" t="n">
        <v>23</v>
      </c>
      <c r="B24" s="19" t="n">
        <v>1339</v>
      </c>
      <c r="C24" s="20" t="s">
        <v>521</v>
      </c>
      <c r="D24" s="20" t="s">
        <v>39</v>
      </c>
      <c r="E24" s="24" t="s">
        <v>522</v>
      </c>
      <c r="F24" s="21" t="n">
        <v>36967</v>
      </c>
      <c r="G24" s="22" t="s">
        <v>471</v>
      </c>
      <c r="H24" s="23" t="n">
        <f aca="false">COUNTIF(CAL!U:AF,B24)</f>
        <v>8</v>
      </c>
      <c r="I24" s="22" t="n">
        <v>14</v>
      </c>
      <c r="J24" s="20" t="s">
        <v>523</v>
      </c>
    </row>
    <row r="25" customFormat="false" ht="12.75" hidden="false" customHeight="true" outlineLevel="0" collapsed="false">
      <c r="A25" s="1" t="n">
        <v>24</v>
      </c>
      <c r="B25" s="19" t="n">
        <v>1036</v>
      </c>
      <c r="C25" s="20" t="s">
        <v>524</v>
      </c>
      <c r="D25" s="20" t="s">
        <v>59</v>
      </c>
      <c r="E25" s="24" t="s">
        <v>525</v>
      </c>
      <c r="F25" s="21" t="n">
        <v>35690</v>
      </c>
      <c r="G25" s="22" t="s">
        <v>471</v>
      </c>
      <c r="H25" s="23" t="n">
        <f aca="false">COUNTIF(CAL!U:AF,B25)</f>
        <v>8</v>
      </c>
      <c r="I25" s="22" t="n">
        <v>15</v>
      </c>
      <c r="J25" s="20"/>
    </row>
    <row r="26" customFormat="false" ht="12.75" hidden="false" customHeight="true" outlineLevel="0" collapsed="false">
      <c r="A26" s="1" t="n">
        <v>25</v>
      </c>
      <c r="B26" s="19" t="n">
        <v>1341</v>
      </c>
      <c r="C26" s="20" t="s">
        <v>526</v>
      </c>
      <c r="D26" s="20" t="s">
        <v>343</v>
      </c>
      <c r="E26" s="24" t="s">
        <v>527</v>
      </c>
      <c r="F26" s="21" t="n">
        <v>38153</v>
      </c>
      <c r="G26" s="22" t="s">
        <v>471</v>
      </c>
      <c r="H26" s="23" t="n">
        <f aca="false">COUNTIF(CAL!U:AF,B26)</f>
        <v>8</v>
      </c>
      <c r="I26" s="22" t="n">
        <v>15</v>
      </c>
      <c r="J26" s="20" t="s">
        <v>528</v>
      </c>
    </row>
    <row r="27" customFormat="false" ht="12.75" hidden="false" customHeight="true" outlineLevel="0" collapsed="false">
      <c r="A27" s="1" t="n">
        <v>26</v>
      </c>
      <c r="B27" s="19" t="n">
        <v>1182</v>
      </c>
      <c r="C27" s="20" t="s">
        <v>529</v>
      </c>
      <c r="D27" s="20" t="s">
        <v>159</v>
      </c>
      <c r="E27" s="21" t="s">
        <v>530</v>
      </c>
      <c r="F27" s="21" t="n">
        <v>33388</v>
      </c>
      <c r="G27" s="22" t="s">
        <v>471</v>
      </c>
      <c r="H27" s="23" t="n">
        <f aca="false">COUNTIF(CAL!U:AF,B27)</f>
        <v>8</v>
      </c>
      <c r="I27" s="22" t="n">
        <v>17</v>
      </c>
      <c r="J27" s="20"/>
    </row>
    <row r="28" customFormat="false" ht="12.75" hidden="false" customHeight="true" outlineLevel="0" collapsed="false">
      <c r="A28" s="1" t="n">
        <v>27</v>
      </c>
      <c r="B28" s="19" t="n">
        <v>1982</v>
      </c>
      <c r="C28" s="20" t="s">
        <v>531</v>
      </c>
      <c r="D28" s="20" t="s">
        <v>351</v>
      </c>
      <c r="E28" s="21" t="s">
        <v>532</v>
      </c>
      <c r="F28" s="21" t="n">
        <v>36071</v>
      </c>
      <c r="G28" s="22" t="s">
        <v>471</v>
      </c>
      <c r="H28" s="23" t="n">
        <f aca="false">COUNTIF(CAL!U:AF,B28)</f>
        <v>7</v>
      </c>
      <c r="I28" s="22" t="n">
        <v>8</v>
      </c>
      <c r="J28" s="20"/>
    </row>
    <row r="29" customFormat="false" ht="12.75" hidden="false" customHeight="true" outlineLevel="0" collapsed="false">
      <c r="A29" s="1" t="n">
        <v>28</v>
      </c>
      <c r="B29" s="19" t="n">
        <v>1171</v>
      </c>
      <c r="C29" s="20" t="s">
        <v>533</v>
      </c>
      <c r="D29" s="20" t="s">
        <v>177</v>
      </c>
      <c r="E29" s="21" t="s">
        <v>534</v>
      </c>
      <c r="F29" s="21" t="n">
        <v>33656</v>
      </c>
      <c r="G29" s="22" t="s">
        <v>471</v>
      </c>
      <c r="H29" s="23" t="n">
        <f aca="false">COUNTIF(CAL!U:AF,B29)</f>
        <v>7</v>
      </c>
      <c r="I29" s="22" t="n">
        <v>9</v>
      </c>
      <c r="J29" s="20"/>
    </row>
    <row r="30" customFormat="false" ht="12.75" hidden="false" customHeight="true" outlineLevel="0" collapsed="false">
      <c r="A30" s="1" t="n">
        <v>29</v>
      </c>
      <c r="B30" s="19" t="n">
        <v>1019</v>
      </c>
      <c r="C30" s="20" t="s">
        <v>535</v>
      </c>
      <c r="D30" s="20" t="s">
        <v>56</v>
      </c>
      <c r="E30" s="24" t="s">
        <v>535</v>
      </c>
      <c r="F30" s="21" t="n">
        <v>37367</v>
      </c>
      <c r="G30" s="22" t="s">
        <v>471</v>
      </c>
      <c r="H30" s="23" t="n">
        <f aca="false">COUNTIF(CAL!U:AF,B30)</f>
        <v>7</v>
      </c>
      <c r="I30" s="22" t="n">
        <v>11</v>
      </c>
      <c r="J30" s="20" t="s">
        <v>536</v>
      </c>
    </row>
    <row r="31" customFormat="false" ht="12.75" hidden="false" customHeight="true" outlineLevel="0" collapsed="false">
      <c r="A31" s="1" t="n">
        <v>30</v>
      </c>
      <c r="B31" s="19" t="n">
        <v>2434</v>
      </c>
      <c r="C31" s="20" t="s">
        <v>537</v>
      </c>
      <c r="D31" s="20" t="s">
        <v>184</v>
      </c>
      <c r="E31" s="21" t="s">
        <v>538</v>
      </c>
      <c r="F31" s="21" t="n">
        <v>34420</v>
      </c>
      <c r="G31" s="22" t="s">
        <v>471</v>
      </c>
      <c r="H31" s="23" t="n">
        <f aca="false">COUNTIF(CAL!U:AF,B31)</f>
        <v>7</v>
      </c>
      <c r="I31" s="22" t="n">
        <v>11</v>
      </c>
      <c r="J31" s="20"/>
    </row>
    <row r="32" customFormat="false" ht="12.75" hidden="false" customHeight="true" outlineLevel="0" collapsed="false">
      <c r="A32" s="1" t="n">
        <v>31</v>
      </c>
      <c r="B32" s="19" t="n">
        <v>1014</v>
      </c>
      <c r="C32" s="20" t="s">
        <v>539</v>
      </c>
      <c r="D32" s="20" t="s">
        <v>50</v>
      </c>
      <c r="E32" s="24" t="s">
        <v>540</v>
      </c>
      <c r="F32" s="21" t="n">
        <v>36823</v>
      </c>
      <c r="G32" s="22" t="s">
        <v>471</v>
      </c>
      <c r="H32" s="23" t="n">
        <f aca="false">COUNTIF(CAL!U:AF,B32)</f>
        <v>7</v>
      </c>
      <c r="I32" s="22" t="n">
        <v>12</v>
      </c>
      <c r="J32" s="20"/>
    </row>
    <row r="33" customFormat="false" ht="12.75" hidden="false" customHeight="true" outlineLevel="0" collapsed="false">
      <c r="A33" s="1" t="n">
        <v>32</v>
      </c>
      <c r="B33" s="19" t="n">
        <v>2119</v>
      </c>
      <c r="C33" s="20" t="s">
        <v>541</v>
      </c>
      <c r="D33" s="20" t="s">
        <v>274</v>
      </c>
      <c r="E33" s="21" t="s">
        <v>542</v>
      </c>
      <c r="F33" s="21" t="n">
        <v>33202</v>
      </c>
      <c r="G33" s="22" t="s">
        <v>471</v>
      </c>
      <c r="H33" s="23" t="n">
        <f aca="false">COUNTIF(CAL!U:AF,B33)</f>
        <v>7</v>
      </c>
      <c r="I33" s="22" t="n">
        <v>13</v>
      </c>
      <c r="J33" s="20" t="s">
        <v>543</v>
      </c>
    </row>
    <row r="34" customFormat="false" ht="12.75" hidden="false" customHeight="true" outlineLevel="0" collapsed="false">
      <c r="A34" s="1" t="n">
        <v>33</v>
      </c>
      <c r="B34" s="19" t="n">
        <v>1052</v>
      </c>
      <c r="C34" s="20" t="s">
        <v>544</v>
      </c>
      <c r="D34" s="20" t="s">
        <v>158</v>
      </c>
      <c r="E34" s="21" t="s">
        <v>545</v>
      </c>
      <c r="F34" s="21" t="n">
        <v>35307</v>
      </c>
      <c r="G34" s="22" t="s">
        <v>471</v>
      </c>
      <c r="H34" s="23" t="n">
        <f aca="false">COUNTIF(CAL!U:AF,B34)</f>
        <v>7</v>
      </c>
      <c r="I34" s="22" t="n">
        <v>13</v>
      </c>
      <c r="J34" s="20"/>
    </row>
    <row r="35" customFormat="false" ht="12.75" hidden="false" customHeight="true" outlineLevel="0" collapsed="false">
      <c r="A35" s="1" t="n">
        <v>34</v>
      </c>
      <c r="B35" s="19" t="n">
        <v>2736</v>
      </c>
      <c r="C35" s="20" t="s">
        <v>546</v>
      </c>
      <c r="D35" s="20" t="s">
        <v>378</v>
      </c>
      <c r="E35" s="21" t="s">
        <v>547</v>
      </c>
      <c r="F35" s="21" t="n">
        <v>38051</v>
      </c>
      <c r="G35" s="22" t="s">
        <v>471</v>
      </c>
      <c r="H35" s="23" t="n">
        <f aca="false">COUNTIF(CAL!U:AF,B35)</f>
        <v>7</v>
      </c>
      <c r="I35" s="22" t="n">
        <v>13</v>
      </c>
      <c r="J35" s="20"/>
    </row>
    <row r="36" customFormat="false" ht="12.75" hidden="false" customHeight="true" outlineLevel="0" collapsed="false">
      <c r="A36" s="1" t="n">
        <v>35</v>
      </c>
      <c r="B36" s="19" t="n">
        <v>1317</v>
      </c>
      <c r="C36" s="20" t="s">
        <v>548</v>
      </c>
      <c r="D36" s="20" t="s">
        <v>140</v>
      </c>
      <c r="E36" s="21" t="s">
        <v>549</v>
      </c>
      <c r="F36" s="21" t="n">
        <v>33805</v>
      </c>
      <c r="G36" s="22" t="s">
        <v>471</v>
      </c>
      <c r="H36" s="23" t="n">
        <f aca="false">COUNTIF(CAL!U:AF,B36)</f>
        <v>7</v>
      </c>
      <c r="I36" s="22" t="n">
        <v>13</v>
      </c>
      <c r="J36" s="20" t="s">
        <v>550</v>
      </c>
    </row>
    <row r="37" customFormat="false" ht="12.75" hidden="false" customHeight="true" outlineLevel="0" collapsed="false">
      <c r="A37" s="1" t="n">
        <v>36</v>
      </c>
      <c r="B37" s="19" t="n">
        <v>1357</v>
      </c>
      <c r="C37" s="20" t="s">
        <v>551</v>
      </c>
      <c r="D37" s="20" t="s">
        <v>159</v>
      </c>
      <c r="E37" s="21" t="s">
        <v>552</v>
      </c>
      <c r="F37" s="21" t="n">
        <v>33788</v>
      </c>
      <c r="G37" s="22" t="s">
        <v>471</v>
      </c>
      <c r="H37" s="23" t="n">
        <f aca="false">COUNTIF(CAL!U:AF,B37)</f>
        <v>7</v>
      </c>
      <c r="I37" s="22" t="n">
        <v>14</v>
      </c>
      <c r="J37" s="20" t="s">
        <v>553</v>
      </c>
    </row>
    <row r="38" customFormat="false" ht="12.75" hidden="false" customHeight="true" outlineLevel="0" collapsed="false">
      <c r="A38" s="1" t="n">
        <v>37</v>
      </c>
      <c r="B38" s="19" t="n">
        <v>2055</v>
      </c>
      <c r="C38" s="20" t="s">
        <v>554</v>
      </c>
      <c r="D38" s="20" t="s">
        <v>336</v>
      </c>
      <c r="E38" s="21" t="s">
        <v>555</v>
      </c>
      <c r="F38" s="21" t="n">
        <v>33027</v>
      </c>
      <c r="G38" s="22" t="s">
        <v>471</v>
      </c>
      <c r="H38" s="23" t="n">
        <f aca="false">COUNTIF(CAL!U:AF,B38)</f>
        <v>7</v>
      </c>
      <c r="I38" s="22" t="n">
        <v>14</v>
      </c>
      <c r="J38" s="20"/>
    </row>
    <row r="39" customFormat="false" ht="12.75" hidden="false" customHeight="true" outlineLevel="0" collapsed="false">
      <c r="A39" s="1" t="n">
        <v>38</v>
      </c>
      <c r="B39" s="19" t="n">
        <v>2234</v>
      </c>
      <c r="C39" s="20" t="s">
        <v>556</v>
      </c>
      <c r="D39" s="20" t="s">
        <v>107</v>
      </c>
      <c r="E39" s="21" t="s">
        <v>557</v>
      </c>
      <c r="F39" s="21" t="n">
        <v>35137</v>
      </c>
      <c r="G39" s="22" t="s">
        <v>471</v>
      </c>
      <c r="H39" s="23" t="n">
        <f aca="false">COUNTIF(CAL!U:AF,B39)</f>
        <v>7</v>
      </c>
      <c r="I39" s="22" t="n">
        <v>14</v>
      </c>
      <c r="J39" s="20"/>
    </row>
    <row r="40" customFormat="false" ht="12.75" hidden="false" customHeight="true" outlineLevel="0" collapsed="false">
      <c r="A40" s="1" t="n">
        <v>39</v>
      </c>
      <c r="B40" s="19" t="n">
        <v>1403</v>
      </c>
      <c r="C40" s="20" t="s">
        <v>558</v>
      </c>
      <c r="D40" s="20" t="s">
        <v>246</v>
      </c>
      <c r="E40" s="24" t="s">
        <v>559</v>
      </c>
      <c r="F40" s="21" t="n">
        <v>33108</v>
      </c>
      <c r="G40" s="22" t="s">
        <v>471</v>
      </c>
      <c r="H40" s="23" t="n">
        <f aca="false">COUNTIF(CAL!U:AF,B40)</f>
        <v>7</v>
      </c>
      <c r="I40" s="22" t="n">
        <v>15</v>
      </c>
      <c r="J40" s="20"/>
    </row>
    <row r="41" customFormat="false" ht="12.75" hidden="false" customHeight="true" outlineLevel="0" collapsed="false">
      <c r="A41" s="1" t="n">
        <v>40</v>
      </c>
      <c r="B41" s="19" t="n">
        <v>1343</v>
      </c>
      <c r="C41" s="20" t="s">
        <v>560</v>
      </c>
      <c r="D41" s="20" t="s">
        <v>243</v>
      </c>
      <c r="E41" s="21" t="s">
        <v>561</v>
      </c>
      <c r="F41" s="21" t="n">
        <v>34900</v>
      </c>
      <c r="G41" s="22" t="s">
        <v>471</v>
      </c>
      <c r="H41" s="23" t="n">
        <f aca="false">COUNTIF(CAL!U:AF,B41)</f>
        <v>7</v>
      </c>
      <c r="I41" s="22" t="n">
        <v>15</v>
      </c>
      <c r="J41" s="20"/>
    </row>
    <row r="42" customFormat="false" ht="12.75" hidden="false" customHeight="true" outlineLevel="0" collapsed="false">
      <c r="A42" s="1" t="n">
        <v>41</v>
      </c>
      <c r="B42" s="19" t="n">
        <v>1130</v>
      </c>
      <c r="C42" s="20" t="s">
        <v>562</v>
      </c>
      <c r="D42" s="20" t="s">
        <v>226</v>
      </c>
      <c r="E42" s="21" t="s">
        <v>563</v>
      </c>
      <c r="F42" s="21" t="n">
        <v>35076</v>
      </c>
      <c r="G42" s="22" t="s">
        <v>471</v>
      </c>
      <c r="H42" s="23" t="n">
        <f aca="false">COUNTIF(CAL!U:AF,B42)</f>
        <v>7</v>
      </c>
      <c r="I42" s="22" t="n">
        <v>16</v>
      </c>
      <c r="J42" s="20" t="s">
        <v>564</v>
      </c>
    </row>
    <row r="43" customFormat="false" ht="12.75" hidden="false" customHeight="true" outlineLevel="0" collapsed="false">
      <c r="A43" s="1" t="n">
        <v>42</v>
      </c>
      <c r="B43" s="19" t="n">
        <v>3217</v>
      </c>
      <c r="C43" s="20" t="s">
        <v>565</v>
      </c>
      <c r="D43" s="20" t="s">
        <v>170</v>
      </c>
      <c r="E43" s="21" t="s">
        <v>566</v>
      </c>
      <c r="F43" s="21" t="n">
        <v>36914</v>
      </c>
      <c r="G43" s="22" t="s">
        <v>471</v>
      </c>
      <c r="H43" s="23" t="n">
        <f aca="false">COUNTIF(CAL!U:AF,B43)</f>
        <v>7</v>
      </c>
      <c r="I43" s="22" t="n">
        <v>16</v>
      </c>
      <c r="J43" s="20"/>
    </row>
    <row r="44" customFormat="false" ht="12.75" hidden="false" customHeight="true" outlineLevel="0" collapsed="false">
      <c r="A44" s="1" t="n">
        <v>43</v>
      </c>
      <c r="B44" s="19" t="n">
        <v>2230</v>
      </c>
      <c r="C44" s="20" t="s">
        <v>567</v>
      </c>
      <c r="D44" s="20" t="s">
        <v>339</v>
      </c>
      <c r="E44" s="21" t="s">
        <v>568</v>
      </c>
      <c r="F44" s="21" t="n">
        <v>36641</v>
      </c>
      <c r="G44" s="22" t="s">
        <v>471</v>
      </c>
      <c r="H44" s="23" t="n">
        <f aca="false">COUNTIF(CAL!U:AF,B44)</f>
        <v>7</v>
      </c>
      <c r="I44" s="22" t="n">
        <v>16</v>
      </c>
      <c r="J44" s="20"/>
    </row>
    <row r="45" customFormat="false" ht="12.75" hidden="false" customHeight="true" outlineLevel="0" collapsed="false">
      <c r="A45" s="1" t="n">
        <v>44</v>
      </c>
      <c r="B45" s="19" t="n">
        <v>3034</v>
      </c>
      <c r="C45" s="20" t="s">
        <v>569</v>
      </c>
      <c r="D45" s="20" t="s">
        <v>334</v>
      </c>
      <c r="E45" s="21" t="s">
        <v>570</v>
      </c>
      <c r="F45" s="21" t="n">
        <v>36621</v>
      </c>
      <c r="G45" s="22" t="s">
        <v>471</v>
      </c>
      <c r="H45" s="23" t="n">
        <f aca="false">COUNTIF(CAL!U:AF,B45)</f>
        <v>7</v>
      </c>
      <c r="I45" s="22" t="n">
        <v>17</v>
      </c>
      <c r="J45" s="20"/>
    </row>
    <row r="46" customFormat="false" ht="12.75" hidden="false" customHeight="true" outlineLevel="0" collapsed="false">
      <c r="A46" s="1" t="n">
        <v>45</v>
      </c>
      <c r="B46" s="19" t="n">
        <v>1244</v>
      </c>
      <c r="C46" s="20" t="s">
        <v>571</v>
      </c>
      <c r="D46" s="20" t="s">
        <v>255</v>
      </c>
      <c r="E46" s="21" t="s">
        <v>572</v>
      </c>
      <c r="F46" s="21" t="n">
        <v>37394</v>
      </c>
      <c r="G46" s="22" t="s">
        <v>471</v>
      </c>
      <c r="H46" s="23" t="n">
        <f aca="false">COUNTIF(CAL!U:AF,B46)</f>
        <v>7</v>
      </c>
      <c r="I46" s="22" t="n">
        <v>19</v>
      </c>
      <c r="J46" s="20"/>
    </row>
    <row r="47" customFormat="false" ht="12.75" hidden="false" customHeight="true" outlineLevel="0" collapsed="false">
      <c r="A47" s="1" t="n">
        <v>46</v>
      </c>
      <c r="B47" s="19" t="n">
        <v>2442</v>
      </c>
      <c r="C47" s="20" t="s">
        <v>573</v>
      </c>
      <c r="D47" s="20" t="s">
        <v>328</v>
      </c>
      <c r="E47" s="21" t="s">
        <v>574</v>
      </c>
      <c r="F47" s="21" t="n">
        <v>36579</v>
      </c>
      <c r="G47" s="22" t="s">
        <v>471</v>
      </c>
      <c r="H47" s="23" t="n">
        <f aca="false">COUNTIF(CAL!U:AF,B47)</f>
        <v>6</v>
      </c>
      <c r="I47" s="22" t="n">
        <v>8</v>
      </c>
      <c r="J47" s="20"/>
    </row>
    <row r="48" customFormat="false" ht="12.75" hidden="false" customHeight="true" outlineLevel="0" collapsed="false">
      <c r="A48" s="1" t="n">
        <v>47</v>
      </c>
      <c r="B48" s="19" t="n">
        <v>1236</v>
      </c>
      <c r="C48" s="20" t="s">
        <v>575</v>
      </c>
      <c r="D48" s="20" t="s">
        <v>303</v>
      </c>
      <c r="E48" s="21" t="s">
        <v>576</v>
      </c>
      <c r="F48" s="21" t="n">
        <v>35983</v>
      </c>
      <c r="G48" s="22" t="s">
        <v>471</v>
      </c>
      <c r="H48" s="23" t="n">
        <f aca="false">COUNTIF(CAL!U:AF,B48)</f>
        <v>6</v>
      </c>
      <c r="I48" s="22" t="n">
        <v>8</v>
      </c>
      <c r="J48" s="20" t="s">
        <v>577</v>
      </c>
    </row>
    <row r="49" customFormat="false" ht="12.75" hidden="false" customHeight="true" outlineLevel="0" collapsed="false">
      <c r="A49" s="1" t="n">
        <v>48</v>
      </c>
      <c r="B49" s="19" t="n">
        <v>1484</v>
      </c>
      <c r="C49" s="20" t="s">
        <v>578</v>
      </c>
      <c r="D49" s="20" t="s">
        <v>270</v>
      </c>
      <c r="E49" s="21" t="s">
        <v>579</v>
      </c>
      <c r="F49" s="21" t="n">
        <v>37379</v>
      </c>
      <c r="G49" s="22" t="s">
        <v>471</v>
      </c>
      <c r="H49" s="23" t="n">
        <f aca="false">COUNTIF(CAL!U:AF,B49)</f>
        <v>6</v>
      </c>
      <c r="I49" s="22" t="n">
        <v>8</v>
      </c>
      <c r="J49" s="20"/>
    </row>
    <row r="50" customFormat="false" ht="12.75" hidden="false" customHeight="true" outlineLevel="0" collapsed="false">
      <c r="A50" s="1" t="n">
        <v>49</v>
      </c>
      <c r="B50" s="19" t="n">
        <v>3130</v>
      </c>
      <c r="C50" s="20" t="s">
        <v>580</v>
      </c>
      <c r="D50" s="20" t="s">
        <v>134</v>
      </c>
      <c r="E50" s="21" t="s">
        <v>581</v>
      </c>
      <c r="F50" s="21" t="n">
        <v>34948</v>
      </c>
      <c r="G50" s="22" t="s">
        <v>471</v>
      </c>
      <c r="H50" s="23" t="n">
        <f aca="false">COUNTIF(CAL!U:AF,B50)</f>
        <v>6</v>
      </c>
      <c r="I50" s="22" t="n">
        <v>9</v>
      </c>
      <c r="J50" s="20"/>
    </row>
    <row r="51" customFormat="false" ht="12.75" hidden="false" customHeight="true" outlineLevel="0" collapsed="false">
      <c r="A51" s="1" t="n">
        <v>50</v>
      </c>
      <c r="B51" s="19" t="n">
        <v>1940</v>
      </c>
      <c r="C51" s="20" t="s">
        <v>582</v>
      </c>
      <c r="D51" s="20" t="s">
        <v>204</v>
      </c>
      <c r="E51" s="24" t="s">
        <v>583</v>
      </c>
      <c r="F51" s="21" t="n">
        <v>32540</v>
      </c>
      <c r="G51" s="22" t="s">
        <v>471</v>
      </c>
      <c r="H51" s="23" t="n">
        <f aca="false">COUNTIF(CAL!U:AF,B51)</f>
        <v>6</v>
      </c>
      <c r="I51" s="22" t="n">
        <v>9</v>
      </c>
      <c r="J51" s="20"/>
    </row>
    <row r="52" customFormat="false" ht="12.75" hidden="false" customHeight="true" outlineLevel="0" collapsed="false">
      <c r="B52" s="19" t="n">
        <v>1826</v>
      </c>
      <c r="C52" s="20" t="s">
        <v>584</v>
      </c>
      <c r="D52" s="20" t="s">
        <v>325</v>
      </c>
      <c r="E52" s="21" t="s">
        <v>585</v>
      </c>
      <c r="F52" s="21" t="n">
        <v>33040</v>
      </c>
      <c r="G52" s="22" t="s">
        <v>471</v>
      </c>
      <c r="H52" s="23" t="n">
        <f aca="false">COUNTIF(CAL!U:AF,B52)</f>
        <v>6</v>
      </c>
      <c r="I52" s="22" t="n">
        <v>9</v>
      </c>
      <c r="J52" s="20"/>
    </row>
    <row r="53" customFormat="false" ht="12.75" hidden="false" customHeight="true" outlineLevel="0" collapsed="false">
      <c r="B53" s="19" t="n">
        <v>1836</v>
      </c>
      <c r="C53" s="20" t="s">
        <v>586</v>
      </c>
      <c r="D53" s="20" t="s">
        <v>317</v>
      </c>
      <c r="E53" s="21" t="s">
        <v>586</v>
      </c>
      <c r="F53" s="21" t="n">
        <v>35828</v>
      </c>
      <c r="G53" s="22" t="s">
        <v>471</v>
      </c>
      <c r="H53" s="23" t="n">
        <f aca="false">COUNTIF(CAL!U:AF,B53)</f>
        <v>6</v>
      </c>
      <c r="I53" s="22" t="n">
        <v>9</v>
      </c>
      <c r="J53" s="20"/>
    </row>
    <row r="54" customFormat="false" ht="12.75" hidden="false" customHeight="true" outlineLevel="0" collapsed="false">
      <c r="B54" s="19" t="n">
        <v>1006</v>
      </c>
      <c r="C54" s="20" t="s">
        <v>587</v>
      </c>
      <c r="D54" s="20" t="s">
        <v>41</v>
      </c>
      <c r="E54" s="24" t="s">
        <v>588</v>
      </c>
      <c r="F54" s="21" t="n">
        <v>33013</v>
      </c>
      <c r="G54" s="22" t="s">
        <v>471</v>
      </c>
      <c r="H54" s="23" t="n">
        <f aca="false">COUNTIF(CAL!U:AF,B54)</f>
        <v>6</v>
      </c>
      <c r="I54" s="22" t="n">
        <v>10</v>
      </c>
      <c r="J54" s="20"/>
    </row>
    <row r="55" customFormat="false" ht="12.75" hidden="false" customHeight="true" outlineLevel="0" collapsed="false">
      <c r="B55" s="19" t="n">
        <v>3397</v>
      </c>
      <c r="C55" s="20" t="s">
        <v>589</v>
      </c>
      <c r="D55" s="20" t="s">
        <v>389</v>
      </c>
      <c r="E55" s="21" t="s">
        <v>590</v>
      </c>
      <c r="F55" s="21" t="n">
        <v>33937</v>
      </c>
      <c r="G55" s="22" t="s">
        <v>471</v>
      </c>
      <c r="H55" s="23" t="n">
        <f aca="false">COUNTIF(CAL!U:AF,B55)</f>
        <v>6</v>
      </c>
      <c r="I55" s="22" t="n">
        <v>10</v>
      </c>
      <c r="J55" s="20"/>
    </row>
    <row r="56" customFormat="false" ht="12.75" hidden="false" customHeight="true" outlineLevel="0" collapsed="false">
      <c r="B56" s="19" t="n">
        <v>2556</v>
      </c>
      <c r="C56" s="20" t="s">
        <v>591</v>
      </c>
      <c r="D56" s="20" t="s">
        <v>208</v>
      </c>
      <c r="E56" s="24" t="s">
        <v>592</v>
      </c>
      <c r="F56" s="21" t="n">
        <v>34962</v>
      </c>
      <c r="G56" s="22" t="s">
        <v>471</v>
      </c>
      <c r="H56" s="23" t="n">
        <f aca="false">COUNTIF(CAL!U:AF,B56)</f>
        <v>6</v>
      </c>
      <c r="I56" s="22" t="n">
        <v>10</v>
      </c>
      <c r="J56" s="20"/>
    </row>
    <row r="57" customFormat="false" ht="12.75" hidden="false" customHeight="true" outlineLevel="0" collapsed="false">
      <c r="B57" s="19" t="n">
        <v>1247</v>
      </c>
      <c r="C57" s="20" t="s">
        <v>593</v>
      </c>
      <c r="D57" s="20" t="s">
        <v>256</v>
      </c>
      <c r="E57" s="21" t="s">
        <v>594</v>
      </c>
      <c r="F57" s="21" t="n">
        <v>36043</v>
      </c>
      <c r="G57" s="22" t="s">
        <v>471</v>
      </c>
      <c r="H57" s="23" t="n">
        <f aca="false">COUNTIF(CAL!U:AF,B57)</f>
        <v>6</v>
      </c>
      <c r="I57" s="22" t="n">
        <v>10</v>
      </c>
      <c r="J57" s="20" t="s">
        <v>595</v>
      </c>
    </row>
    <row r="58" customFormat="false" ht="12.75" hidden="false" customHeight="true" outlineLevel="0" collapsed="false">
      <c r="B58" s="19" t="n">
        <v>2241</v>
      </c>
      <c r="C58" s="20" t="s">
        <v>596</v>
      </c>
      <c r="D58" s="20" t="s">
        <v>67</v>
      </c>
      <c r="E58" s="21" t="s">
        <v>597</v>
      </c>
      <c r="F58" s="21" t="n">
        <v>36642</v>
      </c>
      <c r="G58" s="22" t="s">
        <v>504</v>
      </c>
      <c r="H58" s="23" t="n">
        <f aca="false">COUNTIF(CAL!U:AF,B58)</f>
        <v>6</v>
      </c>
      <c r="I58" s="22" t="n">
        <v>10</v>
      </c>
      <c r="J58" s="20"/>
    </row>
    <row r="59" customFormat="false" ht="12.75" hidden="false" customHeight="true" outlineLevel="0" collapsed="false">
      <c r="B59" s="19" t="n">
        <v>2328</v>
      </c>
      <c r="C59" s="20" t="s">
        <v>598</v>
      </c>
      <c r="D59" s="20" t="s">
        <v>322</v>
      </c>
      <c r="E59" s="21" t="s">
        <v>599</v>
      </c>
      <c r="F59" s="21" t="n">
        <v>37046</v>
      </c>
      <c r="G59" s="22" t="s">
        <v>471</v>
      </c>
      <c r="H59" s="23" t="n">
        <f aca="false">COUNTIF(CAL!U:AF,B59)</f>
        <v>6</v>
      </c>
      <c r="I59" s="22" t="n">
        <v>11</v>
      </c>
      <c r="J59" s="20"/>
    </row>
    <row r="60" customFormat="false" ht="12.75" hidden="false" customHeight="true" outlineLevel="0" collapsed="false">
      <c r="B60" s="19" t="n">
        <v>2153</v>
      </c>
      <c r="C60" s="20" t="s">
        <v>600</v>
      </c>
      <c r="D60" s="20" t="s">
        <v>241</v>
      </c>
      <c r="E60" s="24" t="s">
        <v>601</v>
      </c>
      <c r="F60" s="21" t="n">
        <v>34465</v>
      </c>
      <c r="G60" s="22" t="s">
        <v>471</v>
      </c>
      <c r="H60" s="23" t="n">
        <f aca="false">COUNTIF(CAL!U:AF,B60)</f>
        <v>6</v>
      </c>
      <c r="I60" s="22" t="n">
        <v>11</v>
      </c>
      <c r="J60" s="20"/>
    </row>
    <row r="61" customFormat="false" ht="12.75" hidden="false" customHeight="true" outlineLevel="0" collapsed="false">
      <c r="B61" s="19" t="n">
        <v>1598</v>
      </c>
      <c r="C61" s="20" t="s">
        <v>602</v>
      </c>
      <c r="D61" s="20" t="s">
        <v>54</v>
      </c>
      <c r="E61" s="24" t="s">
        <v>603</v>
      </c>
      <c r="F61" s="21" t="n">
        <v>36437</v>
      </c>
      <c r="G61" s="22" t="s">
        <v>471</v>
      </c>
      <c r="H61" s="23" t="n">
        <f aca="false">COUNTIF(CAL!U:AF,B61)</f>
        <v>6</v>
      </c>
      <c r="I61" s="22" t="n">
        <v>11</v>
      </c>
      <c r="J61" s="20"/>
    </row>
    <row r="62" customFormat="false" ht="12.75" hidden="false" customHeight="true" outlineLevel="0" collapsed="false">
      <c r="B62" s="19" t="n">
        <v>2170</v>
      </c>
      <c r="C62" s="20" t="s">
        <v>604</v>
      </c>
      <c r="D62" s="20" t="s">
        <v>373</v>
      </c>
      <c r="E62" s="21" t="s">
        <v>605</v>
      </c>
      <c r="F62" s="21" t="n">
        <v>38158</v>
      </c>
      <c r="G62" s="22" t="s">
        <v>471</v>
      </c>
      <c r="H62" s="23" t="n">
        <f aca="false">COUNTIF(CAL!U:AF,B62)</f>
        <v>6</v>
      </c>
      <c r="I62" s="22" t="n">
        <v>11</v>
      </c>
      <c r="J62" s="20"/>
    </row>
    <row r="63" customFormat="false" ht="12.75" hidden="false" customHeight="true" outlineLevel="0" collapsed="false">
      <c r="B63" s="19" t="n">
        <v>1271</v>
      </c>
      <c r="C63" s="20" t="s">
        <v>606</v>
      </c>
      <c r="D63" s="20" t="s">
        <v>93</v>
      </c>
      <c r="E63" s="24" t="s">
        <v>607</v>
      </c>
      <c r="F63" s="21" t="n">
        <v>33343</v>
      </c>
      <c r="G63" s="22" t="s">
        <v>471</v>
      </c>
      <c r="H63" s="23" t="n">
        <f aca="false">COUNTIF(CAL!U:AF,B63)</f>
        <v>6</v>
      </c>
      <c r="I63" s="22" t="n">
        <v>11</v>
      </c>
      <c r="J63" s="20"/>
    </row>
    <row r="64" customFormat="false" ht="12.75" hidden="false" customHeight="true" outlineLevel="0" collapsed="false">
      <c r="B64" s="19" t="n">
        <v>1354</v>
      </c>
      <c r="C64" s="20" t="s">
        <v>608</v>
      </c>
      <c r="D64" s="20" t="s">
        <v>241</v>
      </c>
      <c r="E64" s="21" t="s">
        <v>609</v>
      </c>
      <c r="F64" s="21" t="n">
        <v>34500</v>
      </c>
      <c r="G64" s="22" t="s">
        <v>471</v>
      </c>
      <c r="H64" s="23" t="n">
        <f aca="false">COUNTIF(CAL!U:AF,B64)</f>
        <v>6</v>
      </c>
      <c r="I64" s="22" t="n">
        <v>12</v>
      </c>
      <c r="J64" s="20"/>
    </row>
    <row r="65" customFormat="false" ht="12.75" hidden="false" customHeight="true" outlineLevel="0" collapsed="false">
      <c r="B65" s="19" t="n">
        <v>1229</v>
      </c>
      <c r="C65" s="20" t="s">
        <v>610</v>
      </c>
      <c r="D65" s="20" t="s">
        <v>127</v>
      </c>
      <c r="E65" s="21" t="s">
        <v>611</v>
      </c>
      <c r="F65" s="21" t="n">
        <v>36183</v>
      </c>
      <c r="G65" s="22" t="s">
        <v>471</v>
      </c>
      <c r="H65" s="23" t="n">
        <f aca="false">COUNTIF(CAL!U:AF,B65)</f>
        <v>6</v>
      </c>
      <c r="I65" s="22" t="n">
        <v>12</v>
      </c>
      <c r="J65" s="20"/>
    </row>
    <row r="66" customFormat="false" ht="12.75" hidden="false" customHeight="true" outlineLevel="0" collapsed="false">
      <c r="B66" s="19" t="n">
        <v>2080</v>
      </c>
      <c r="C66" s="20" t="s">
        <v>612</v>
      </c>
      <c r="D66" s="20" t="s">
        <v>147</v>
      </c>
      <c r="E66" s="21" t="s">
        <v>613</v>
      </c>
      <c r="F66" s="21" t="n">
        <v>34785</v>
      </c>
      <c r="G66" s="22" t="s">
        <v>471</v>
      </c>
      <c r="H66" s="23" t="n">
        <f aca="false">COUNTIF(CAL!U:AF,B66)</f>
        <v>6</v>
      </c>
      <c r="I66" s="22" t="n">
        <v>12</v>
      </c>
      <c r="J66" s="20"/>
    </row>
    <row r="67" customFormat="false" ht="12.75" hidden="false" customHeight="true" outlineLevel="0" collapsed="false">
      <c r="B67" s="19" t="n">
        <v>1787</v>
      </c>
      <c r="C67" s="20" t="s">
        <v>614</v>
      </c>
      <c r="D67" s="20" t="s">
        <v>117</v>
      </c>
      <c r="E67" s="21" t="s">
        <v>615</v>
      </c>
      <c r="F67" s="21" t="n">
        <v>36734</v>
      </c>
      <c r="G67" s="22" t="s">
        <v>471</v>
      </c>
      <c r="H67" s="23" t="n">
        <f aca="false">COUNTIF(CAL!U:AF,B67)</f>
        <v>6</v>
      </c>
      <c r="I67" s="22" t="n">
        <v>12</v>
      </c>
      <c r="J67" s="20" t="s">
        <v>616</v>
      </c>
    </row>
    <row r="68" customFormat="false" ht="12.75" hidden="false" customHeight="true" outlineLevel="0" collapsed="false">
      <c r="B68" s="19" t="n">
        <v>2135</v>
      </c>
      <c r="C68" s="20" t="s">
        <v>617</v>
      </c>
      <c r="D68" s="20" t="s">
        <v>310</v>
      </c>
      <c r="E68" s="21" t="s">
        <v>618</v>
      </c>
      <c r="F68" s="21" t="n">
        <v>36374</v>
      </c>
      <c r="G68" s="22" t="s">
        <v>471</v>
      </c>
      <c r="H68" s="23" t="n">
        <f aca="false">COUNTIF(CAL!U:AF,B68)</f>
        <v>6</v>
      </c>
      <c r="I68" s="22" t="n">
        <v>12</v>
      </c>
      <c r="J68" s="20" t="s">
        <v>619</v>
      </c>
    </row>
    <row r="69" customFormat="false" ht="12.75" hidden="false" customHeight="true" outlineLevel="0" collapsed="false">
      <c r="B69" s="19" t="n">
        <v>2452</v>
      </c>
      <c r="C69" s="20" t="s">
        <v>620</v>
      </c>
      <c r="D69" s="20" t="s">
        <v>384</v>
      </c>
      <c r="E69" s="21" t="s">
        <v>621</v>
      </c>
      <c r="F69" s="21" t="n">
        <v>34272</v>
      </c>
      <c r="G69" s="22" t="s">
        <v>471</v>
      </c>
      <c r="H69" s="23" t="n">
        <f aca="false">COUNTIF(CAL!U:AF,B69)</f>
        <v>6</v>
      </c>
      <c r="I69" s="22" t="n">
        <v>12</v>
      </c>
      <c r="J69" s="20"/>
    </row>
    <row r="70" customFormat="false" ht="12.75" hidden="false" customHeight="true" outlineLevel="0" collapsed="false">
      <c r="B70" s="19" t="n">
        <v>1344</v>
      </c>
      <c r="C70" s="20" t="s">
        <v>622</v>
      </c>
      <c r="D70" s="20" t="s">
        <v>168</v>
      </c>
      <c r="E70" s="24" t="s">
        <v>623</v>
      </c>
      <c r="F70" s="21" t="n">
        <v>36744</v>
      </c>
      <c r="G70" s="22" t="s">
        <v>471</v>
      </c>
      <c r="H70" s="23" t="n">
        <f aca="false">COUNTIF(CAL!U:AF,B70)</f>
        <v>6</v>
      </c>
      <c r="I70" s="22" t="n">
        <v>12</v>
      </c>
      <c r="J70" s="20"/>
    </row>
    <row r="71" customFormat="false" ht="12.75" hidden="false" customHeight="true" outlineLevel="0" collapsed="false">
      <c r="B71" s="19" t="n">
        <v>1234</v>
      </c>
      <c r="C71" s="20" t="s">
        <v>624</v>
      </c>
      <c r="D71" s="20" t="s">
        <v>248</v>
      </c>
      <c r="E71" s="21" t="s">
        <v>625</v>
      </c>
      <c r="F71" s="21" t="n">
        <v>34215</v>
      </c>
      <c r="G71" s="22" t="s">
        <v>471</v>
      </c>
      <c r="H71" s="23" t="n">
        <f aca="false">COUNTIF(CAL!U:AF,B71)</f>
        <v>6</v>
      </c>
      <c r="I71" s="22" t="n">
        <v>12</v>
      </c>
      <c r="J71" s="20"/>
    </row>
    <row r="72" customFormat="false" ht="12.75" hidden="false" customHeight="true" outlineLevel="0" collapsed="false">
      <c r="B72" s="19" t="n">
        <v>1632</v>
      </c>
      <c r="C72" s="20" t="s">
        <v>626</v>
      </c>
      <c r="D72" s="20" t="s">
        <v>442</v>
      </c>
      <c r="E72" s="21" t="s">
        <v>627</v>
      </c>
      <c r="F72" s="21" t="n">
        <v>35255</v>
      </c>
      <c r="G72" s="22" t="s">
        <v>471</v>
      </c>
      <c r="H72" s="23" t="n">
        <f aca="false">COUNTIF(CAL!U:AF,B72)</f>
        <v>6</v>
      </c>
      <c r="I72" s="22" t="n">
        <v>12</v>
      </c>
      <c r="J72" s="20" t="s">
        <v>628</v>
      </c>
    </row>
    <row r="73" customFormat="false" ht="12.75" hidden="false" customHeight="true" outlineLevel="0" collapsed="false">
      <c r="B73" s="19" t="n">
        <v>2057</v>
      </c>
      <c r="C73" s="20" t="s">
        <v>629</v>
      </c>
      <c r="D73" s="20" t="s">
        <v>267</v>
      </c>
      <c r="E73" s="21" t="s">
        <v>630</v>
      </c>
      <c r="F73" s="21" t="n">
        <v>37010</v>
      </c>
      <c r="G73" s="22" t="s">
        <v>471</v>
      </c>
      <c r="H73" s="23" t="n">
        <f aca="false">COUNTIF(CAL!U:AF,B73)</f>
        <v>6</v>
      </c>
      <c r="I73" s="22" t="n">
        <v>13</v>
      </c>
      <c r="J73" s="20"/>
    </row>
    <row r="74" customFormat="false" ht="12.75" hidden="false" customHeight="true" outlineLevel="0" collapsed="false">
      <c r="B74" s="19" t="n">
        <v>1795</v>
      </c>
      <c r="C74" s="20" t="s">
        <v>631</v>
      </c>
      <c r="D74" s="20" t="s">
        <v>108</v>
      </c>
      <c r="E74" s="21" t="s">
        <v>632</v>
      </c>
      <c r="F74" s="21" t="n">
        <v>36529</v>
      </c>
      <c r="G74" s="22" t="s">
        <v>471</v>
      </c>
      <c r="H74" s="23" t="n">
        <f aca="false">COUNTIF(CAL!U:AF,B74)</f>
        <v>6</v>
      </c>
      <c r="I74" s="22" t="n">
        <v>13</v>
      </c>
      <c r="J74" s="20"/>
    </row>
    <row r="75" customFormat="false" ht="12.75" hidden="false" customHeight="true" outlineLevel="0" collapsed="false">
      <c r="B75" s="19" t="n">
        <v>1561</v>
      </c>
      <c r="C75" s="20" t="s">
        <v>633</v>
      </c>
      <c r="D75" s="20" t="s">
        <v>111</v>
      </c>
      <c r="E75" s="21" t="s">
        <v>634</v>
      </c>
      <c r="F75" s="21" t="n">
        <v>35040</v>
      </c>
      <c r="G75" s="22" t="s">
        <v>471</v>
      </c>
      <c r="H75" s="23" t="n">
        <f aca="false">COUNTIF(CAL!U:AF,B75)</f>
        <v>6</v>
      </c>
      <c r="I75" s="22" t="n">
        <v>13</v>
      </c>
      <c r="J75" s="20"/>
    </row>
    <row r="76" customFormat="false" ht="12.75" hidden="false" customHeight="true" outlineLevel="0" collapsed="false">
      <c r="B76" s="19" t="n">
        <v>1662</v>
      </c>
      <c r="C76" s="20" t="s">
        <v>635</v>
      </c>
      <c r="D76" s="20" t="s">
        <v>88</v>
      </c>
      <c r="E76" s="21" t="s">
        <v>636</v>
      </c>
      <c r="F76" s="21" t="n">
        <v>35112</v>
      </c>
      <c r="G76" s="22" t="s">
        <v>471</v>
      </c>
      <c r="H76" s="23" t="n">
        <f aca="false">COUNTIF(CAL!U:AF,B76)</f>
        <v>6</v>
      </c>
      <c r="I76" s="22" t="n">
        <v>13</v>
      </c>
      <c r="J76" s="20"/>
    </row>
    <row r="77" customFormat="false" ht="12.75" hidden="false" customHeight="true" outlineLevel="0" collapsed="false">
      <c r="B77" s="19" t="n">
        <v>1986</v>
      </c>
      <c r="C77" s="20" t="s">
        <v>637</v>
      </c>
      <c r="D77" s="20" t="s">
        <v>238</v>
      </c>
      <c r="E77" s="21" t="s">
        <v>638</v>
      </c>
      <c r="F77" s="21" t="n">
        <v>36313</v>
      </c>
      <c r="G77" s="22" t="s">
        <v>471</v>
      </c>
      <c r="H77" s="23" t="n">
        <f aca="false">COUNTIF(CAL!U:AF,B77)</f>
        <v>6</v>
      </c>
      <c r="I77" s="22" t="n">
        <v>13</v>
      </c>
      <c r="J77" s="20" t="s">
        <v>639</v>
      </c>
    </row>
    <row r="78" customFormat="false" ht="12.75" hidden="false" customHeight="true" outlineLevel="0" collapsed="false">
      <c r="B78" s="19" t="n">
        <v>2611</v>
      </c>
      <c r="C78" s="20" t="s">
        <v>640</v>
      </c>
      <c r="D78" s="20" t="s">
        <v>372</v>
      </c>
      <c r="E78" s="24" t="s">
        <v>641</v>
      </c>
      <c r="F78" s="21" t="n">
        <v>32338</v>
      </c>
      <c r="G78" s="22" t="s">
        <v>471</v>
      </c>
      <c r="H78" s="23" t="n">
        <f aca="false">COUNTIF(CAL!U:AF,B78)</f>
        <v>6</v>
      </c>
      <c r="I78" s="22" t="n">
        <v>14</v>
      </c>
      <c r="J78" s="20"/>
    </row>
    <row r="79" customFormat="false" ht="12.75" hidden="false" customHeight="true" outlineLevel="0" collapsed="false">
      <c r="B79" s="19" t="n">
        <v>1361</v>
      </c>
      <c r="C79" s="20" t="s">
        <v>642</v>
      </c>
      <c r="D79" s="20" t="s">
        <v>266</v>
      </c>
      <c r="E79" s="21" t="s">
        <v>643</v>
      </c>
      <c r="F79" s="21" t="n">
        <v>37006</v>
      </c>
      <c r="G79" s="22" t="s">
        <v>471</v>
      </c>
      <c r="H79" s="23" t="n">
        <f aca="false">COUNTIF(CAL!U:AF,B79)</f>
        <v>6</v>
      </c>
      <c r="I79" s="22" t="n">
        <v>14</v>
      </c>
      <c r="J79" s="20"/>
    </row>
    <row r="80" customFormat="false" ht="12.75" hidden="false" customHeight="true" outlineLevel="0" collapsed="false">
      <c r="B80" s="19" t="n">
        <v>1616</v>
      </c>
      <c r="C80" s="20" t="s">
        <v>644</v>
      </c>
      <c r="D80" s="20" t="s">
        <v>176</v>
      </c>
      <c r="E80" s="21" t="s">
        <v>645</v>
      </c>
      <c r="F80" s="21" t="n">
        <v>33565</v>
      </c>
      <c r="G80" s="22" t="s">
        <v>471</v>
      </c>
      <c r="H80" s="23" t="n">
        <f aca="false">COUNTIF(CAL!U:AF,B80)</f>
        <v>6</v>
      </c>
      <c r="I80" s="22" t="n">
        <v>14</v>
      </c>
      <c r="J80" s="20"/>
    </row>
    <row r="81" customFormat="false" ht="12.75" hidden="false" customHeight="true" outlineLevel="0" collapsed="false">
      <c r="B81" s="19" t="n">
        <v>1371</v>
      </c>
      <c r="C81" s="20" t="s">
        <v>646</v>
      </c>
      <c r="D81" s="20" t="s">
        <v>218</v>
      </c>
      <c r="E81" s="21" t="s">
        <v>647</v>
      </c>
      <c r="F81" s="21" t="n">
        <v>34957</v>
      </c>
      <c r="G81" s="22" t="s">
        <v>504</v>
      </c>
      <c r="H81" s="23" t="n">
        <f aca="false">COUNTIF(CAL!U:AF,B81)</f>
        <v>6</v>
      </c>
      <c r="I81" s="22" t="n">
        <v>15</v>
      </c>
      <c r="J81" s="20"/>
    </row>
    <row r="82" customFormat="false" ht="12.75" hidden="false" customHeight="true" outlineLevel="0" collapsed="false">
      <c r="B82" s="19" t="n">
        <v>2239</v>
      </c>
      <c r="C82" s="20" t="s">
        <v>648</v>
      </c>
      <c r="D82" s="20" t="s">
        <v>243</v>
      </c>
      <c r="E82" s="21" t="s">
        <v>649</v>
      </c>
      <c r="F82" s="21" t="n">
        <v>35908</v>
      </c>
      <c r="G82" s="22" t="s">
        <v>471</v>
      </c>
      <c r="H82" s="23" t="n">
        <f aca="false">COUNTIF(CAL!U:AF,B82)</f>
        <v>6</v>
      </c>
      <c r="I82" s="22" t="n">
        <v>15</v>
      </c>
      <c r="J82" s="20"/>
    </row>
    <row r="83" customFormat="false" ht="12.75" hidden="false" customHeight="true" outlineLevel="0" collapsed="false">
      <c r="B83" s="19" t="n">
        <v>1722</v>
      </c>
      <c r="C83" s="20" t="s">
        <v>650</v>
      </c>
      <c r="D83" s="20" t="s">
        <v>176</v>
      </c>
      <c r="E83" s="21" t="s">
        <v>651</v>
      </c>
      <c r="F83" s="21" t="n">
        <v>33424</v>
      </c>
      <c r="G83" s="22" t="s">
        <v>471</v>
      </c>
      <c r="H83" s="23" t="n">
        <f aca="false">COUNTIF(CAL!U:AF,B83)</f>
        <v>6</v>
      </c>
      <c r="I83" s="22" t="n">
        <v>15</v>
      </c>
      <c r="J83" s="20" t="s">
        <v>652</v>
      </c>
    </row>
    <row r="84" customFormat="false" ht="12.75" hidden="false" customHeight="true" outlineLevel="0" collapsed="false">
      <c r="B84" s="19" t="n">
        <v>1473</v>
      </c>
      <c r="C84" s="20" t="s">
        <v>653</v>
      </c>
      <c r="D84" s="20" t="s">
        <v>138</v>
      </c>
      <c r="E84" s="21" t="s">
        <v>654</v>
      </c>
      <c r="F84" s="21" t="n">
        <v>37988</v>
      </c>
      <c r="G84" s="22" t="s">
        <v>471</v>
      </c>
      <c r="H84" s="23" t="n">
        <f aca="false">COUNTIF(CAL!U:AF,B84)</f>
        <v>6</v>
      </c>
      <c r="I84" s="22" t="n">
        <v>15</v>
      </c>
      <c r="J84" s="20"/>
    </row>
    <row r="85" customFormat="false" ht="12.75" hidden="false" customHeight="true" outlineLevel="0" collapsed="false">
      <c r="B85" s="19" t="n">
        <v>1406</v>
      </c>
      <c r="C85" s="20" t="s">
        <v>655</v>
      </c>
      <c r="D85" s="20" t="s">
        <v>159</v>
      </c>
      <c r="E85" s="24" t="s">
        <v>656</v>
      </c>
      <c r="F85" s="21" t="n">
        <v>37171</v>
      </c>
      <c r="G85" s="22" t="s">
        <v>471</v>
      </c>
      <c r="H85" s="23" t="n">
        <f aca="false">COUNTIF(CAL!U:AF,B85)</f>
        <v>6</v>
      </c>
      <c r="I85" s="22" t="n">
        <v>15</v>
      </c>
      <c r="J85" s="20"/>
    </row>
    <row r="86" customFormat="false" ht="12.75" hidden="false" customHeight="true" outlineLevel="0" collapsed="false">
      <c r="B86" s="19" t="n">
        <v>1037</v>
      </c>
      <c r="C86" s="20" t="s">
        <v>657</v>
      </c>
      <c r="D86" s="20" t="s">
        <v>60</v>
      </c>
      <c r="E86" s="24" t="s">
        <v>658</v>
      </c>
      <c r="F86" s="21" t="n">
        <v>38469</v>
      </c>
      <c r="G86" s="22" t="s">
        <v>471</v>
      </c>
      <c r="H86" s="23" t="n">
        <f aca="false">COUNTIF(CAL!U:AF,B86)</f>
        <v>6</v>
      </c>
      <c r="I86" s="22" t="n">
        <v>16</v>
      </c>
      <c r="J86" s="20"/>
    </row>
    <row r="87" customFormat="false" ht="12.75" hidden="false" customHeight="true" outlineLevel="0" collapsed="false">
      <c r="B87" s="19" t="n">
        <v>1502</v>
      </c>
      <c r="C87" s="20" t="s">
        <v>659</v>
      </c>
      <c r="D87" s="20" t="s">
        <v>238</v>
      </c>
      <c r="E87" s="21" t="s">
        <v>660</v>
      </c>
      <c r="F87" s="21" t="n">
        <v>38532</v>
      </c>
      <c r="G87" s="22" t="s">
        <v>661</v>
      </c>
      <c r="H87" s="23" t="n">
        <f aca="false">COUNTIF(CAL!U:AF,B87)</f>
        <v>6</v>
      </c>
      <c r="I87" s="22" t="n">
        <v>16</v>
      </c>
      <c r="J87" s="20"/>
    </row>
    <row r="88" customFormat="false" ht="12.75" hidden="false" customHeight="true" outlineLevel="0" collapsed="false">
      <c r="B88" s="19" t="n">
        <v>1190</v>
      </c>
      <c r="C88" s="20" t="s">
        <v>662</v>
      </c>
      <c r="D88" s="20" t="s">
        <v>172</v>
      </c>
      <c r="E88" s="21" t="s">
        <v>663</v>
      </c>
      <c r="F88" s="21" t="n">
        <v>31510</v>
      </c>
      <c r="G88" s="22" t="s">
        <v>471</v>
      </c>
      <c r="H88" s="23" t="n">
        <f aca="false">COUNTIF(CAL!U:AF,B88)</f>
        <v>6</v>
      </c>
      <c r="I88" s="22" t="n">
        <v>16</v>
      </c>
      <c r="J88" s="20"/>
    </row>
    <row r="89" customFormat="false" ht="12.75" hidden="false" customHeight="true" outlineLevel="0" collapsed="false">
      <c r="B89" s="19" t="n">
        <v>1492</v>
      </c>
      <c r="C89" s="20" t="s">
        <v>664</v>
      </c>
      <c r="D89" s="20" t="s">
        <v>279</v>
      </c>
      <c r="E89" s="21" t="s">
        <v>665</v>
      </c>
      <c r="F89" s="21" t="n">
        <v>35078</v>
      </c>
      <c r="G89" s="22" t="s">
        <v>471</v>
      </c>
      <c r="H89" s="23" t="n">
        <f aca="false">COUNTIF(CAL!U:AF,B89)</f>
        <v>6</v>
      </c>
      <c r="I89" s="22" t="n">
        <v>16</v>
      </c>
      <c r="J89" s="20" t="s">
        <v>666</v>
      </c>
    </row>
    <row r="90" customFormat="false" ht="12.75" hidden="false" customHeight="true" outlineLevel="0" collapsed="false">
      <c r="B90" s="19" t="n">
        <v>2365</v>
      </c>
      <c r="C90" s="20" t="s">
        <v>584</v>
      </c>
      <c r="D90" s="20" t="s">
        <v>253</v>
      </c>
      <c r="E90" s="21" t="s">
        <v>667</v>
      </c>
      <c r="F90" s="21" t="n">
        <v>35245</v>
      </c>
      <c r="G90" s="22" t="s">
        <v>471</v>
      </c>
      <c r="H90" s="23" t="n">
        <f aca="false">COUNTIF(CAL!U:AF,B90)</f>
        <v>6</v>
      </c>
      <c r="I90" s="22" t="n">
        <v>16</v>
      </c>
      <c r="J90" s="20" t="s">
        <v>668</v>
      </c>
    </row>
    <row r="91" customFormat="false" ht="12.75" hidden="false" customHeight="true" outlineLevel="0" collapsed="false">
      <c r="B91" s="19" t="n">
        <v>1956</v>
      </c>
      <c r="C91" s="20" t="s">
        <v>669</v>
      </c>
      <c r="D91" s="20" t="s">
        <v>163</v>
      </c>
      <c r="E91" s="21" t="s">
        <v>670</v>
      </c>
      <c r="F91" s="21" t="n">
        <v>38411</v>
      </c>
      <c r="G91" s="22" t="s">
        <v>471</v>
      </c>
      <c r="H91" s="23" t="n">
        <f aca="false">COUNTIF(CAL!U:AF,B91)</f>
        <v>6</v>
      </c>
      <c r="I91" s="22" t="n">
        <v>16</v>
      </c>
      <c r="J91" s="20"/>
    </row>
    <row r="92" customFormat="false" ht="12.75" hidden="false" customHeight="true" outlineLevel="0" collapsed="false">
      <c r="B92" s="19" t="n">
        <v>2005</v>
      </c>
      <c r="C92" s="20" t="s">
        <v>671</v>
      </c>
      <c r="D92" s="20" t="s">
        <v>384</v>
      </c>
      <c r="E92" s="21" t="s">
        <v>672</v>
      </c>
      <c r="F92" s="21" t="n">
        <v>35304</v>
      </c>
      <c r="G92" s="22" t="s">
        <v>471</v>
      </c>
      <c r="H92" s="23" t="n">
        <f aca="false">COUNTIF(CAL!U:AF,B92)</f>
        <v>6</v>
      </c>
      <c r="I92" s="22" t="n">
        <v>16</v>
      </c>
      <c r="J92" s="20" t="s">
        <v>673</v>
      </c>
    </row>
    <row r="93" customFormat="false" ht="12.75" hidden="false" customHeight="true" outlineLevel="0" collapsed="false">
      <c r="B93" s="19" t="n">
        <v>1188</v>
      </c>
      <c r="C93" s="20" t="s">
        <v>674</v>
      </c>
      <c r="D93" s="20" t="s">
        <v>172</v>
      </c>
      <c r="E93" s="21" t="s">
        <v>675</v>
      </c>
      <c r="F93" s="21" t="n">
        <v>36289</v>
      </c>
      <c r="G93" s="22" t="s">
        <v>471</v>
      </c>
      <c r="H93" s="23" t="n">
        <f aca="false">COUNTIF(CAL!U:AF,B93)</f>
        <v>6</v>
      </c>
      <c r="I93" s="22" t="n">
        <v>18</v>
      </c>
      <c r="J93" s="20"/>
    </row>
    <row r="94" customFormat="false" ht="12.75" hidden="false" customHeight="true" outlineLevel="0" collapsed="false">
      <c r="B94" s="19" t="n">
        <v>1545</v>
      </c>
      <c r="C94" s="20" t="s">
        <v>676</v>
      </c>
      <c r="D94" s="20" t="s">
        <v>78</v>
      </c>
      <c r="E94" s="24" t="s">
        <v>677</v>
      </c>
      <c r="F94" s="21" t="n">
        <v>34732</v>
      </c>
      <c r="G94" s="22" t="s">
        <v>471</v>
      </c>
      <c r="H94" s="23" t="n">
        <f aca="false">COUNTIF(CAL!U:AF,B94)</f>
        <v>6</v>
      </c>
      <c r="I94" s="22" t="n">
        <v>19</v>
      </c>
      <c r="J94" s="20"/>
    </row>
    <row r="95" customFormat="false" ht="12.75" hidden="false" customHeight="true" outlineLevel="0" collapsed="false">
      <c r="B95" s="19" t="n">
        <v>1222</v>
      </c>
      <c r="C95" s="20" t="s">
        <v>678</v>
      </c>
      <c r="D95" s="20" t="s">
        <v>244</v>
      </c>
      <c r="E95" s="21" t="s">
        <v>679</v>
      </c>
      <c r="F95" s="21" t="n">
        <v>33377</v>
      </c>
      <c r="G95" s="22" t="s">
        <v>471</v>
      </c>
      <c r="H95" s="23" t="n">
        <f aca="false">COUNTIF(CAL!U:AF,B95)</f>
        <v>5</v>
      </c>
      <c r="I95" s="22" t="n">
        <v>3</v>
      </c>
      <c r="J95" s="20"/>
    </row>
    <row r="96" customFormat="false" ht="12.75" hidden="false" customHeight="true" outlineLevel="0" collapsed="false">
      <c r="B96" s="19" t="n">
        <v>2297</v>
      </c>
      <c r="C96" s="20" t="s">
        <v>680</v>
      </c>
      <c r="D96" s="20" t="s">
        <v>382</v>
      </c>
      <c r="E96" s="24" t="s">
        <v>681</v>
      </c>
      <c r="F96" s="21" t="n">
        <v>38429</v>
      </c>
      <c r="G96" s="22" t="s">
        <v>471</v>
      </c>
      <c r="H96" s="23" t="n">
        <f aca="false">COUNTIF(CAL!U:AF,B96)</f>
        <v>5</v>
      </c>
      <c r="I96" s="22" t="n">
        <v>3</v>
      </c>
      <c r="J96" s="20"/>
    </row>
    <row r="97" customFormat="false" ht="12.75" hidden="false" customHeight="true" outlineLevel="0" collapsed="false">
      <c r="B97" s="19" t="n">
        <v>1635</v>
      </c>
      <c r="C97" s="20" t="s">
        <v>682</v>
      </c>
      <c r="D97" s="20" t="s">
        <v>200</v>
      </c>
      <c r="E97" s="21" t="s">
        <v>683</v>
      </c>
      <c r="F97" s="21" t="n">
        <v>37483</v>
      </c>
      <c r="G97" s="22" t="s">
        <v>471</v>
      </c>
      <c r="H97" s="23" t="n">
        <f aca="false">COUNTIF(CAL!U:AF,B97)</f>
        <v>5</v>
      </c>
      <c r="I97" s="22" t="n">
        <v>5</v>
      </c>
      <c r="J97" s="20" t="s">
        <v>684</v>
      </c>
    </row>
    <row r="98" customFormat="false" ht="12.75" hidden="false" customHeight="true" outlineLevel="0" collapsed="false">
      <c r="B98" s="19" t="n">
        <v>2337</v>
      </c>
      <c r="C98" s="20" t="s">
        <v>685</v>
      </c>
      <c r="D98" s="20" t="s">
        <v>314</v>
      </c>
      <c r="E98" s="21" t="s">
        <v>686</v>
      </c>
      <c r="F98" s="21" t="n">
        <v>33053</v>
      </c>
      <c r="G98" s="22" t="s">
        <v>471</v>
      </c>
      <c r="H98" s="23" t="n">
        <f aca="false">COUNTIF(CAL!U:AF,B98)</f>
        <v>5</v>
      </c>
      <c r="I98" s="22" t="n">
        <v>5</v>
      </c>
      <c r="J98" s="20"/>
    </row>
    <row r="99" customFormat="false" ht="12.75" hidden="false" customHeight="true" outlineLevel="0" collapsed="false">
      <c r="B99" s="19" t="n">
        <v>2987</v>
      </c>
      <c r="C99" s="20" t="s">
        <v>687</v>
      </c>
      <c r="D99" s="20" t="s">
        <v>390</v>
      </c>
      <c r="E99" s="21" t="s">
        <v>688</v>
      </c>
      <c r="F99" s="21" t="n">
        <v>38074</v>
      </c>
      <c r="G99" s="22" t="s">
        <v>471</v>
      </c>
      <c r="H99" s="23" t="n">
        <f aca="false">COUNTIF(CAL!U:AF,B99)</f>
        <v>5</v>
      </c>
      <c r="I99" s="22" t="n">
        <v>6</v>
      </c>
      <c r="J99" s="20"/>
    </row>
    <row r="100" customFormat="false" ht="12.75" hidden="false" customHeight="true" outlineLevel="0" collapsed="false">
      <c r="B100" s="19" t="n">
        <v>1453</v>
      </c>
      <c r="C100" s="20" t="s">
        <v>689</v>
      </c>
      <c r="D100" s="20" t="s">
        <v>214</v>
      </c>
      <c r="E100" s="21" t="s">
        <v>690</v>
      </c>
      <c r="F100" s="21" t="n">
        <v>34025</v>
      </c>
      <c r="G100" s="22" t="s">
        <v>471</v>
      </c>
      <c r="H100" s="23" t="n">
        <f aca="false">COUNTIF(CAL!U:AF,B100)</f>
        <v>5</v>
      </c>
      <c r="I100" s="22" t="n">
        <v>6</v>
      </c>
      <c r="J100" s="20"/>
    </row>
    <row r="101" customFormat="false" ht="12.75" hidden="false" customHeight="true" outlineLevel="0" collapsed="false">
      <c r="B101" s="19" t="n">
        <v>2758</v>
      </c>
      <c r="C101" s="20" t="s">
        <v>691</v>
      </c>
      <c r="D101" s="20" t="s">
        <v>207</v>
      </c>
      <c r="E101" s="21" t="s">
        <v>692</v>
      </c>
      <c r="F101" s="21" t="n">
        <v>35669</v>
      </c>
      <c r="G101" s="22" t="s">
        <v>471</v>
      </c>
      <c r="H101" s="23" t="n">
        <f aca="false">COUNTIF(CAL!U:AF,B101)</f>
        <v>5</v>
      </c>
      <c r="I101" s="22" t="n">
        <v>6</v>
      </c>
      <c r="J101" s="20"/>
    </row>
    <row r="102" customFormat="false" ht="12.75" hidden="false" customHeight="true" outlineLevel="0" collapsed="false">
      <c r="B102" s="19" t="n">
        <v>1462</v>
      </c>
      <c r="C102" s="20" t="s">
        <v>693</v>
      </c>
      <c r="D102" s="20" t="s">
        <v>274</v>
      </c>
      <c r="E102" s="21" t="s">
        <v>694</v>
      </c>
      <c r="F102" s="21" t="n">
        <v>36086</v>
      </c>
      <c r="G102" s="22" t="s">
        <v>471</v>
      </c>
      <c r="H102" s="23" t="n">
        <f aca="false">COUNTIF(CAL!U:AF,B102)</f>
        <v>5</v>
      </c>
      <c r="I102" s="22" t="n">
        <v>6</v>
      </c>
      <c r="J102" s="20"/>
    </row>
    <row r="103" customFormat="false" ht="12.75" hidden="false" customHeight="true" outlineLevel="0" collapsed="false">
      <c r="B103" s="19" t="n">
        <v>2264</v>
      </c>
      <c r="C103" s="20" t="s">
        <v>695</v>
      </c>
      <c r="D103" s="20" t="s">
        <v>329</v>
      </c>
      <c r="E103" s="21" t="s">
        <v>696</v>
      </c>
      <c r="F103" s="21" t="n">
        <v>35722</v>
      </c>
      <c r="G103" s="22" t="s">
        <v>471</v>
      </c>
      <c r="H103" s="23" t="n">
        <f aca="false">COUNTIF(CAL!U:AF,B103)</f>
        <v>5</v>
      </c>
      <c r="I103" s="22" t="n">
        <v>6</v>
      </c>
      <c r="J103" s="20"/>
    </row>
    <row r="104" customFormat="false" ht="12.75" hidden="false" customHeight="true" outlineLevel="0" collapsed="false">
      <c r="B104" s="19" t="n">
        <v>1967</v>
      </c>
      <c r="C104" s="20" t="s">
        <v>697</v>
      </c>
      <c r="D104" s="20" t="s">
        <v>43</v>
      </c>
      <c r="E104" s="21" t="s">
        <v>698</v>
      </c>
      <c r="F104" s="21" t="n">
        <v>34959</v>
      </c>
      <c r="G104" s="22" t="s">
        <v>471</v>
      </c>
      <c r="H104" s="23" t="n">
        <f aca="false">COUNTIF(CAL!U:AF,B104)</f>
        <v>5</v>
      </c>
      <c r="I104" s="22" t="n">
        <v>7</v>
      </c>
      <c r="J104" s="20" t="s">
        <v>699</v>
      </c>
    </row>
    <row r="105" customFormat="false" ht="12.75" hidden="false" customHeight="true" outlineLevel="0" collapsed="false">
      <c r="B105" s="19" t="n">
        <v>2112</v>
      </c>
      <c r="C105" s="20" t="s">
        <v>700</v>
      </c>
      <c r="D105" s="20" t="s">
        <v>341</v>
      </c>
      <c r="E105" s="21" t="s">
        <v>701</v>
      </c>
      <c r="F105" s="21" t="n">
        <v>34802</v>
      </c>
      <c r="G105" s="22" t="s">
        <v>471</v>
      </c>
      <c r="H105" s="23" t="n">
        <f aca="false">COUNTIF(CAL!U:AF,B105)</f>
        <v>5</v>
      </c>
      <c r="I105" s="22" t="n">
        <v>7</v>
      </c>
      <c r="J105" s="20"/>
    </row>
    <row r="106" customFormat="false" ht="12.75" hidden="false" customHeight="true" outlineLevel="0" collapsed="false">
      <c r="B106" s="19" t="n">
        <v>2169</v>
      </c>
      <c r="C106" s="20" t="s">
        <v>702</v>
      </c>
      <c r="D106" s="20" t="s">
        <v>371</v>
      </c>
      <c r="E106" s="21" t="s">
        <v>703</v>
      </c>
      <c r="F106" s="21" t="n">
        <v>37928</v>
      </c>
      <c r="G106" s="22" t="s">
        <v>471</v>
      </c>
      <c r="H106" s="23" t="n">
        <f aca="false">COUNTIF(CAL!U:AF,B106)</f>
        <v>5</v>
      </c>
      <c r="I106" s="22" t="n">
        <v>8</v>
      </c>
      <c r="J106" s="20"/>
    </row>
    <row r="107" customFormat="false" ht="12.75" hidden="false" customHeight="true" outlineLevel="0" collapsed="false">
      <c r="B107" s="19" t="n">
        <v>2521</v>
      </c>
      <c r="C107" s="20" t="s">
        <v>704</v>
      </c>
      <c r="D107" s="20" t="s">
        <v>371</v>
      </c>
      <c r="E107" s="21" t="s">
        <v>705</v>
      </c>
      <c r="F107" s="21" t="n">
        <v>34659</v>
      </c>
      <c r="G107" s="22" t="s">
        <v>471</v>
      </c>
      <c r="H107" s="23" t="n">
        <f aca="false">COUNTIF(CAL!U:AF,B107)</f>
        <v>5</v>
      </c>
      <c r="I107" s="22" t="n">
        <v>8</v>
      </c>
      <c r="J107" s="20"/>
    </row>
    <row r="108" customFormat="false" ht="12.75" hidden="false" customHeight="true" outlineLevel="0" collapsed="false">
      <c r="B108" s="19" t="n">
        <v>1605</v>
      </c>
      <c r="C108" s="20" t="s">
        <v>706</v>
      </c>
      <c r="D108" s="20" t="s">
        <v>219</v>
      </c>
      <c r="E108" s="21" t="s">
        <v>707</v>
      </c>
      <c r="F108" s="21" t="n">
        <v>35019</v>
      </c>
      <c r="G108" s="22" t="s">
        <v>471</v>
      </c>
      <c r="H108" s="23" t="n">
        <f aca="false">COUNTIF(CAL!U:AF,B108)</f>
        <v>5</v>
      </c>
      <c r="I108" s="22" t="n">
        <v>8</v>
      </c>
      <c r="J108" s="20"/>
    </row>
    <row r="109" customFormat="false" ht="12.75" hidden="false" customHeight="true" outlineLevel="0" collapsed="false">
      <c r="B109" s="19" t="n">
        <v>1569</v>
      </c>
      <c r="C109" s="20" t="s">
        <v>708</v>
      </c>
      <c r="D109" s="20" t="s">
        <v>297</v>
      </c>
      <c r="E109" s="21" t="s">
        <v>709</v>
      </c>
      <c r="F109" s="21" t="n">
        <v>33248</v>
      </c>
      <c r="G109" s="22" t="s">
        <v>471</v>
      </c>
      <c r="H109" s="23" t="n">
        <f aca="false">COUNTIF(CAL!U:AF,B109)</f>
        <v>5</v>
      </c>
      <c r="I109" s="22" t="n">
        <v>8</v>
      </c>
      <c r="J109" s="20"/>
    </row>
    <row r="110" customFormat="false" ht="12.75" hidden="false" customHeight="true" outlineLevel="0" collapsed="false">
      <c r="B110" s="19" t="n">
        <v>1751</v>
      </c>
      <c r="C110" s="20" t="s">
        <v>710</v>
      </c>
      <c r="D110" s="20" t="s">
        <v>114</v>
      </c>
      <c r="E110" s="21" t="s">
        <v>711</v>
      </c>
      <c r="F110" s="21" t="n">
        <v>35818</v>
      </c>
      <c r="G110" s="22" t="s">
        <v>471</v>
      </c>
      <c r="H110" s="23" t="n">
        <f aca="false">COUNTIF(CAL!U:AF,B110)</f>
        <v>5</v>
      </c>
      <c r="I110" s="22" t="n">
        <v>8</v>
      </c>
      <c r="J110" s="20" t="s">
        <v>712</v>
      </c>
    </row>
    <row r="111" customFormat="false" ht="12.75" hidden="false" customHeight="true" outlineLevel="0" collapsed="false">
      <c r="B111" s="19" t="n">
        <v>2159</v>
      </c>
      <c r="C111" s="20" t="s">
        <v>713</v>
      </c>
      <c r="D111" s="20" t="s">
        <v>337</v>
      </c>
      <c r="E111" s="21" t="s">
        <v>714</v>
      </c>
      <c r="F111" s="21" t="n">
        <v>36453</v>
      </c>
      <c r="G111" s="22" t="s">
        <v>471</v>
      </c>
      <c r="H111" s="23" t="n">
        <f aca="false">COUNTIF(CAL!U:AF,B111)</f>
        <v>5</v>
      </c>
      <c r="I111" s="22" t="n">
        <v>9</v>
      </c>
      <c r="J111" s="20"/>
    </row>
    <row r="112" customFormat="false" ht="12.75" hidden="false" customHeight="true" outlineLevel="0" collapsed="false">
      <c r="B112" s="19" t="n">
        <v>2064</v>
      </c>
      <c r="C112" s="20" t="s">
        <v>715</v>
      </c>
      <c r="D112" s="20" t="s">
        <v>179</v>
      </c>
      <c r="E112" s="21" t="s">
        <v>716</v>
      </c>
      <c r="F112" s="21" t="n">
        <v>36528</v>
      </c>
      <c r="G112" s="22" t="s">
        <v>471</v>
      </c>
      <c r="H112" s="23" t="n">
        <f aca="false">COUNTIF(CAL!U:AF,B112)</f>
        <v>5</v>
      </c>
      <c r="I112" s="22" t="n">
        <v>9</v>
      </c>
      <c r="J112" s="20"/>
    </row>
    <row r="113" customFormat="false" ht="12.75" hidden="false" customHeight="true" outlineLevel="0" collapsed="false">
      <c r="B113" s="19" t="n">
        <v>1812</v>
      </c>
      <c r="C113" s="20" t="s">
        <v>717</v>
      </c>
      <c r="D113" s="20" t="s">
        <v>139</v>
      </c>
      <c r="E113" s="21" t="s">
        <v>718</v>
      </c>
      <c r="F113" s="21" t="n">
        <v>31900</v>
      </c>
      <c r="G113" s="22" t="s">
        <v>471</v>
      </c>
      <c r="H113" s="23" t="n">
        <f aca="false">COUNTIF(CAL!U:AF,B113)</f>
        <v>5</v>
      </c>
      <c r="I113" s="22" t="n">
        <v>9</v>
      </c>
      <c r="J113" s="20"/>
    </row>
    <row r="114" customFormat="false" ht="12.75" hidden="false" customHeight="true" outlineLevel="0" collapsed="false">
      <c r="B114" s="19" t="n">
        <v>2186</v>
      </c>
      <c r="C114" s="20" t="s">
        <v>719</v>
      </c>
      <c r="D114" s="20" t="s">
        <v>50</v>
      </c>
      <c r="E114" s="21" t="s">
        <v>720</v>
      </c>
      <c r="F114" s="21" t="n">
        <v>36710</v>
      </c>
      <c r="G114" s="22" t="s">
        <v>471</v>
      </c>
      <c r="H114" s="23" t="n">
        <f aca="false">COUNTIF(CAL!U:AF,B114)</f>
        <v>5</v>
      </c>
      <c r="I114" s="22" t="n">
        <v>9</v>
      </c>
      <c r="J114" s="20"/>
    </row>
    <row r="115" customFormat="false" ht="12.75" hidden="false" customHeight="true" outlineLevel="0" collapsed="false">
      <c r="B115" s="19" t="n">
        <v>1809</v>
      </c>
      <c r="C115" s="20" t="s">
        <v>721</v>
      </c>
      <c r="D115" s="20" t="s">
        <v>227</v>
      </c>
      <c r="E115" s="24" t="s">
        <v>722</v>
      </c>
      <c r="F115" s="21" t="n">
        <v>31375</v>
      </c>
      <c r="G115" s="22" t="s">
        <v>471</v>
      </c>
      <c r="H115" s="23" t="n">
        <f aca="false">COUNTIF(CAL!U:AF,B115)</f>
        <v>5</v>
      </c>
      <c r="I115" s="22" t="n">
        <v>9</v>
      </c>
      <c r="J115" s="20"/>
    </row>
    <row r="116" customFormat="false" ht="12.75" hidden="false" customHeight="true" outlineLevel="0" collapsed="false">
      <c r="B116" s="19" t="n">
        <v>1905</v>
      </c>
      <c r="C116" s="20" t="s">
        <v>723</v>
      </c>
      <c r="D116" s="20" t="s">
        <v>83</v>
      </c>
      <c r="E116" s="21" t="s">
        <v>724</v>
      </c>
      <c r="F116" s="21" t="n">
        <v>33886</v>
      </c>
      <c r="G116" s="22" t="s">
        <v>471</v>
      </c>
      <c r="H116" s="23" t="n">
        <f aca="false">COUNTIF(CAL!U:AF,B116)</f>
        <v>5</v>
      </c>
      <c r="I116" s="22" t="n">
        <v>9</v>
      </c>
      <c r="J116" s="20"/>
    </row>
    <row r="117" customFormat="false" ht="12.75" hidden="false" customHeight="true" outlineLevel="0" collapsed="false">
      <c r="B117" s="19" t="n">
        <v>1187</v>
      </c>
      <c r="C117" s="20" t="s">
        <v>725</v>
      </c>
      <c r="D117" s="20" t="s">
        <v>265</v>
      </c>
      <c r="E117" s="21" t="s">
        <v>726</v>
      </c>
      <c r="F117" s="21" t="n">
        <v>38231</v>
      </c>
      <c r="G117" s="22" t="s">
        <v>471</v>
      </c>
      <c r="H117" s="23" t="n">
        <f aca="false">COUNTIF(CAL!U:AF,B117)</f>
        <v>5</v>
      </c>
      <c r="I117" s="22" t="n">
        <v>9</v>
      </c>
      <c r="J117" s="20" t="s">
        <v>727</v>
      </c>
    </row>
    <row r="118" customFormat="false" ht="12.75" hidden="false" customHeight="true" outlineLevel="0" collapsed="false">
      <c r="B118" s="19" t="n">
        <v>1581</v>
      </c>
      <c r="C118" s="20" t="s">
        <v>728</v>
      </c>
      <c r="D118" s="20" t="s">
        <v>99</v>
      </c>
      <c r="E118" s="21" t="s">
        <v>729</v>
      </c>
      <c r="F118" s="21" t="n">
        <v>36286</v>
      </c>
      <c r="G118" s="22" t="s">
        <v>471</v>
      </c>
      <c r="H118" s="23" t="n">
        <f aca="false">COUNTIF(CAL!U:AF,B118)</f>
        <v>5</v>
      </c>
      <c r="I118" s="22" t="n">
        <v>9</v>
      </c>
      <c r="J118" s="20"/>
    </row>
    <row r="119" customFormat="false" ht="12.75" hidden="false" customHeight="true" outlineLevel="0" collapsed="false">
      <c r="B119" s="19" t="n">
        <v>2407</v>
      </c>
      <c r="C119" s="20" t="s">
        <v>730</v>
      </c>
      <c r="D119" s="20" t="s">
        <v>51</v>
      </c>
      <c r="E119" s="21" t="s">
        <v>731</v>
      </c>
      <c r="F119" s="21" t="n">
        <v>34608</v>
      </c>
      <c r="G119" s="22" t="s">
        <v>471</v>
      </c>
      <c r="H119" s="23" t="n">
        <f aca="false">COUNTIF(CAL!U:AF,B119)</f>
        <v>5</v>
      </c>
      <c r="I119" s="22" t="n">
        <v>9</v>
      </c>
      <c r="J119" s="20"/>
    </row>
    <row r="120" customFormat="false" ht="12.75" hidden="false" customHeight="true" outlineLevel="0" collapsed="false">
      <c r="B120" s="19" t="n">
        <v>1020</v>
      </c>
      <c r="C120" s="20" t="s">
        <v>732</v>
      </c>
      <c r="D120" s="20" t="s">
        <v>130</v>
      </c>
      <c r="E120" s="24" t="s">
        <v>733</v>
      </c>
      <c r="F120" s="21" t="n">
        <v>37925</v>
      </c>
      <c r="G120" s="22" t="s">
        <v>471</v>
      </c>
      <c r="H120" s="23" t="n">
        <f aca="false">COUNTIF(CAL!U:AF,B120)</f>
        <v>5</v>
      </c>
      <c r="I120" s="22" t="n">
        <v>9</v>
      </c>
      <c r="J120" s="20" t="s">
        <v>734</v>
      </c>
    </row>
    <row r="121" customFormat="false" ht="12.75" hidden="false" customHeight="true" outlineLevel="0" collapsed="false">
      <c r="B121" s="19" t="n">
        <v>2103</v>
      </c>
      <c r="C121" s="20" t="s">
        <v>735</v>
      </c>
      <c r="D121" s="20" t="s">
        <v>83</v>
      </c>
      <c r="E121" s="21" t="s">
        <v>736</v>
      </c>
      <c r="F121" s="21" t="n">
        <v>35878</v>
      </c>
      <c r="G121" s="22" t="s">
        <v>471</v>
      </c>
      <c r="H121" s="23" t="n">
        <f aca="false">COUNTIF(CAL!U:AF,B121)</f>
        <v>5</v>
      </c>
      <c r="I121" s="22" t="n">
        <v>9</v>
      </c>
      <c r="J121" s="20"/>
    </row>
    <row r="122" customFormat="false" ht="12.75" hidden="false" customHeight="true" outlineLevel="0" collapsed="false">
      <c r="B122" s="19" t="n">
        <v>1708</v>
      </c>
      <c r="C122" s="20" t="s">
        <v>737</v>
      </c>
      <c r="D122" s="20" t="s">
        <v>228</v>
      </c>
      <c r="E122" s="21" t="s">
        <v>738</v>
      </c>
      <c r="F122" s="21" t="n">
        <v>36968</v>
      </c>
      <c r="G122" s="22" t="s">
        <v>471</v>
      </c>
      <c r="H122" s="23" t="n">
        <f aca="false">COUNTIF(CAL!U:AF,B122)</f>
        <v>5</v>
      </c>
      <c r="I122" s="22" t="n">
        <v>9</v>
      </c>
      <c r="J122" s="20"/>
    </row>
    <row r="123" customFormat="false" ht="12.75" hidden="false" customHeight="true" outlineLevel="0" collapsed="false">
      <c r="B123" s="19" t="n">
        <v>1097</v>
      </c>
      <c r="C123" s="20" t="s">
        <v>739</v>
      </c>
      <c r="D123" s="20" t="s">
        <v>131</v>
      </c>
      <c r="E123" s="21" t="s">
        <v>740</v>
      </c>
      <c r="F123" s="21" t="n">
        <v>37341</v>
      </c>
      <c r="G123" s="22" t="s">
        <v>471</v>
      </c>
      <c r="H123" s="23" t="n">
        <f aca="false">COUNTIF(CAL!U:AF,B123)</f>
        <v>5</v>
      </c>
      <c r="I123" s="22" t="n">
        <v>10</v>
      </c>
      <c r="J123" s="20"/>
    </row>
    <row r="124" customFormat="false" ht="12.75" hidden="false" customHeight="true" outlineLevel="0" collapsed="false">
      <c r="B124" s="19" t="n">
        <v>1541</v>
      </c>
      <c r="C124" s="20" t="s">
        <v>741</v>
      </c>
      <c r="D124" s="20" t="s">
        <v>73</v>
      </c>
      <c r="E124" s="21" t="s">
        <v>742</v>
      </c>
      <c r="F124" s="21" t="n">
        <v>34184</v>
      </c>
      <c r="G124" s="22" t="s">
        <v>471</v>
      </c>
      <c r="H124" s="23" t="n">
        <f aca="false">COUNTIF(CAL!U:AF,B124)</f>
        <v>5</v>
      </c>
      <c r="I124" s="22" t="n">
        <v>10</v>
      </c>
      <c r="J124" s="20"/>
    </row>
    <row r="125" customFormat="false" ht="12.75" hidden="false" customHeight="true" outlineLevel="0" collapsed="false">
      <c r="B125" s="19" t="n">
        <v>1433</v>
      </c>
      <c r="C125" s="20" t="s">
        <v>743</v>
      </c>
      <c r="D125" s="20" t="s">
        <v>103</v>
      </c>
      <c r="E125" s="21" t="s">
        <v>744</v>
      </c>
      <c r="F125" s="21" t="n">
        <v>37211</v>
      </c>
      <c r="G125" s="22" t="s">
        <v>471</v>
      </c>
      <c r="H125" s="23" t="n">
        <f aca="false">COUNTIF(CAL!U:AF,B125)</f>
        <v>5</v>
      </c>
      <c r="I125" s="22" t="n">
        <v>11</v>
      </c>
      <c r="J125" s="20"/>
    </row>
    <row r="126" customFormat="false" ht="12.75" hidden="false" customHeight="true" outlineLevel="0" collapsed="false">
      <c r="B126" s="19" t="n">
        <v>1161</v>
      </c>
      <c r="C126" s="20" t="s">
        <v>745</v>
      </c>
      <c r="D126" s="20" t="s">
        <v>445</v>
      </c>
      <c r="E126" s="21" t="s">
        <v>746</v>
      </c>
      <c r="F126" s="21" t="n">
        <v>34592</v>
      </c>
      <c r="G126" s="22" t="s">
        <v>471</v>
      </c>
      <c r="H126" s="23" t="n">
        <f aca="false">COUNTIF(CAL!U:AF,B126)</f>
        <v>5</v>
      </c>
      <c r="I126" s="22" t="n">
        <v>11</v>
      </c>
      <c r="J126" s="20" t="s">
        <v>747</v>
      </c>
    </row>
    <row r="127" customFormat="false" ht="12.75" hidden="false" customHeight="true" outlineLevel="0" collapsed="false">
      <c r="B127" s="19" t="n">
        <v>1287</v>
      </c>
      <c r="C127" s="20" t="s">
        <v>748</v>
      </c>
      <c r="D127" s="20" t="s">
        <v>56</v>
      </c>
      <c r="E127" s="24" t="s">
        <v>749</v>
      </c>
      <c r="F127" s="21" t="n">
        <v>32234</v>
      </c>
      <c r="G127" s="22" t="s">
        <v>471</v>
      </c>
      <c r="H127" s="23" t="n">
        <f aca="false">COUNTIF(CAL!U:AF,B127)</f>
        <v>5</v>
      </c>
      <c r="I127" s="22" t="n">
        <v>11</v>
      </c>
      <c r="J127" s="20"/>
    </row>
    <row r="128" customFormat="false" ht="12.75" hidden="false" customHeight="true" outlineLevel="0" collapsed="false">
      <c r="B128" s="19" t="n">
        <v>2623</v>
      </c>
      <c r="C128" s="20" t="s">
        <v>750</v>
      </c>
      <c r="D128" s="20" t="s">
        <v>265</v>
      </c>
      <c r="E128" s="21" t="s">
        <v>751</v>
      </c>
      <c r="F128" s="21" t="n">
        <v>35474</v>
      </c>
      <c r="G128" s="22" t="s">
        <v>471</v>
      </c>
      <c r="H128" s="23" t="n">
        <f aca="false">COUNTIF(CAL!U:AF,B128)</f>
        <v>5</v>
      </c>
      <c r="I128" s="22" t="n">
        <v>11</v>
      </c>
      <c r="J128" s="20"/>
    </row>
    <row r="129" customFormat="false" ht="12.75" hidden="false" customHeight="true" outlineLevel="0" collapsed="false">
      <c r="B129" s="19" t="n">
        <v>2303</v>
      </c>
      <c r="C129" s="20" t="s">
        <v>752</v>
      </c>
      <c r="D129" s="20" t="s">
        <v>359</v>
      </c>
      <c r="E129" s="24" t="s">
        <v>753</v>
      </c>
      <c r="F129" s="21" t="n">
        <v>31082</v>
      </c>
      <c r="G129" s="22" t="s">
        <v>471</v>
      </c>
      <c r="H129" s="23" t="n">
        <f aca="false">COUNTIF(CAL!U:AF,B129)</f>
        <v>5</v>
      </c>
      <c r="I129" s="22" t="n">
        <v>11</v>
      </c>
      <c r="J129" s="20"/>
    </row>
    <row r="130" customFormat="false" ht="12.75" hidden="false" customHeight="true" outlineLevel="0" collapsed="false">
      <c r="B130" s="19" t="n">
        <v>1086</v>
      </c>
      <c r="C130" s="20" t="s">
        <v>754</v>
      </c>
      <c r="D130" s="20" t="s">
        <v>91</v>
      </c>
      <c r="E130" s="21" t="s">
        <v>755</v>
      </c>
      <c r="F130" s="21" t="n">
        <v>35262</v>
      </c>
      <c r="G130" s="22" t="s">
        <v>471</v>
      </c>
      <c r="H130" s="23" t="n">
        <f aca="false">COUNTIF(CAL!U:AF,B130)</f>
        <v>5</v>
      </c>
      <c r="I130" s="22" t="n">
        <v>12</v>
      </c>
      <c r="J130" s="20"/>
    </row>
    <row r="131" customFormat="false" ht="12.75" hidden="false" customHeight="true" outlineLevel="0" collapsed="false">
      <c r="B131" s="19" t="n">
        <v>1475</v>
      </c>
      <c r="C131" s="20" t="s">
        <v>756</v>
      </c>
      <c r="D131" s="20" t="s">
        <v>183</v>
      </c>
      <c r="E131" s="21" t="s">
        <v>757</v>
      </c>
      <c r="F131" s="21" t="n">
        <v>34021</v>
      </c>
      <c r="G131" s="22" t="s">
        <v>471</v>
      </c>
      <c r="H131" s="23" t="n">
        <f aca="false">COUNTIF(CAL!U:AF,B131)</f>
        <v>5</v>
      </c>
      <c r="I131" s="22" t="n">
        <v>12</v>
      </c>
      <c r="J131" s="20"/>
    </row>
    <row r="132" customFormat="false" ht="12.75" hidden="false" customHeight="true" outlineLevel="0" collapsed="false">
      <c r="B132" s="19" t="n">
        <v>2896</v>
      </c>
      <c r="C132" s="20" t="s">
        <v>758</v>
      </c>
      <c r="D132" s="20" t="s">
        <v>384</v>
      </c>
      <c r="E132" s="21" t="s">
        <v>759</v>
      </c>
      <c r="F132" s="21" t="n">
        <v>31118</v>
      </c>
      <c r="G132" s="22" t="s">
        <v>471</v>
      </c>
      <c r="H132" s="23" t="n">
        <f aca="false">COUNTIF(CAL!U:AF,B132)</f>
        <v>5</v>
      </c>
      <c r="I132" s="22" t="n">
        <v>13</v>
      </c>
      <c r="J132" s="20" t="s">
        <v>760</v>
      </c>
    </row>
    <row r="133" customFormat="false" ht="12.75" hidden="false" customHeight="true" outlineLevel="0" collapsed="false">
      <c r="B133" s="19" t="n">
        <v>1386</v>
      </c>
      <c r="C133" s="20" t="s">
        <v>761</v>
      </c>
      <c r="D133" s="20" t="s">
        <v>140</v>
      </c>
      <c r="E133" s="21" t="s">
        <v>762</v>
      </c>
      <c r="F133" s="21" t="n">
        <v>35111</v>
      </c>
      <c r="G133" s="22" t="s">
        <v>471</v>
      </c>
      <c r="H133" s="23" t="n">
        <f aca="false">COUNTIF(CAL!U:AF,B133)</f>
        <v>5</v>
      </c>
      <c r="I133" s="22" t="n">
        <v>13</v>
      </c>
      <c r="J133" s="20"/>
    </row>
    <row r="134" customFormat="false" ht="12.75" hidden="false" customHeight="true" outlineLevel="0" collapsed="false">
      <c r="B134" s="19" t="n">
        <v>1185</v>
      </c>
      <c r="C134" s="20" t="s">
        <v>763</v>
      </c>
      <c r="D134" s="20" t="s">
        <v>416</v>
      </c>
      <c r="E134" s="21" t="s">
        <v>764</v>
      </c>
      <c r="F134" s="21" t="n">
        <v>33110</v>
      </c>
      <c r="G134" s="22" t="s">
        <v>471</v>
      </c>
      <c r="H134" s="23" t="n">
        <f aca="false">COUNTIF(CAL!U:AF,B134)</f>
        <v>5</v>
      </c>
      <c r="I134" s="22" t="n">
        <v>13</v>
      </c>
      <c r="J134" s="20" t="s">
        <v>765</v>
      </c>
    </row>
    <row r="135" customFormat="false" ht="12.75" hidden="false" customHeight="true" outlineLevel="0" collapsed="false">
      <c r="B135" s="19" t="n">
        <v>1039</v>
      </c>
      <c r="C135" s="20" t="s">
        <v>766</v>
      </c>
      <c r="D135" s="20" t="s">
        <v>67</v>
      </c>
      <c r="E135" s="24" t="s">
        <v>767</v>
      </c>
      <c r="F135" s="21" t="n">
        <v>38597</v>
      </c>
      <c r="G135" s="22" t="s">
        <v>471</v>
      </c>
      <c r="H135" s="23" t="n">
        <f aca="false">COUNTIF(CAL!U:AF,B135)</f>
        <v>5</v>
      </c>
      <c r="I135" s="22" t="n">
        <v>13</v>
      </c>
      <c r="J135" s="20"/>
    </row>
    <row r="136" customFormat="false" ht="12.75" hidden="false" customHeight="true" outlineLevel="0" collapsed="false">
      <c r="B136" s="19" t="n">
        <v>2176</v>
      </c>
      <c r="C136" s="20" t="s">
        <v>768</v>
      </c>
      <c r="D136" s="20" t="s">
        <v>375</v>
      </c>
      <c r="E136" s="21" t="s">
        <v>769</v>
      </c>
      <c r="F136" s="21" t="n">
        <v>37069</v>
      </c>
      <c r="G136" s="22" t="s">
        <v>770</v>
      </c>
      <c r="H136" s="23" t="n">
        <f aca="false">COUNTIF(CAL!U:AF,B136)</f>
        <v>5</v>
      </c>
      <c r="I136" s="22" t="n">
        <v>13</v>
      </c>
      <c r="J136" s="20"/>
    </row>
    <row r="137" customFormat="false" ht="12.75" hidden="false" customHeight="true" outlineLevel="0" collapsed="false">
      <c r="B137" s="19" t="n">
        <v>1599</v>
      </c>
      <c r="C137" s="20" t="s">
        <v>771</v>
      </c>
      <c r="D137" s="20" t="s">
        <v>54</v>
      </c>
      <c r="E137" s="24" t="s">
        <v>772</v>
      </c>
      <c r="F137" s="21" t="n">
        <v>36459</v>
      </c>
      <c r="G137" s="22" t="s">
        <v>471</v>
      </c>
      <c r="H137" s="23" t="n">
        <f aca="false">COUNTIF(CAL!U:AF,B137)</f>
        <v>5</v>
      </c>
      <c r="I137" s="22" t="n">
        <v>13</v>
      </c>
      <c r="J137" s="20"/>
    </row>
    <row r="138" customFormat="false" ht="12.75" hidden="false" customHeight="true" outlineLevel="0" collapsed="false">
      <c r="B138" s="19" t="n">
        <v>1119</v>
      </c>
      <c r="C138" s="20" t="s">
        <v>773</v>
      </c>
      <c r="D138" s="20" t="s">
        <v>136</v>
      </c>
      <c r="E138" s="21" t="s">
        <v>774</v>
      </c>
      <c r="F138" s="21" t="n">
        <v>38913</v>
      </c>
      <c r="G138" s="22" t="s">
        <v>471</v>
      </c>
      <c r="H138" s="23" t="n">
        <f aca="false">COUNTIF(CAL!U:AF,B138)</f>
        <v>5</v>
      </c>
      <c r="I138" s="22" t="n">
        <v>13</v>
      </c>
      <c r="J138" s="20"/>
    </row>
    <row r="139" customFormat="false" ht="12.75" hidden="false" customHeight="true" outlineLevel="0" collapsed="false">
      <c r="B139" s="19" t="n">
        <v>1045</v>
      </c>
      <c r="C139" s="20" t="s">
        <v>775</v>
      </c>
      <c r="D139" s="20" t="s">
        <v>70</v>
      </c>
      <c r="E139" s="21" t="s">
        <v>776</v>
      </c>
      <c r="F139" s="21" t="n">
        <v>30844</v>
      </c>
      <c r="G139" s="22" t="s">
        <v>471</v>
      </c>
      <c r="H139" s="23" t="n">
        <f aca="false">COUNTIF(CAL!U:AF,B139)</f>
        <v>5</v>
      </c>
      <c r="I139" s="22" t="n">
        <v>13</v>
      </c>
      <c r="J139" s="20"/>
    </row>
    <row r="140" customFormat="false" ht="12.75" hidden="false" customHeight="true" outlineLevel="0" collapsed="false">
      <c r="B140" s="19" t="n">
        <v>1977</v>
      </c>
      <c r="C140" s="20" t="s">
        <v>777</v>
      </c>
      <c r="D140" s="20" t="s">
        <v>253</v>
      </c>
      <c r="E140" s="21" t="s">
        <v>778</v>
      </c>
      <c r="F140" s="21" t="n">
        <v>34881</v>
      </c>
      <c r="G140" s="22" t="s">
        <v>471</v>
      </c>
      <c r="H140" s="23" t="n">
        <f aca="false">COUNTIF(CAL!U:AF,B140)</f>
        <v>5</v>
      </c>
      <c r="I140" s="22" t="n">
        <v>13</v>
      </c>
      <c r="J140" s="20"/>
    </row>
    <row r="141" customFormat="false" ht="12.75" hidden="false" customHeight="true" outlineLevel="0" collapsed="false">
      <c r="B141" s="19" t="n">
        <v>1633</v>
      </c>
      <c r="C141" s="20" t="s">
        <v>779</v>
      </c>
      <c r="D141" s="20" t="s">
        <v>267</v>
      </c>
      <c r="E141" s="21" t="s">
        <v>780</v>
      </c>
      <c r="F141" s="21" t="n">
        <v>32860</v>
      </c>
      <c r="G141" s="22" t="s">
        <v>471</v>
      </c>
      <c r="H141" s="23" t="n">
        <f aca="false">COUNTIF(CAL!U:AF,B141)</f>
        <v>5</v>
      </c>
      <c r="I141" s="22" t="n">
        <v>14</v>
      </c>
      <c r="J141" s="20" t="s">
        <v>781</v>
      </c>
    </row>
    <row r="142" customFormat="false" ht="12.75" hidden="false" customHeight="true" outlineLevel="0" collapsed="false">
      <c r="B142" s="19" t="n">
        <v>3446</v>
      </c>
      <c r="C142" s="20" t="s">
        <v>782</v>
      </c>
      <c r="D142" s="20" t="s">
        <v>413</v>
      </c>
      <c r="E142" s="21" t="s">
        <v>783</v>
      </c>
      <c r="F142" s="21" t="n">
        <v>36333</v>
      </c>
      <c r="G142" s="22" t="s">
        <v>471</v>
      </c>
      <c r="H142" s="23" t="n">
        <f aca="false">COUNTIF(CAL!U:AF,B142)</f>
        <v>5</v>
      </c>
      <c r="I142" s="22" t="n">
        <v>14</v>
      </c>
      <c r="J142" s="20"/>
    </row>
    <row r="143" customFormat="false" ht="12.75" hidden="false" customHeight="true" outlineLevel="0" collapsed="false">
      <c r="B143" s="19" t="n">
        <v>1010</v>
      </c>
      <c r="C143" s="20" t="s">
        <v>784</v>
      </c>
      <c r="D143" s="20" t="s">
        <v>47</v>
      </c>
      <c r="E143" s="24" t="s">
        <v>785</v>
      </c>
      <c r="F143" s="21" t="n">
        <v>36707</v>
      </c>
      <c r="G143" s="22" t="s">
        <v>471</v>
      </c>
      <c r="H143" s="23" t="n">
        <f aca="false">COUNTIF(CAL!U:AF,B143)</f>
        <v>5</v>
      </c>
      <c r="I143" s="22" t="n">
        <v>14</v>
      </c>
      <c r="J143" s="20"/>
    </row>
    <row r="144" customFormat="false" ht="12.75" hidden="false" customHeight="true" outlineLevel="0" collapsed="false">
      <c r="B144" s="19" t="n">
        <v>2032</v>
      </c>
      <c r="C144" s="20" t="s">
        <v>786</v>
      </c>
      <c r="D144" s="20" t="s">
        <v>292</v>
      </c>
      <c r="E144" s="21" t="s">
        <v>787</v>
      </c>
      <c r="F144" s="21" t="n">
        <v>37694</v>
      </c>
      <c r="G144" s="22" t="s">
        <v>471</v>
      </c>
      <c r="H144" s="23" t="n">
        <f aca="false">COUNTIF(CAL!U:AF,B144)</f>
        <v>5</v>
      </c>
      <c r="I144" s="22" t="n">
        <v>15</v>
      </c>
      <c r="J144" s="20"/>
    </row>
    <row r="145" customFormat="false" ht="12.75" hidden="false" customHeight="true" outlineLevel="0" collapsed="false">
      <c r="B145" s="19" t="n">
        <v>2508</v>
      </c>
      <c r="C145" s="20" t="s">
        <v>788</v>
      </c>
      <c r="D145" s="20" t="s">
        <v>279</v>
      </c>
      <c r="E145" s="24" t="s">
        <v>789</v>
      </c>
      <c r="F145" s="21" t="n">
        <v>36948</v>
      </c>
      <c r="G145" s="22" t="s">
        <v>471</v>
      </c>
      <c r="H145" s="23" t="n">
        <f aca="false">COUNTIF(CAL!U:AF,B145)</f>
        <v>5</v>
      </c>
      <c r="I145" s="22" t="n">
        <v>15</v>
      </c>
      <c r="J145" s="20"/>
    </row>
    <row r="146" customFormat="false" ht="12.75" hidden="false" customHeight="true" outlineLevel="0" collapsed="false">
      <c r="B146" s="19" t="n">
        <v>2991</v>
      </c>
      <c r="C146" s="20" t="s">
        <v>790</v>
      </c>
      <c r="D146" s="20" t="s">
        <v>140</v>
      </c>
      <c r="E146" s="21" t="s">
        <v>791</v>
      </c>
      <c r="F146" s="21" t="n">
        <v>37027</v>
      </c>
      <c r="G146" s="22" t="s">
        <v>471</v>
      </c>
      <c r="H146" s="23" t="n">
        <f aca="false">COUNTIF(CAL!U:AF,B146)</f>
        <v>5</v>
      </c>
      <c r="I146" s="22" t="n">
        <v>16</v>
      </c>
      <c r="J146" s="20"/>
    </row>
    <row r="147" customFormat="false" ht="12.75" hidden="false" customHeight="true" outlineLevel="0" collapsed="false">
      <c r="B147" s="19" t="n">
        <v>1880</v>
      </c>
      <c r="C147" s="20" t="s">
        <v>792</v>
      </c>
      <c r="D147" s="20" t="s">
        <v>106</v>
      </c>
      <c r="E147" s="21" t="s">
        <v>793</v>
      </c>
      <c r="F147" s="21" t="n">
        <v>33349</v>
      </c>
      <c r="G147" s="22" t="s">
        <v>471</v>
      </c>
      <c r="H147" s="23" t="n">
        <f aca="false">COUNTIF(CAL!U:AF,B147)</f>
        <v>5</v>
      </c>
      <c r="I147" s="22" t="n">
        <v>16</v>
      </c>
      <c r="J147" s="20"/>
    </row>
    <row r="148" customFormat="false" ht="12.75" hidden="false" customHeight="true" outlineLevel="0" collapsed="false">
      <c r="B148" s="19" t="n">
        <v>1868</v>
      </c>
      <c r="C148" s="20" t="s">
        <v>794</v>
      </c>
      <c r="D148" s="20" t="s">
        <v>197</v>
      </c>
      <c r="E148" s="21" t="s">
        <v>795</v>
      </c>
      <c r="F148" s="21" t="n">
        <v>31618</v>
      </c>
      <c r="G148" s="22" t="s">
        <v>471</v>
      </c>
      <c r="H148" s="23" t="n">
        <f aca="false">COUNTIF(CAL!U:AF,B148)</f>
        <v>5</v>
      </c>
      <c r="I148" s="22" t="n">
        <v>16</v>
      </c>
      <c r="J148" s="20"/>
    </row>
    <row r="149" customFormat="false" ht="12.75" hidden="false" customHeight="true" outlineLevel="0" collapsed="false">
      <c r="B149" s="19" t="n">
        <v>1435</v>
      </c>
      <c r="C149" s="20" t="s">
        <v>796</v>
      </c>
      <c r="D149" s="20" t="s">
        <v>109</v>
      </c>
      <c r="E149" s="21" t="s">
        <v>797</v>
      </c>
      <c r="F149" s="21" t="n">
        <v>35742</v>
      </c>
      <c r="G149" s="22" t="s">
        <v>471</v>
      </c>
      <c r="H149" s="23" t="n">
        <f aca="false">COUNTIF(CAL!U:AF,B149)</f>
        <v>5</v>
      </c>
      <c r="I149" s="22" t="n">
        <v>16</v>
      </c>
      <c r="J149" s="20"/>
    </row>
    <row r="150" customFormat="false" ht="12.75" hidden="false" customHeight="true" outlineLevel="0" collapsed="false">
      <c r="B150" s="19" t="n">
        <v>1215</v>
      </c>
      <c r="C150" s="20" t="s">
        <v>548</v>
      </c>
      <c r="D150" s="20" t="s">
        <v>238</v>
      </c>
      <c r="E150" s="21" t="s">
        <v>798</v>
      </c>
      <c r="F150" s="21" t="n">
        <v>37528</v>
      </c>
      <c r="G150" s="22" t="s">
        <v>471</v>
      </c>
      <c r="H150" s="23" t="n">
        <f aca="false">COUNTIF(CAL!U:AF,B150)</f>
        <v>5</v>
      </c>
      <c r="I150" s="22" t="n">
        <v>16</v>
      </c>
      <c r="J150" s="20"/>
    </row>
    <row r="151" customFormat="false" ht="12.75" hidden="false" customHeight="true" outlineLevel="0" collapsed="false">
      <c r="B151" s="19" t="n">
        <v>1548</v>
      </c>
      <c r="C151" s="20" t="s">
        <v>799</v>
      </c>
      <c r="D151" s="20" t="s">
        <v>304</v>
      </c>
      <c r="E151" s="21" t="s">
        <v>800</v>
      </c>
      <c r="F151" s="21" t="n">
        <v>34305</v>
      </c>
      <c r="G151" s="22" t="s">
        <v>471</v>
      </c>
      <c r="H151" s="23" t="n">
        <f aca="false">COUNTIF(CAL!U:AF,B151)</f>
        <v>5</v>
      </c>
      <c r="I151" s="22" t="n">
        <v>16</v>
      </c>
      <c r="J151" s="20"/>
    </row>
    <row r="152" customFormat="false" ht="12.75" hidden="false" customHeight="true" outlineLevel="0" collapsed="false">
      <c r="B152" s="19" t="n">
        <v>1721</v>
      </c>
      <c r="C152" s="20" t="s">
        <v>801</v>
      </c>
      <c r="D152" s="20" t="s">
        <v>255</v>
      </c>
      <c r="E152" s="21" t="s">
        <v>802</v>
      </c>
      <c r="F152" s="21" t="n">
        <v>35781</v>
      </c>
      <c r="G152" s="22" t="s">
        <v>504</v>
      </c>
      <c r="H152" s="23" t="n">
        <f aca="false">COUNTIF(CAL!U:AF,B152)</f>
        <v>5</v>
      </c>
      <c r="I152" s="22" t="n">
        <v>16</v>
      </c>
      <c r="J152" s="20"/>
    </row>
    <row r="153" customFormat="false" ht="12.75" hidden="false" customHeight="true" outlineLevel="0" collapsed="false">
      <c r="B153" s="19" t="n">
        <v>1007</v>
      </c>
      <c r="C153" s="20" t="s">
        <v>803</v>
      </c>
      <c r="D153" s="20" t="s">
        <v>38</v>
      </c>
      <c r="E153" s="24" t="s">
        <v>804</v>
      </c>
      <c r="F153" s="21" t="n">
        <v>36938</v>
      </c>
      <c r="G153" s="22" t="s">
        <v>471</v>
      </c>
      <c r="H153" s="23" t="n">
        <f aca="false">COUNTIF(CAL!U:AF,B153)</f>
        <v>5</v>
      </c>
      <c r="I153" s="22" t="n">
        <v>16</v>
      </c>
      <c r="J153" s="20" t="s">
        <v>805</v>
      </c>
    </row>
    <row r="154" customFormat="false" ht="12.75" hidden="false" customHeight="true" outlineLevel="0" collapsed="false">
      <c r="B154" s="19" t="n">
        <v>1844</v>
      </c>
      <c r="C154" s="20" t="s">
        <v>806</v>
      </c>
      <c r="D154" s="20" t="s">
        <v>165</v>
      </c>
      <c r="E154" s="21" t="s">
        <v>807</v>
      </c>
      <c r="F154" s="21" t="n">
        <v>34212</v>
      </c>
      <c r="G154" s="22" t="s">
        <v>471</v>
      </c>
      <c r="H154" s="23" t="n">
        <f aca="false">COUNTIF(CAL!U:AF,B154)</f>
        <v>5</v>
      </c>
      <c r="I154" s="22" t="n">
        <v>17</v>
      </c>
      <c r="J154" s="20"/>
    </row>
    <row r="155" customFormat="false" ht="12.75" hidden="false" customHeight="true" outlineLevel="0" collapsed="false">
      <c r="B155" s="19" t="n">
        <v>1330</v>
      </c>
      <c r="C155" s="20" t="s">
        <v>808</v>
      </c>
      <c r="D155" s="20" t="s">
        <v>167</v>
      </c>
      <c r="E155" s="21" t="s">
        <v>809</v>
      </c>
      <c r="F155" s="21" t="n">
        <v>32099</v>
      </c>
      <c r="G155" s="22" t="s">
        <v>471</v>
      </c>
      <c r="H155" s="23" t="n">
        <f aca="false">COUNTIF(CAL!U:AF,B155)</f>
        <v>5</v>
      </c>
      <c r="I155" s="22" t="n">
        <v>17</v>
      </c>
      <c r="J155" s="20"/>
    </row>
    <row r="156" customFormat="false" ht="12.75" hidden="false" customHeight="true" outlineLevel="0" collapsed="false">
      <c r="B156" s="19" t="n">
        <v>1273</v>
      </c>
      <c r="C156" s="20" t="s">
        <v>810</v>
      </c>
      <c r="D156" s="20" t="s">
        <v>188</v>
      </c>
      <c r="E156" s="21" t="s">
        <v>811</v>
      </c>
      <c r="F156" s="21" t="n">
        <v>33062</v>
      </c>
      <c r="G156" s="22" t="s">
        <v>471</v>
      </c>
      <c r="H156" s="23" t="n">
        <f aca="false">COUNTIF(CAL!U:AF,B156)</f>
        <v>5</v>
      </c>
      <c r="I156" s="22" t="n">
        <v>18</v>
      </c>
      <c r="J156" s="20" t="s">
        <v>812</v>
      </c>
    </row>
    <row r="157" customFormat="false" ht="12.75" hidden="false" customHeight="true" outlineLevel="0" collapsed="false">
      <c r="B157" s="19" t="n">
        <v>1422</v>
      </c>
      <c r="C157" s="20" t="s">
        <v>813</v>
      </c>
      <c r="D157" s="20" t="s">
        <v>116</v>
      </c>
      <c r="E157" s="21" t="s">
        <v>814</v>
      </c>
      <c r="F157" s="21" t="n">
        <v>36879</v>
      </c>
      <c r="G157" s="22" t="s">
        <v>471</v>
      </c>
      <c r="H157" s="23" t="n">
        <f aca="false">COUNTIF(CAL!U:AF,B157)</f>
        <v>5</v>
      </c>
      <c r="I157" s="22" t="n">
        <v>18</v>
      </c>
      <c r="J157" s="20"/>
    </row>
    <row r="158" customFormat="false" ht="12.75" hidden="false" customHeight="true" outlineLevel="0" collapsed="false">
      <c r="B158" s="19" t="n">
        <v>1349</v>
      </c>
      <c r="C158" s="20" t="s">
        <v>815</v>
      </c>
      <c r="D158" s="20" t="s">
        <v>76</v>
      </c>
      <c r="E158" s="24" t="s">
        <v>816</v>
      </c>
      <c r="F158" s="21" t="n">
        <v>38381</v>
      </c>
      <c r="G158" s="22" t="s">
        <v>471</v>
      </c>
      <c r="H158" s="23" t="n">
        <f aca="false">COUNTIF(CAL!U:AF,B158)</f>
        <v>5</v>
      </c>
      <c r="I158" s="22" t="n">
        <v>18</v>
      </c>
      <c r="J158" s="20"/>
    </row>
    <row r="159" customFormat="false" ht="12.75" hidden="false" customHeight="true" outlineLevel="0" collapsed="false">
      <c r="B159" s="19" t="n">
        <v>1292</v>
      </c>
      <c r="C159" s="20" t="s">
        <v>817</v>
      </c>
      <c r="D159" s="20" t="s">
        <v>176</v>
      </c>
      <c r="E159" s="24" t="s">
        <v>818</v>
      </c>
      <c r="F159" s="21" t="n">
        <v>35748</v>
      </c>
      <c r="G159" s="22" t="s">
        <v>471</v>
      </c>
      <c r="H159" s="23" t="n">
        <f aca="false">COUNTIF(CAL!U:AF,B159)</f>
        <v>5</v>
      </c>
      <c r="I159" s="22" t="n">
        <v>19</v>
      </c>
      <c r="J159" s="20"/>
    </row>
    <row r="160" customFormat="false" ht="12.75" hidden="false" customHeight="true" outlineLevel="0" collapsed="false">
      <c r="B160" s="19" t="n">
        <v>1704</v>
      </c>
      <c r="C160" s="20" t="s">
        <v>819</v>
      </c>
      <c r="D160" s="20" t="s">
        <v>164</v>
      </c>
      <c r="E160" s="21" t="s">
        <v>820</v>
      </c>
      <c r="F160" s="21" t="n">
        <v>34828</v>
      </c>
      <c r="G160" s="22" t="s">
        <v>471</v>
      </c>
      <c r="H160" s="23" t="n">
        <f aca="false">COUNTIF(CAL!U:AF,B160)</f>
        <v>5</v>
      </c>
      <c r="I160" s="22" t="n">
        <v>20</v>
      </c>
      <c r="J160" s="20"/>
    </row>
    <row r="161" customFormat="false" ht="12.75" hidden="false" customHeight="true" outlineLevel="0" collapsed="false">
      <c r="B161" s="19" t="n">
        <v>1284</v>
      </c>
      <c r="C161" s="20" t="s">
        <v>821</v>
      </c>
      <c r="D161" s="20" t="s">
        <v>38</v>
      </c>
      <c r="E161" s="21" t="s">
        <v>822</v>
      </c>
      <c r="F161" s="21" t="n">
        <v>36306</v>
      </c>
      <c r="G161" s="22" t="s">
        <v>471</v>
      </c>
      <c r="H161" s="23" t="n">
        <f aca="false">COUNTIF(CAL!U:AF,B161)</f>
        <v>5</v>
      </c>
      <c r="I161" s="22" t="n">
        <v>20</v>
      </c>
      <c r="J161" s="20"/>
    </row>
    <row r="162" customFormat="false" ht="12.75" hidden="false" customHeight="true" outlineLevel="0" collapsed="false">
      <c r="B162" s="19" t="n">
        <v>1076</v>
      </c>
      <c r="C162" s="20" t="s">
        <v>823</v>
      </c>
      <c r="D162" s="20" t="s">
        <v>106</v>
      </c>
      <c r="E162" s="21" t="s">
        <v>824</v>
      </c>
      <c r="F162" s="21" t="n">
        <v>38448</v>
      </c>
      <c r="G162" s="22" t="s">
        <v>471</v>
      </c>
      <c r="H162" s="23" t="n">
        <f aca="false">COUNTIF(CAL!U:AF,B162)</f>
        <v>5</v>
      </c>
      <c r="I162" s="22" t="n">
        <v>21</v>
      </c>
      <c r="J162" s="20"/>
    </row>
    <row r="163" customFormat="false" ht="12.75" hidden="false" customHeight="true" outlineLevel="0" collapsed="false">
      <c r="B163" s="19" t="n">
        <v>1629</v>
      </c>
      <c r="C163" s="20" t="s">
        <v>825</v>
      </c>
      <c r="D163" s="20" t="s">
        <v>218</v>
      </c>
      <c r="E163" s="21" t="s">
        <v>826</v>
      </c>
      <c r="F163" s="21" t="n">
        <v>33371</v>
      </c>
      <c r="G163" s="22" t="s">
        <v>471</v>
      </c>
      <c r="H163" s="23" t="n">
        <f aca="false">COUNTIF(CAL!U:AF,B163)</f>
        <v>4</v>
      </c>
      <c r="I163" s="22" t="n">
        <v>1</v>
      </c>
      <c r="J163" s="20"/>
    </row>
    <row r="164" customFormat="false" ht="12.75" hidden="false" customHeight="true" outlineLevel="0" collapsed="false">
      <c r="B164" s="19" t="n">
        <v>2340</v>
      </c>
      <c r="C164" s="20" t="s">
        <v>827</v>
      </c>
      <c r="D164" s="20" t="s">
        <v>313</v>
      </c>
      <c r="E164" s="21" t="s">
        <v>828</v>
      </c>
      <c r="F164" s="21" t="n">
        <v>37623</v>
      </c>
      <c r="G164" s="22" t="s">
        <v>471</v>
      </c>
      <c r="H164" s="23" t="n">
        <f aca="false">COUNTIF(CAL!U:AF,B164)</f>
        <v>4</v>
      </c>
      <c r="I164" s="22" t="n">
        <v>3</v>
      </c>
      <c r="J164" s="20"/>
    </row>
    <row r="165" customFormat="false" ht="12.75" hidden="false" customHeight="true" outlineLevel="0" collapsed="false">
      <c r="B165" s="19" t="n">
        <v>1759</v>
      </c>
      <c r="C165" s="20" t="s">
        <v>829</v>
      </c>
      <c r="D165" s="20" t="s">
        <v>259</v>
      </c>
      <c r="E165" s="21" t="s">
        <v>830</v>
      </c>
      <c r="F165" s="21" t="n">
        <v>37426</v>
      </c>
      <c r="G165" s="22" t="s">
        <v>471</v>
      </c>
      <c r="H165" s="23" t="n">
        <f aca="false">COUNTIF(CAL!U:AF,B165)</f>
        <v>4</v>
      </c>
      <c r="I165" s="22" t="n">
        <v>3</v>
      </c>
      <c r="J165" s="20"/>
    </row>
    <row r="166" customFormat="false" ht="12.75" hidden="false" customHeight="true" outlineLevel="0" collapsed="false">
      <c r="B166" s="19" t="n">
        <v>3198</v>
      </c>
      <c r="C166" s="20" t="s">
        <v>831</v>
      </c>
      <c r="D166" s="20" t="s">
        <v>332</v>
      </c>
      <c r="E166" s="24" t="s">
        <v>832</v>
      </c>
      <c r="F166" s="21" t="n">
        <v>37579</v>
      </c>
      <c r="G166" s="22" t="s">
        <v>471</v>
      </c>
      <c r="H166" s="23" t="n">
        <f aca="false">COUNTIF(CAL!U:AF,B166)</f>
        <v>4</v>
      </c>
      <c r="I166" s="22" t="n">
        <v>3</v>
      </c>
      <c r="J166" s="20"/>
    </row>
    <row r="167" customFormat="false" ht="12.75" hidden="false" customHeight="true" outlineLevel="0" collapsed="false">
      <c r="B167" s="19" t="n">
        <v>1985</v>
      </c>
      <c r="C167" s="20" t="s">
        <v>833</v>
      </c>
      <c r="D167" s="20" t="s">
        <v>353</v>
      </c>
      <c r="E167" s="21" t="s">
        <v>834</v>
      </c>
      <c r="F167" s="21" t="n">
        <v>35348</v>
      </c>
      <c r="G167" s="22" t="s">
        <v>471</v>
      </c>
      <c r="H167" s="23" t="n">
        <f aca="false">COUNTIF(CAL!U:AF,B167)</f>
        <v>4</v>
      </c>
      <c r="I167" s="22" t="n">
        <v>4</v>
      </c>
      <c r="J167" s="20"/>
    </row>
    <row r="168" customFormat="false" ht="12.75" hidden="false" customHeight="true" outlineLevel="0" collapsed="false">
      <c r="B168" s="19" t="n">
        <v>2665</v>
      </c>
      <c r="C168" s="20" t="s">
        <v>835</v>
      </c>
      <c r="D168" s="20" t="s">
        <v>393</v>
      </c>
      <c r="E168" s="24" t="s">
        <v>836</v>
      </c>
      <c r="F168" s="21" t="n">
        <v>34453</v>
      </c>
      <c r="G168" s="22" t="s">
        <v>471</v>
      </c>
      <c r="H168" s="23" t="n">
        <f aca="false">COUNTIF(CAL!U:AF,B168)</f>
        <v>4</v>
      </c>
      <c r="I168" s="22" t="n">
        <v>4</v>
      </c>
      <c r="J168" s="20"/>
    </row>
    <row r="169" customFormat="false" ht="12.75" hidden="false" customHeight="true" outlineLevel="0" collapsed="false">
      <c r="B169" s="19" t="n">
        <v>2172</v>
      </c>
      <c r="C169" s="20" t="s">
        <v>837</v>
      </c>
      <c r="D169" s="20" t="s">
        <v>329</v>
      </c>
      <c r="E169" s="21" t="s">
        <v>838</v>
      </c>
      <c r="F169" s="21" t="n">
        <v>37737</v>
      </c>
      <c r="G169" s="22" t="s">
        <v>471</v>
      </c>
      <c r="H169" s="23" t="n">
        <f aca="false">COUNTIF(CAL!U:AF,B169)</f>
        <v>4</v>
      </c>
      <c r="I169" s="22" t="n">
        <v>4</v>
      </c>
      <c r="J169" s="20"/>
    </row>
    <row r="170" customFormat="false" ht="12.75" hidden="false" customHeight="true" outlineLevel="0" collapsed="false">
      <c r="B170" s="19" t="n">
        <v>1053</v>
      </c>
      <c r="C170" s="20" t="s">
        <v>839</v>
      </c>
      <c r="D170" s="20" t="s">
        <v>158</v>
      </c>
      <c r="E170" s="21" t="s">
        <v>840</v>
      </c>
      <c r="F170" s="21" t="n">
        <v>34831</v>
      </c>
      <c r="G170" s="22" t="s">
        <v>471</v>
      </c>
      <c r="H170" s="23" t="n">
        <f aca="false">COUNTIF(CAL!U:AF,B170)</f>
        <v>4</v>
      </c>
      <c r="I170" s="22" t="n">
        <v>4</v>
      </c>
      <c r="J170" s="20"/>
    </row>
    <row r="171" customFormat="false" ht="12.75" hidden="false" customHeight="true" outlineLevel="0" collapsed="false">
      <c r="B171" s="19" t="n">
        <v>3238</v>
      </c>
      <c r="C171" s="20" t="s">
        <v>841</v>
      </c>
      <c r="D171" s="20" t="s">
        <v>391</v>
      </c>
      <c r="E171" s="21" t="s">
        <v>842</v>
      </c>
      <c r="F171" s="21" t="n">
        <v>34043</v>
      </c>
      <c r="G171" s="22" t="s">
        <v>471</v>
      </c>
      <c r="H171" s="23" t="n">
        <f aca="false">COUNTIF(CAL!U:AF,B171)</f>
        <v>4</v>
      </c>
      <c r="I171" s="22" t="n">
        <v>4</v>
      </c>
      <c r="J171" s="20"/>
    </row>
    <row r="172" customFormat="false" ht="12.75" hidden="false" customHeight="true" outlineLevel="0" collapsed="false">
      <c r="B172" s="19" t="n">
        <v>1443</v>
      </c>
      <c r="C172" s="20" t="s">
        <v>843</v>
      </c>
      <c r="D172" s="20" t="s">
        <v>202</v>
      </c>
      <c r="E172" s="24" t="s">
        <v>844</v>
      </c>
      <c r="F172" s="21" t="n">
        <v>34371</v>
      </c>
      <c r="G172" s="22" t="s">
        <v>471</v>
      </c>
      <c r="H172" s="23" t="n">
        <f aca="false">COUNTIF(CAL!U:AF,B172)</f>
        <v>4</v>
      </c>
      <c r="I172" s="22" t="n">
        <v>5</v>
      </c>
      <c r="J172" s="20"/>
    </row>
    <row r="173" customFormat="false" ht="12.75" hidden="false" customHeight="true" outlineLevel="0" collapsed="false">
      <c r="B173" s="19" t="n">
        <v>1486</v>
      </c>
      <c r="C173" s="20" t="s">
        <v>845</v>
      </c>
      <c r="D173" s="20" t="s">
        <v>309</v>
      </c>
      <c r="E173" s="24" t="s">
        <v>846</v>
      </c>
      <c r="F173" s="21" t="n">
        <v>35587</v>
      </c>
      <c r="G173" s="22" t="s">
        <v>471</v>
      </c>
      <c r="H173" s="23" t="n">
        <f aca="false">COUNTIF(CAL!U:AF,B173)</f>
        <v>4</v>
      </c>
      <c r="I173" s="22" t="n">
        <v>5</v>
      </c>
      <c r="J173" s="20"/>
    </row>
    <row r="174" customFormat="false" ht="12.75" hidden="false" customHeight="true" outlineLevel="0" collapsed="false">
      <c r="B174" s="19" t="n">
        <v>2714</v>
      </c>
      <c r="C174" s="20" t="s">
        <v>847</v>
      </c>
      <c r="D174" s="20" t="s">
        <v>389</v>
      </c>
      <c r="E174" s="21" t="s">
        <v>848</v>
      </c>
      <c r="F174" s="21" t="n">
        <v>35164</v>
      </c>
      <c r="G174" s="22" t="s">
        <v>471</v>
      </c>
      <c r="H174" s="23" t="n">
        <f aca="false">COUNTIF(CAL!U:AF,B174)</f>
        <v>4</v>
      </c>
      <c r="I174" s="22" t="n">
        <v>6</v>
      </c>
      <c r="J174" s="20"/>
    </row>
    <row r="175" customFormat="false" ht="12.75" hidden="false" customHeight="true" outlineLevel="0" collapsed="false">
      <c r="B175" s="19" t="n">
        <v>1764</v>
      </c>
      <c r="C175" s="20" t="s">
        <v>849</v>
      </c>
      <c r="D175" s="20" t="s">
        <v>313</v>
      </c>
      <c r="E175" s="21" t="s">
        <v>850</v>
      </c>
      <c r="F175" s="21" t="n">
        <v>31480</v>
      </c>
      <c r="G175" s="22" t="s">
        <v>471</v>
      </c>
      <c r="H175" s="23" t="n">
        <f aca="false">COUNTIF(CAL!U:AF,B175)</f>
        <v>4</v>
      </c>
      <c r="I175" s="22" t="n">
        <v>6</v>
      </c>
      <c r="J175" s="20"/>
    </row>
    <row r="176" customFormat="false" ht="12.75" hidden="false" customHeight="true" outlineLevel="0" collapsed="false">
      <c r="B176" s="19" t="n">
        <v>1360</v>
      </c>
      <c r="C176" s="20" t="s">
        <v>851</v>
      </c>
      <c r="D176" s="20" t="s">
        <v>265</v>
      </c>
      <c r="E176" s="21" t="s">
        <v>852</v>
      </c>
      <c r="F176" s="21" t="n">
        <v>31821</v>
      </c>
      <c r="G176" s="22" t="s">
        <v>471</v>
      </c>
      <c r="H176" s="23" t="n">
        <f aca="false">COUNTIF(CAL!U:AF,B176)</f>
        <v>4</v>
      </c>
      <c r="I176" s="22" t="n">
        <v>6</v>
      </c>
      <c r="J176" s="20"/>
    </row>
    <row r="177" customFormat="false" ht="12.75" hidden="false" customHeight="true" outlineLevel="0" collapsed="false">
      <c r="B177" s="19" t="n">
        <v>3166</v>
      </c>
      <c r="C177" s="20" t="s">
        <v>853</v>
      </c>
      <c r="D177" s="20" t="s">
        <v>416</v>
      </c>
      <c r="E177" s="21" t="s">
        <v>854</v>
      </c>
      <c r="F177" s="21" t="n">
        <v>38414</v>
      </c>
      <c r="G177" s="22" t="s">
        <v>471</v>
      </c>
      <c r="H177" s="23" t="n">
        <f aca="false">COUNTIF(CAL!U:AF,B177)</f>
        <v>4</v>
      </c>
      <c r="I177" s="22" t="n">
        <v>6</v>
      </c>
      <c r="J177" s="20"/>
    </row>
    <row r="178" customFormat="false" ht="12.75" hidden="false" customHeight="true" outlineLevel="0" collapsed="false">
      <c r="B178" s="19" t="n">
        <v>2664</v>
      </c>
      <c r="C178" s="20" t="s">
        <v>855</v>
      </c>
      <c r="D178" s="20" t="s">
        <v>82</v>
      </c>
      <c r="E178" s="21" t="s">
        <v>856</v>
      </c>
      <c r="F178" s="21" t="n">
        <v>37952</v>
      </c>
      <c r="G178" s="22" t="s">
        <v>471</v>
      </c>
      <c r="H178" s="23" t="n">
        <f aca="false">COUNTIF(CAL!U:AF,B178)</f>
        <v>4</v>
      </c>
      <c r="I178" s="22" t="n">
        <v>6</v>
      </c>
      <c r="J178" s="20"/>
    </row>
    <row r="179" customFormat="false" ht="12.75" hidden="false" customHeight="true" outlineLevel="0" collapsed="false">
      <c r="B179" s="19" t="n">
        <v>1392</v>
      </c>
      <c r="C179" s="20" t="s">
        <v>857</v>
      </c>
      <c r="D179" s="20" t="s">
        <v>259</v>
      </c>
      <c r="E179" s="21" t="s">
        <v>858</v>
      </c>
      <c r="F179" s="21" t="n">
        <v>36690</v>
      </c>
      <c r="G179" s="22" t="s">
        <v>471</v>
      </c>
      <c r="H179" s="23" t="n">
        <f aca="false">COUNTIF(CAL!U:AF,B179)</f>
        <v>4</v>
      </c>
      <c r="I179" s="22" t="n">
        <v>6</v>
      </c>
      <c r="J179" s="20"/>
    </row>
    <row r="180" customFormat="false" ht="12.75" hidden="false" customHeight="true" outlineLevel="0" collapsed="false">
      <c r="B180" s="19" t="n">
        <v>1830</v>
      </c>
      <c r="C180" s="20" t="s">
        <v>859</v>
      </c>
      <c r="D180" s="20" t="s">
        <v>329</v>
      </c>
      <c r="E180" s="21" t="s">
        <v>860</v>
      </c>
      <c r="F180" s="21" t="n">
        <v>36866</v>
      </c>
      <c r="G180" s="22" t="s">
        <v>471</v>
      </c>
      <c r="H180" s="23" t="n">
        <f aca="false">COUNTIF(CAL!U:AF,B180)</f>
        <v>4</v>
      </c>
      <c r="I180" s="22" t="n">
        <v>6</v>
      </c>
      <c r="J180" s="20"/>
    </row>
    <row r="181" customFormat="false" ht="12.75" hidden="false" customHeight="true" outlineLevel="0" collapsed="false">
      <c r="B181" s="19" t="n">
        <v>2116</v>
      </c>
      <c r="C181" s="20" t="s">
        <v>861</v>
      </c>
      <c r="D181" s="20" t="s">
        <v>214</v>
      </c>
      <c r="E181" s="21" t="s">
        <v>862</v>
      </c>
      <c r="F181" s="21" t="n">
        <v>32433</v>
      </c>
      <c r="G181" s="22" t="s">
        <v>471</v>
      </c>
      <c r="H181" s="23" t="n">
        <f aca="false">COUNTIF(CAL!U:AF,B181)</f>
        <v>4</v>
      </c>
      <c r="I181" s="22" t="n">
        <v>6</v>
      </c>
      <c r="J181" s="20"/>
    </row>
    <row r="182" customFormat="false" ht="12.75" hidden="false" customHeight="true" outlineLevel="0" collapsed="false">
      <c r="B182" s="19" t="n">
        <v>1563</v>
      </c>
      <c r="C182" s="20" t="s">
        <v>863</v>
      </c>
      <c r="D182" s="20" t="s">
        <v>244</v>
      </c>
      <c r="E182" s="21" t="s">
        <v>864</v>
      </c>
      <c r="F182" s="21" t="n">
        <v>34867</v>
      </c>
      <c r="G182" s="22" t="s">
        <v>471</v>
      </c>
      <c r="H182" s="23" t="n">
        <f aca="false">COUNTIF(CAL!U:AF,B182)</f>
        <v>4</v>
      </c>
      <c r="I182" s="22" t="n">
        <v>7</v>
      </c>
      <c r="J182" s="20"/>
    </row>
    <row r="183" customFormat="false" ht="12.75" hidden="false" customHeight="true" outlineLevel="0" collapsed="false">
      <c r="B183" s="19" t="n">
        <v>1191</v>
      </c>
      <c r="C183" s="20" t="s">
        <v>865</v>
      </c>
      <c r="D183" s="20" t="s">
        <v>174</v>
      </c>
      <c r="E183" s="21" t="s">
        <v>866</v>
      </c>
      <c r="F183" s="21" t="n">
        <v>36271</v>
      </c>
      <c r="G183" s="22" t="s">
        <v>471</v>
      </c>
      <c r="H183" s="23" t="n">
        <f aca="false">COUNTIF(CAL!U:AF,B183)</f>
        <v>4</v>
      </c>
      <c r="I183" s="22" t="n">
        <v>7</v>
      </c>
      <c r="J183" s="20"/>
    </row>
    <row r="184" customFormat="false" ht="12.75" hidden="false" customHeight="true" outlineLevel="0" collapsed="false">
      <c r="B184" s="19" t="n">
        <v>3210</v>
      </c>
      <c r="C184" s="20" t="s">
        <v>867</v>
      </c>
      <c r="D184" s="20" t="s">
        <v>377</v>
      </c>
      <c r="E184" s="24" t="s">
        <v>868</v>
      </c>
      <c r="F184" s="21" t="n">
        <v>38383</v>
      </c>
      <c r="G184" s="22" t="s">
        <v>471</v>
      </c>
      <c r="H184" s="23" t="n">
        <f aca="false">COUNTIF(CAL!U:AF,B184)</f>
        <v>4</v>
      </c>
      <c r="I184" s="22" t="n">
        <v>7</v>
      </c>
      <c r="J184" s="20"/>
    </row>
    <row r="185" customFormat="false" ht="12.75" hidden="false" customHeight="true" outlineLevel="0" collapsed="false">
      <c r="B185" s="19" t="n">
        <v>1688</v>
      </c>
      <c r="C185" s="20" t="s">
        <v>869</v>
      </c>
      <c r="D185" s="20" t="s">
        <v>94</v>
      </c>
      <c r="E185" s="21" t="s">
        <v>870</v>
      </c>
      <c r="F185" s="21" t="n">
        <v>36689</v>
      </c>
      <c r="G185" s="22" t="s">
        <v>471</v>
      </c>
      <c r="H185" s="23" t="n">
        <f aca="false">COUNTIF(CAL!U:AF,B185)</f>
        <v>4</v>
      </c>
      <c r="I185" s="22" t="n">
        <v>7</v>
      </c>
      <c r="J185" s="20"/>
    </row>
    <row r="186" customFormat="false" ht="12.75" hidden="false" customHeight="true" outlineLevel="0" collapsed="false">
      <c r="B186" s="19" t="n">
        <v>1410</v>
      </c>
      <c r="C186" s="20" t="s">
        <v>871</v>
      </c>
      <c r="D186" s="20" t="s">
        <v>295</v>
      </c>
      <c r="E186" s="21" t="s">
        <v>872</v>
      </c>
      <c r="F186" s="21" t="n">
        <v>33745</v>
      </c>
      <c r="G186" s="22" t="s">
        <v>471</v>
      </c>
      <c r="H186" s="23" t="n">
        <f aca="false">COUNTIF(CAL!U:AF,B186)</f>
        <v>4</v>
      </c>
      <c r="I186" s="22" t="n">
        <v>7</v>
      </c>
      <c r="J186" s="20" t="s">
        <v>873</v>
      </c>
    </row>
    <row r="187" customFormat="false" ht="12.75" hidden="false" customHeight="true" outlineLevel="0" collapsed="false">
      <c r="B187" s="19" t="n">
        <v>2375</v>
      </c>
      <c r="C187" s="20" t="s">
        <v>874</v>
      </c>
      <c r="D187" s="20" t="s">
        <v>207</v>
      </c>
      <c r="E187" s="21" t="s">
        <v>875</v>
      </c>
      <c r="F187" s="21" t="n">
        <v>36517</v>
      </c>
      <c r="G187" s="22" t="s">
        <v>471</v>
      </c>
      <c r="H187" s="23" t="n">
        <f aca="false">COUNTIF(CAL!U:AF,B187)</f>
        <v>4</v>
      </c>
      <c r="I187" s="22" t="n">
        <v>7</v>
      </c>
      <c r="J187" s="20"/>
    </row>
    <row r="188" customFormat="false" ht="12.75" hidden="false" customHeight="true" outlineLevel="0" collapsed="false">
      <c r="B188" s="19" t="n">
        <v>1823</v>
      </c>
      <c r="C188" s="20" t="s">
        <v>876</v>
      </c>
      <c r="D188" s="20" t="s">
        <v>340</v>
      </c>
      <c r="E188" s="21" t="s">
        <v>877</v>
      </c>
      <c r="F188" s="21" t="n">
        <v>37648</v>
      </c>
      <c r="G188" s="22" t="s">
        <v>471</v>
      </c>
      <c r="H188" s="23" t="n">
        <f aca="false">COUNTIF(CAL!U:AF,B188)</f>
        <v>4</v>
      </c>
      <c r="I188" s="22" t="n">
        <v>7</v>
      </c>
      <c r="J188" s="20"/>
    </row>
    <row r="189" customFormat="false" ht="12.75" hidden="false" customHeight="true" outlineLevel="0" collapsed="false">
      <c r="B189" s="19" t="n">
        <v>2609</v>
      </c>
      <c r="C189" s="20" t="s">
        <v>878</v>
      </c>
      <c r="D189" s="20" t="s">
        <v>376</v>
      </c>
      <c r="E189" s="21" t="s">
        <v>879</v>
      </c>
      <c r="F189" s="21" t="n">
        <v>37833</v>
      </c>
      <c r="G189" s="22" t="s">
        <v>471</v>
      </c>
      <c r="H189" s="23" t="n">
        <f aca="false">COUNTIF(CAL!U:AF,B189)</f>
        <v>4</v>
      </c>
      <c r="I189" s="22" t="n">
        <v>7</v>
      </c>
      <c r="J189" s="20"/>
    </row>
    <row r="190" customFormat="false" ht="12.75" hidden="false" customHeight="true" outlineLevel="0" collapsed="false">
      <c r="B190" s="19" t="n">
        <v>1451</v>
      </c>
      <c r="C190" s="20" t="s">
        <v>880</v>
      </c>
      <c r="D190" s="20" t="s">
        <v>214</v>
      </c>
      <c r="E190" s="21" t="s">
        <v>881</v>
      </c>
      <c r="F190" s="21" t="n">
        <v>35888</v>
      </c>
      <c r="G190" s="22" t="s">
        <v>471</v>
      </c>
      <c r="H190" s="23" t="n">
        <f aca="false">COUNTIF(CAL!U:AF,B190)</f>
        <v>4</v>
      </c>
      <c r="I190" s="22" t="n">
        <v>7</v>
      </c>
      <c r="J190" s="20"/>
    </row>
    <row r="191" customFormat="false" ht="12.75" hidden="false" customHeight="true" outlineLevel="0" collapsed="false">
      <c r="B191" s="19" t="n">
        <v>1373</v>
      </c>
      <c r="C191" s="20" t="s">
        <v>882</v>
      </c>
      <c r="D191" s="20" t="s">
        <v>182</v>
      </c>
      <c r="E191" s="21" t="s">
        <v>883</v>
      </c>
      <c r="F191" s="21" t="n">
        <v>35272</v>
      </c>
      <c r="G191" s="22" t="s">
        <v>884</v>
      </c>
      <c r="H191" s="23" t="n">
        <f aca="false">COUNTIF(CAL!U:AF,B191)</f>
        <v>4</v>
      </c>
      <c r="I191" s="22" t="n">
        <v>8</v>
      </c>
      <c r="J191" s="20"/>
    </row>
    <row r="192" customFormat="false" ht="12.75" hidden="false" customHeight="true" outlineLevel="0" collapsed="false">
      <c r="B192" s="19" t="n">
        <v>1807</v>
      </c>
      <c r="C192" s="20" t="s">
        <v>885</v>
      </c>
      <c r="D192" s="20" t="s">
        <v>295</v>
      </c>
      <c r="E192" s="21" t="s">
        <v>886</v>
      </c>
      <c r="F192" s="21" t="n">
        <v>35632</v>
      </c>
      <c r="G192" s="22" t="s">
        <v>471</v>
      </c>
      <c r="H192" s="23" t="n">
        <f aca="false">COUNTIF(CAL!U:AF,B192)</f>
        <v>4</v>
      </c>
      <c r="I192" s="22" t="n">
        <v>8</v>
      </c>
      <c r="J192" s="20"/>
    </row>
    <row r="193" customFormat="false" ht="12.75" hidden="false" customHeight="true" outlineLevel="0" collapsed="false">
      <c r="B193" s="19" t="n">
        <v>1780</v>
      </c>
      <c r="C193" s="20" t="s">
        <v>887</v>
      </c>
      <c r="D193" s="20" t="s">
        <v>216</v>
      </c>
      <c r="E193" s="21" t="s">
        <v>888</v>
      </c>
      <c r="F193" s="21" t="n">
        <v>37530</v>
      </c>
      <c r="G193" s="22" t="s">
        <v>471</v>
      </c>
      <c r="H193" s="23" t="n">
        <f aca="false">COUNTIF(CAL!U:AF,B193)</f>
        <v>4</v>
      </c>
      <c r="I193" s="22" t="n">
        <v>8</v>
      </c>
      <c r="J193" s="20"/>
    </row>
    <row r="194" customFormat="false" ht="12.75" hidden="false" customHeight="true" outlineLevel="0" collapsed="false">
      <c r="B194" s="19" t="n">
        <v>2220</v>
      </c>
      <c r="C194" s="20" t="s">
        <v>889</v>
      </c>
      <c r="D194" s="20" t="s">
        <v>308</v>
      </c>
      <c r="E194" s="21" t="s">
        <v>890</v>
      </c>
      <c r="F194" s="21" t="n">
        <v>34619</v>
      </c>
      <c r="G194" s="22" t="s">
        <v>471</v>
      </c>
      <c r="H194" s="23" t="n">
        <f aca="false">COUNTIF(CAL!U:AF,B194)</f>
        <v>4</v>
      </c>
      <c r="I194" s="22" t="n">
        <v>8</v>
      </c>
      <c r="J194" s="20"/>
    </row>
    <row r="195" customFormat="false" ht="12.75" hidden="false" customHeight="true" outlineLevel="0" collapsed="false">
      <c r="B195" s="19" t="n">
        <v>1298</v>
      </c>
      <c r="C195" s="20" t="s">
        <v>891</v>
      </c>
      <c r="D195" s="20" t="s">
        <v>171</v>
      </c>
      <c r="E195" s="21" t="s">
        <v>892</v>
      </c>
      <c r="F195" s="21" t="n">
        <v>36514</v>
      </c>
      <c r="G195" s="22" t="s">
        <v>471</v>
      </c>
      <c r="H195" s="23" t="n">
        <f aca="false">COUNTIF(CAL!U:AF,B195)</f>
        <v>4</v>
      </c>
      <c r="I195" s="22" t="n">
        <v>8</v>
      </c>
      <c r="J195" s="20"/>
    </row>
    <row r="196" customFormat="false" ht="12.75" hidden="false" customHeight="true" outlineLevel="0" collapsed="false">
      <c r="B196" s="19" t="n">
        <v>2148</v>
      </c>
      <c r="C196" s="20" t="s">
        <v>893</v>
      </c>
      <c r="D196" s="20" t="s">
        <v>320</v>
      </c>
      <c r="E196" s="21" t="s">
        <v>894</v>
      </c>
      <c r="F196" s="21" t="n">
        <v>36824</v>
      </c>
      <c r="G196" s="22" t="s">
        <v>471</v>
      </c>
      <c r="H196" s="23" t="n">
        <f aca="false">COUNTIF(CAL!U:AF,B196)</f>
        <v>4</v>
      </c>
      <c r="I196" s="22" t="n">
        <v>8</v>
      </c>
      <c r="J196" s="20"/>
    </row>
    <row r="197" customFormat="false" ht="12.75" hidden="false" customHeight="true" outlineLevel="0" collapsed="false">
      <c r="B197" s="19" t="n">
        <v>1803</v>
      </c>
      <c r="C197" s="20" t="s">
        <v>895</v>
      </c>
      <c r="D197" s="20" t="s">
        <v>174</v>
      </c>
      <c r="E197" s="21" t="s">
        <v>896</v>
      </c>
      <c r="F197" s="21" t="n">
        <v>34542</v>
      </c>
      <c r="G197" s="22" t="s">
        <v>471</v>
      </c>
      <c r="H197" s="23" t="n">
        <f aca="false">COUNTIF(CAL!U:AF,B197)</f>
        <v>4</v>
      </c>
      <c r="I197" s="22" t="n">
        <v>8</v>
      </c>
      <c r="J197" s="20"/>
    </row>
    <row r="198" customFormat="false" ht="12.75" hidden="false" customHeight="true" outlineLevel="0" collapsed="false">
      <c r="B198" s="19" t="n">
        <v>2294</v>
      </c>
      <c r="C198" s="20" t="s">
        <v>897</v>
      </c>
      <c r="D198" s="20" t="s">
        <v>84</v>
      </c>
      <c r="E198" s="24" t="s">
        <v>898</v>
      </c>
      <c r="F198" s="21" t="n">
        <v>32610</v>
      </c>
      <c r="G198" s="22" t="s">
        <v>471</v>
      </c>
      <c r="H198" s="23" t="n">
        <f aca="false">COUNTIF(CAL!U:AF,B198)</f>
        <v>4</v>
      </c>
      <c r="I198" s="22" t="n">
        <v>8</v>
      </c>
      <c r="J198" s="20"/>
    </row>
    <row r="199" customFormat="false" ht="12.75" hidden="false" customHeight="true" outlineLevel="0" collapsed="false">
      <c r="B199" s="19" t="n">
        <v>1576</v>
      </c>
      <c r="C199" s="20" t="s">
        <v>899</v>
      </c>
      <c r="D199" s="20" t="s">
        <v>153</v>
      </c>
      <c r="E199" s="21" t="s">
        <v>900</v>
      </c>
      <c r="F199" s="21" t="n">
        <v>36998</v>
      </c>
      <c r="G199" s="22" t="s">
        <v>471</v>
      </c>
      <c r="H199" s="23" t="n">
        <f aca="false">COUNTIF(CAL!U:AF,B199)</f>
        <v>4</v>
      </c>
      <c r="I199" s="22" t="n">
        <v>8</v>
      </c>
      <c r="J199" s="20"/>
    </row>
    <row r="200" customFormat="false" ht="12.75" hidden="false" customHeight="true" outlineLevel="0" collapsed="false">
      <c r="B200" s="19" t="n">
        <v>2130</v>
      </c>
      <c r="C200" s="20" t="s">
        <v>901</v>
      </c>
      <c r="D200" s="20" t="s">
        <v>100</v>
      </c>
      <c r="E200" s="21" t="s">
        <v>902</v>
      </c>
      <c r="F200" s="21" t="n">
        <v>34487</v>
      </c>
      <c r="G200" s="22" t="s">
        <v>471</v>
      </c>
      <c r="H200" s="23" t="n">
        <f aca="false">COUNTIF(CAL!U:AF,B200)</f>
        <v>4</v>
      </c>
      <c r="I200" s="22" t="n">
        <v>8</v>
      </c>
      <c r="J200" s="20"/>
    </row>
    <row r="201" customFormat="false" ht="12.75" hidden="false" customHeight="true" outlineLevel="0" collapsed="false">
      <c r="B201" s="19" t="n">
        <v>1060</v>
      </c>
      <c r="C201" s="20" t="s">
        <v>903</v>
      </c>
      <c r="D201" s="20" t="s">
        <v>146</v>
      </c>
      <c r="E201" s="21" t="s">
        <v>904</v>
      </c>
      <c r="F201" s="21" t="n">
        <v>34694</v>
      </c>
      <c r="G201" s="22" t="s">
        <v>471</v>
      </c>
      <c r="H201" s="23" t="n">
        <f aca="false">COUNTIF(CAL!U:AF,B201)</f>
        <v>4</v>
      </c>
      <c r="I201" s="22" t="n">
        <v>8</v>
      </c>
      <c r="J201" s="20"/>
    </row>
    <row r="202" customFormat="false" ht="12.75" hidden="false" customHeight="true" outlineLevel="0" collapsed="false">
      <c r="B202" s="19" t="n">
        <v>1488</v>
      </c>
      <c r="C202" s="20" t="s">
        <v>847</v>
      </c>
      <c r="D202" s="20" t="s">
        <v>272</v>
      </c>
      <c r="E202" s="21" t="s">
        <v>905</v>
      </c>
      <c r="F202" s="21" t="n">
        <v>34788</v>
      </c>
      <c r="G202" s="22" t="s">
        <v>471</v>
      </c>
      <c r="H202" s="23" t="n">
        <f aca="false">COUNTIF(CAL!U:AF,B202)</f>
        <v>4</v>
      </c>
      <c r="I202" s="22" t="n">
        <v>9</v>
      </c>
      <c r="J202" s="20"/>
    </row>
    <row r="203" customFormat="false" ht="12.75" hidden="false" customHeight="true" outlineLevel="0" collapsed="false">
      <c r="B203" s="19" t="n">
        <v>2457</v>
      </c>
      <c r="C203" s="20" t="s">
        <v>906</v>
      </c>
      <c r="D203" s="20" t="s">
        <v>335</v>
      </c>
      <c r="E203" s="21" t="s">
        <v>907</v>
      </c>
      <c r="F203" s="21" t="n">
        <v>37859</v>
      </c>
      <c r="G203" s="22" t="s">
        <v>471</v>
      </c>
      <c r="H203" s="23" t="n">
        <f aca="false">COUNTIF(CAL!U:AF,B203)</f>
        <v>4</v>
      </c>
      <c r="I203" s="22" t="n">
        <v>9</v>
      </c>
      <c r="J203" s="20"/>
    </row>
    <row r="204" customFormat="false" ht="12.75" hidden="false" customHeight="true" outlineLevel="0" collapsed="false">
      <c r="B204" s="19" t="n">
        <v>1313</v>
      </c>
      <c r="C204" s="20" t="s">
        <v>908</v>
      </c>
      <c r="D204" s="20" t="s">
        <v>130</v>
      </c>
      <c r="E204" s="21" t="s">
        <v>909</v>
      </c>
      <c r="F204" s="21" t="n">
        <v>37647</v>
      </c>
      <c r="G204" s="22" t="s">
        <v>471</v>
      </c>
      <c r="H204" s="23" t="n">
        <f aca="false">COUNTIF(CAL!U:AF,B204)</f>
        <v>4</v>
      </c>
      <c r="I204" s="22" t="n">
        <v>9</v>
      </c>
      <c r="J204" s="20"/>
    </row>
    <row r="205" customFormat="false" ht="12.75" hidden="false" customHeight="true" outlineLevel="0" collapsed="false">
      <c r="B205" s="19" t="n">
        <v>2830</v>
      </c>
      <c r="C205" s="20" t="s">
        <v>910</v>
      </c>
      <c r="D205" s="20" t="s">
        <v>55</v>
      </c>
      <c r="E205" s="21" t="s">
        <v>911</v>
      </c>
      <c r="F205" s="21" t="n">
        <v>35813</v>
      </c>
      <c r="G205" s="22" t="s">
        <v>471</v>
      </c>
      <c r="H205" s="23" t="n">
        <f aca="false">COUNTIF(CAL!U:AF,B205)</f>
        <v>4</v>
      </c>
      <c r="I205" s="22" t="n">
        <v>9</v>
      </c>
      <c r="J205" s="20" t="s">
        <v>912</v>
      </c>
    </row>
    <row r="206" customFormat="false" ht="12.75" hidden="false" customHeight="true" outlineLevel="0" collapsed="false">
      <c r="B206" s="19" t="n">
        <v>2995</v>
      </c>
      <c r="C206" s="20" t="s">
        <v>913</v>
      </c>
      <c r="D206" s="20" t="s">
        <v>272</v>
      </c>
      <c r="E206" s="21" t="s">
        <v>914</v>
      </c>
      <c r="F206" s="21" t="n">
        <v>37038</v>
      </c>
      <c r="G206" s="22" t="s">
        <v>471</v>
      </c>
      <c r="H206" s="23" t="n">
        <f aca="false">COUNTIF(CAL!U:AF,B206)</f>
        <v>4</v>
      </c>
      <c r="I206" s="22" t="n">
        <v>9</v>
      </c>
      <c r="J206" s="20"/>
    </row>
    <row r="207" customFormat="false" ht="12.75" hidden="false" customHeight="true" outlineLevel="0" collapsed="false">
      <c r="B207" s="19" t="n">
        <v>1929</v>
      </c>
      <c r="C207" s="20" t="s">
        <v>915</v>
      </c>
      <c r="D207" s="20" t="s">
        <v>275</v>
      </c>
      <c r="E207" s="21" t="s">
        <v>916</v>
      </c>
      <c r="F207" s="21" t="n">
        <v>33771</v>
      </c>
      <c r="G207" s="22" t="s">
        <v>471</v>
      </c>
      <c r="H207" s="23" t="n">
        <f aca="false">COUNTIF(CAL!U:AF,B207)</f>
        <v>4</v>
      </c>
      <c r="I207" s="22" t="n">
        <v>9</v>
      </c>
      <c r="J207" s="20"/>
    </row>
    <row r="208" customFormat="false" ht="12.75" hidden="false" customHeight="true" outlineLevel="0" collapsed="false">
      <c r="B208" s="19" t="n">
        <v>1878</v>
      </c>
      <c r="C208" s="20" t="s">
        <v>917</v>
      </c>
      <c r="D208" s="20" t="s">
        <v>186</v>
      </c>
      <c r="E208" s="21" t="s">
        <v>918</v>
      </c>
      <c r="F208" s="21" t="n">
        <v>31315</v>
      </c>
      <c r="G208" s="22" t="s">
        <v>471</v>
      </c>
      <c r="H208" s="23" t="n">
        <f aca="false">COUNTIF(CAL!U:AF,B208)</f>
        <v>4</v>
      </c>
      <c r="I208" s="22" t="n">
        <v>9</v>
      </c>
      <c r="J208" s="20"/>
    </row>
    <row r="209" customFormat="false" ht="12.75" hidden="false" customHeight="true" outlineLevel="0" collapsed="false">
      <c r="B209" s="19" t="n">
        <v>3085</v>
      </c>
      <c r="C209" s="20" t="s">
        <v>919</v>
      </c>
      <c r="D209" s="20" t="s">
        <v>261</v>
      </c>
      <c r="E209" s="21" t="s">
        <v>920</v>
      </c>
      <c r="F209" s="21" t="n">
        <v>37455</v>
      </c>
      <c r="G209" s="22" t="s">
        <v>471</v>
      </c>
      <c r="H209" s="23" t="n">
        <f aca="false">COUNTIF(CAL!U:AF,B209)</f>
        <v>4</v>
      </c>
      <c r="I209" s="22" t="n">
        <v>9</v>
      </c>
      <c r="J209" s="20"/>
    </row>
    <row r="210" customFormat="false" ht="12.75" hidden="false" customHeight="true" outlineLevel="0" collapsed="false">
      <c r="B210" s="19" t="n">
        <v>1950</v>
      </c>
      <c r="C210" s="20" t="s">
        <v>921</v>
      </c>
      <c r="D210" s="20" t="s">
        <v>280</v>
      </c>
      <c r="E210" s="24" t="s">
        <v>922</v>
      </c>
      <c r="F210" s="21" t="n">
        <v>35812</v>
      </c>
      <c r="G210" s="22" t="s">
        <v>471</v>
      </c>
      <c r="H210" s="23" t="n">
        <f aca="false">COUNTIF(CAL!U:AF,B210)</f>
        <v>4</v>
      </c>
      <c r="I210" s="22" t="n">
        <v>9</v>
      </c>
      <c r="J210" s="20"/>
    </row>
    <row r="211" customFormat="false" ht="12.75" hidden="false" customHeight="true" outlineLevel="0" collapsed="false">
      <c r="B211" s="19" t="n">
        <v>1542</v>
      </c>
      <c r="C211" s="20" t="s">
        <v>923</v>
      </c>
      <c r="D211" s="20" t="s">
        <v>79</v>
      </c>
      <c r="E211" s="21" t="s">
        <v>924</v>
      </c>
      <c r="F211" s="21" t="n">
        <v>33619</v>
      </c>
      <c r="G211" s="22" t="s">
        <v>471</v>
      </c>
      <c r="H211" s="23" t="n">
        <f aca="false">COUNTIF(CAL!U:AF,B211)</f>
        <v>4</v>
      </c>
      <c r="I211" s="22" t="n">
        <v>9</v>
      </c>
      <c r="J211" s="20"/>
    </row>
    <row r="212" customFormat="false" ht="12.75" hidden="false" customHeight="true" outlineLevel="0" collapsed="false">
      <c r="B212" s="19" t="n">
        <v>1818</v>
      </c>
      <c r="C212" s="20" t="s">
        <v>925</v>
      </c>
      <c r="D212" s="20" t="s">
        <v>290</v>
      </c>
      <c r="E212" s="21" t="s">
        <v>926</v>
      </c>
      <c r="F212" s="21" t="n">
        <v>38474</v>
      </c>
      <c r="G212" s="22" t="s">
        <v>471</v>
      </c>
      <c r="H212" s="23" t="n">
        <f aca="false">COUNTIF(CAL!U:AF,B212)</f>
        <v>4</v>
      </c>
      <c r="I212" s="22" t="n">
        <v>9</v>
      </c>
      <c r="J212" s="20"/>
    </row>
    <row r="213" customFormat="false" ht="12.75" hidden="false" customHeight="true" outlineLevel="0" collapsed="false">
      <c r="B213" s="19" t="n">
        <v>1821</v>
      </c>
      <c r="C213" s="20" t="s">
        <v>927</v>
      </c>
      <c r="D213" s="20" t="s">
        <v>284</v>
      </c>
      <c r="E213" s="21" t="s">
        <v>928</v>
      </c>
      <c r="F213" s="21" t="n">
        <v>37821</v>
      </c>
      <c r="G213" s="22" t="s">
        <v>471</v>
      </c>
      <c r="H213" s="23" t="n">
        <f aca="false">COUNTIF(CAL!U:AF,B213)</f>
        <v>4</v>
      </c>
      <c r="I213" s="22" t="n">
        <v>9</v>
      </c>
      <c r="J213" s="20"/>
    </row>
    <row r="214" customFormat="false" ht="12.75" hidden="false" customHeight="true" outlineLevel="0" collapsed="false">
      <c r="B214" s="19" t="n">
        <v>2583</v>
      </c>
      <c r="C214" s="20" t="s">
        <v>929</v>
      </c>
      <c r="D214" s="20" t="s">
        <v>318</v>
      </c>
      <c r="E214" s="21" t="s">
        <v>930</v>
      </c>
      <c r="F214" s="21" t="n">
        <v>34537</v>
      </c>
      <c r="G214" s="22" t="s">
        <v>471</v>
      </c>
      <c r="H214" s="23" t="n">
        <f aca="false">COUNTIF(CAL!U:AF,B214)</f>
        <v>4</v>
      </c>
      <c r="I214" s="22" t="n">
        <v>9</v>
      </c>
      <c r="J214" s="20"/>
    </row>
    <row r="215" customFormat="false" ht="12.75" hidden="false" customHeight="true" outlineLevel="0" collapsed="false">
      <c r="B215" s="19" t="n">
        <v>2503</v>
      </c>
      <c r="C215" s="20" t="s">
        <v>931</v>
      </c>
      <c r="D215" s="20" t="s">
        <v>273</v>
      </c>
      <c r="E215" s="21" t="s">
        <v>932</v>
      </c>
      <c r="F215" s="21" t="n">
        <v>33772</v>
      </c>
      <c r="G215" s="22" t="s">
        <v>471</v>
      </c>
      <c r="H215" s="23" t="n">
        <f aca="false">COUNTIF(CAL!U:AF,B215)</f>
        <v>4</v>
      </c>
      <c r="I215" s="22" t="n">
        <v>9</v>
      </c>
      <c r="J215" s="20"/>
    </row>
    <row r="216" customFormat="false" ht="12.75" hidden="false" customHeight="true" outlineLevel="0" collapsed="false">
      <c r="B216" s="19" t="n">
        <v>2843</v>
      </c>
      <c r="C216" s="20" t="s">
        <v>933</v>
      </c>
      <c r="D216" s="20" t="s">
        <v>304</v>
      </c>
      <c r="E216" s="21" t="s">
        <v>934</v>
      </c>
      <c r="F216" s="21" t="n">
        <v>37366</v>
      </c>
      <c r="G216" s="22" t="s">
        <v>471</v>
      </c>
      <c r="H216" s="23" t="n">
        <f aca="false">COUNTIF(CAL!U:AF,B216)</f>
        <v>4</v>
      </c>
      <c r="I216" s="22" t="n">
        <v>10</v>
      </c>
      <c r="J216" s="20"/>
    </row>
    <row r="217" customFormat="false" ht="12.75" hidden="false" customHeight="true" outlineLevel="0" collapsed="false">
      <c r="B217" s="19" t="n">
        <v>1340</v>
      </c>
      <c r="C217" s="20" t="s">
        <v>935</v>
      </c>
      <c r="D217" s="20" t="s">
        <v>75</v>
      </c>
      <c r="E217" s="24" t="s">
        <v>936</v>
      </c>
      <c r="F217" s="21" t="n">
        <v>36963</v>
      </c>
      <c r="G217" s="22" t="s">
        <v>471</v>
      </c>
      <c r="H217" s="23" t="n">
        <f aca="false">COUNTIF(CAL!U:AF,B217)</f>
        <v>4</v>
      </c>
      <c r="I217" s="22" t="n">
        <v>10</v>
      </c>
      <c r="J217" s="20"/>
    </row>
    <row r="218" customFormat="false" ht="12.75" hidden="false" customHeight="true" outlineLevel="0" collapsed="false">
      <c r="B218" s="19" t="n">
        <v>2460</v>
      </c>
      <c r="C218" s="20" t="s">
        <v>937</v>
      </c>
      <c r="D218" s="20" t="s">
        <v>333</v>
      </c>
      <c r="E218" s="21" t="s">
        <v>938</v>
      </c>
      <c r="F218" s="21" t="n">
        <v>34799</v>
      </c>
      <c r="G218" s="22" t="s">
        <v>471</v>
      </c>
      <c r="H218" s="23" t="n">
        <f aca="false">COUNTIF(CAL!U:AF,B218)</f>
        <v>4</v>
      </c>
      <c r="I218" s="22" t="n">
        <v>10</v>
      </c>
      <c r="J218" s="20"/>
    </row>
    <row r="219" customFormat="false" ht="12.75" hidden="false" customHeight="true" outlineLevel="0" collapsed="false">
      <c r="B219" s="19" t="n">
        <v>3042</v>
      </c>
      <c r="C219" s="20" t="s">
        <v>939</v>
      </c>
      <c r="D219" s="20" t="s">
        <v>366</v>
      </c>
      <c r="E219" s="24" t="s">
        <v>940</v>
      </c>
      <c r="F219" s="21" t="n">
        <v>35719</v>
      </c>
      <c r="G219" s="22" t="s">
        <v>471</v>
      </c>
      <c r="H219" s="23" t="n">
        <f aca="false">COUNTIF(CAL!U:AF,B219)</f>
        <v>4</v>
      </c>
      <c r="I219" s="22" t="n">
        <v>10</v>
      </c>
      <c r="J219" s="20"/>
    </row>
    <row r="220" customFormat="false" ht="12.75" hidden="false" customHeight="true" outlineLevel="0" collapsed="false">
      <c r="B220" s="19" t="n">
        <v>1755</v>
      </c>
      <c r="C220" s="20" t="s">
        <v>941</v>
      </c>
      <c r="D220" s="20" t="s">
        <v>263</v>
      </c>
      <c r="E220" s="21" t="s">
        <v>942</v>
      </c>
      <c r="F220" s="21" t="n">
        <v>36528</v>
      </c>
      <c r="G220" s="22" t="s">
        <v>471</v>
      </c>
      <c r="H220" s="23" t="n">
        <f aca="false">COUNTIF(CAL!U:AF,B220)</f>
        <v>4</v>
      </c>
      <c r="I220" s="22" t="n">
        <v>10</v>
      </c>
      <c r="J220" s="20"/>
    </row>
    <row r="221" customFormat="false" ht="12.75" hidden="false" customHeight="true" outlineLevel="0" collapsed="false">
      <c r="B221" s="19" t="n">
        <v>2423</v>
      </c>
      <c r="C221" s="20" t="s">
        <v>943</v>
      </c>
      <c r="D221" s="20" t="s">
        <v>274</v>
      </c>
      <c r="E221" s="21" t="s">
        <v>944</v>
      </c>
      <c r="F221" s="21" t="n">
        <v>35503</v>
      </c>
      <c r="G221" s="22" t="s">
        <v>471</v>
      </c>
      <c r="H221" s="23" t="n">
        <f aca="false">COUNTIF(CAL!U:AF,B221)</f>
        <v>4</v>
      </c>
      <c r="I221" s="22" t="n">
        <v>10</v>
      </c>
      <c r="J221" s="20"/>
    </row>
    <row r="222" customFormat="false" ht="12.75" hidden="false" customHeight="true" outlineLevel="0" collapsed="false">
      <c r="B222" s="19" t="n">
        <v>1099</v>
      </c>
      <c r="C222" s="20" t="s">
        <v>945</v>
      </c>
      <c r="D222" s="20" t="s">
        <v>302</v>
      </c>
      <c r="E222" s="24" t="s">
        <v>946</v>
      </c>
      <c r="F222" s="21" t="n">
        <v>34241</v>
      </c>
      <c r="G222" s="22" t="s">
        <v>471</v>
      </c>
      <c r="H222" s="23" t="n">
        <f aca="false">COUNTIF(CAL!U:AF,B222)</f>
        <v>4</v>
      </c>
      <c r="I222" s="22" t="n">
        <v>10</v>
      </c>
      <c r="J222" s="20" t="s">
        <v>947</v>
      </c>
    </row>
    <row r="223" customFormat="false" ht="12.75" hidden="false" customHeight="true" outlineLevel="0" collapsed="false">
      <c r="B223" s="19" t="n">
        <v>1308</v>
      </c>
      <c r="C223" s="20" t="s">
        <v>948</v>
      </c>
      <c r="D223" s="20" t="s">
        <v>129</v>
      </c>
      <c r="E223" s="21" t="s">
        <v>949</v>
      </c>
      <c r="F223" s="21" t="n">
        <v>31870</v>
      </c>
      <c r="G223" s="22" t="s">
        <v>471</v>
      </c>
      <c r="H223" s="23" t="n">
        <f aca="false">COUNTIF(CAL!U:AF,B223)</f>
        <v>4</v>
      </c>
      <c r="I223" s="22" t="n">
        <v>10</v>
      </c>
      <c r="J223" s="20"/>
    </row>
    <row r="224" customFormat="false" ht="12.75" hidden="false" customHeight="true" outlineLevel="0" collapsed="false">
      <c r="B224" s="19" t="n">
        <v>2044</v>
      </c>
      <c r="C224" s="20" t="s">
        <v>895</v>
      </c>
      <c r="D224" s="20" t="s">
        <v>332</v>
      </c>
      <c r="E224" s="24" t="s">
        <v>950</v>
      </c>
      <c r="F224" s="21" t="n">
        <v>38083</v>
      </c>
      <c r="G224" s="22" t="s">
        <v>471</v>
      </c>
      <c r="H224" s="23" t="n">
        <f aca="false">COUNTIF(CAL!U:AF,B224)</f>
        <v>4</v>
      </c>
      <c r="I224" s="22" t="n">
        <v>10</v>
      </c>
      <c r="J224" s="20"/>
    </row>
    <row r="225" customFormat="false" ht="12.75" hidden="false" customHeight="true" outlineLevel="0" collapsed="false">
      <c r="B225" s="19" t="n">
        <v>3138</v>
      </c>
      <c r="C225" s="20" t="s">
        <v>951</v>
      </c>
      <c r="D225" s="20" t="s">
        <v>59</v>
      </c>
      <c r="E225" s="21" t="s">
        <v>952</v>
      </c>
      <c r="F225" s="21" t="n">
        <v>34808</v>
      </c>
      <c r="G225" s="22" t="s">
        <v>471</v>
      </c>
      <c r="H225" s="23" t="n">
        <f aca="false">COUNTIF(CAL!U:AF,B225)</f>
        <v>4</v>
      </c>
      <c r="I225" s="22" t="n">
        <v>10</v>
      </c>
      <c r="J225" s="20"/>
    </row>
    <row r="226" customFormat="false" ht="15.75" hidden="false" customHeight="true" outlineLevel="0" collapsed="false">
      <c r="B226" s="19" t="n">
        <v>1495</v>
      </c>
      <c r="C226" s="20" t="s">
        <v>953</v>
      </c>
      <c r="D226" s="20" t="s">
        <v>283</v>
      </c>
      <c r="E226" s="24" t="s">
        <v>954</v>
      </c>
      <c r="F226" s="21" t="n">
        <v>35803</v>
      </c>
      <c r="G226" s="22" t="s">
        <v>471</v>
      </c>
      <c r="H226" s="23" t="n">
        <f aca="false">COUNTIF(CAL!U:AF,B226)</f>
        <v>4</v>
      </c>
      <c r="I226" s="22" t="n">
        <v>10</v>
      </c>
      <c r="J226" s="20"/>
    </row>
    <row r="227" customFormat="false" ht="15.75" hidden="false" customHeight="true" outlineLevel="0" collapsed="false">
      <c r="B227" s="19" t="n">
        <v>2385</v>
      </c>
      <c r="C227" s="20" t="s">
        <v>955</v>
      </c>
      <c r="D227" s="20" t="s">
        <v>113</v>
      </c>
      <c r="E227" s="21" t="s">
        <v>956</v>
      </c>
      <c r="F227" s="21" t="n">
        <v>35230</v>
      </c>
      <c r="G227" s="22" t="s">
        <v>471</v>
      </c>
      <c r="H227" s="23" t="n">
        <f aca="false">COUNTIF(CAL!U:AF,B227)</f>
        <v>4</v>
      </c>
      <c r="I227" s="22" t="n">
        <v>10</v>
      </c>
      <c r="J227" s="20"/>
    </row>
    <row r="228" customFormat="false" ht="15.75" hidden="false" customHeight="true" outlineLevel="0" collapsed="false">
      <c r="B228" s="19" t="n">
        <v>1673</v>
      </c>
      <c r="C228" s="20" t="s">
        <v>957</v>
      </c>
      <c r="D228" s="20" t="s">
        <v>170</v>
      </c>
      <c r="E228" s="24" t="s">
        <v>958</v>
      </c>
      <c r="F228" s="21" t="n">
        <v>36230</v>
      </c>
      <c r="G228" s="22" t="s">
        <v>471</v>
      </c>
      <c r="H228" s="23" t="n">
        <f aca="false">COUNTIF(CAL!U:AF,B228)</f>
        <v>4</v>
      </c>
      <c r="I228" s="22" t="n">
        <v>10</v>
      </c>
      <c r="J228" s="20"/>
    </row>
    <row r="229" customFormat="false" ht="15.75" hidden="false" customHeight="true" outlineLevel="0" collapsed="false">
      <c r="B229" s="19" t="n">
        <v>1877</v>
      </c>
      <c r="C229" s="20" t="s">
        <v>959</v>
      </c>
      <c r="D229" s="20" t="s">
        <v>287</v>
      </c>
      <c r="E229" s="21" t="s">
        <v>960</v>
      </c>
      <c r="F229" s="21" t="n">
        <v>32707</v>
      </c>
      <c r="G229" s="22" t="s">
        <v>471</v>
      </c>
      <c r="H229" s="23" t="n">
        <f aca="false">COUNTIF(CAL!U:AF,B229)</f>
        <v>4</v>
      </c>
      <c r="I229" s="22" t="n">
        <v>10</v>
      </c>
      <c r="J229" s="20" t="s">
        <v>961</v>
      </c>
    </row>
    <row r="230" customFormat="false" ht="15.75" hidden="false" customHeight="true" outlineLevel="0" collapsed="false">
      <c r="B230" s="19" t="n">
        <v>2535</v>
      </c>
      <c r="C230" s="20" t="s">
        <v>962</v>
      </c>
      <c r="D230" s="20" t="s">
        <v>350</v>
      </c>
      <c r="E230" s="21" t="s">
        <v>963</v>
      </c>
      <c r="F230" s="21" t="n">
        <v>35600</v>
      </c>
      <c r="G230" s="22" t="s">
        <v>471</v>
      </c>
      <c r="H230" s="23" t="n">
        <f aca="false">COUNTIF(CAL!U:AF,B230)</f>
        <v>4</v>
      </c>
      <c r="I230" s="22" t="n">
        <v>10</v>
      </c>
      <c r="J230" s="20"/>
    </row>
    <row r="231" customFormat="false" ht="15.75" hidden="false" customHeight="true" outlineLevel="0" collapsed="false">
      <c r="B231" s="19" t="n">
        <v>1567</v>
      </c>
      <c r="C231" s="20" t="s">
        <v>518</v>
      </c>
      <c r="D231" s="20" t="s">
        <v>425</v>
      </c>
      <c r="E231" s="21" t="s">
        <v>964</v>
      </c>
      <c r="F231" s="21" t="n">
        <v>35416</v>
      </c>
      <c r="G231" s="22" t="s">
        <v>471</v>
      </c>
      <c r="H231" s="23" t="n">
        <f aca="false">COUNTIF(CAL!U:AF,B231)</f>
        <v>4</v>
      </c>
      <c r="I231" s="22" t="n">
        <v>10</v>
      </c>
      <c r="J231" s="20" t="s">
        <v>965</v>
      </c>
    </row>
    <row r="232" customFormat="false" ht="15.75" hidden="false" customHeight="true" outlineLevel="0" collapsed="false">
      <c r="B232" s="19" t="n">
        <v>1071</v>
      </c>
      <c r="C232" s="20" t="s">
        <v>966</v>
      </c>
      <c r="D232" s="20" t="s">
        <v>50</v>
      </c>
      <c r="E232" s="21" t="s">
        <v>967</v>
      </c>
      <c r="F232" s="21" t="n">
        <v>36713</v>
      </c>
      <c r="G232" s="22" t="s">
        <v>471</v>
      </c>
      <c r="H232" s="23" t="n">
        <f aca="false">COUNTIF(CAL!U:AF,B232)</f>
        <v>4</v>
      </c>
      <c r="I232" s="22" t="n">
        <v>10</v>
      </c>
      <c r="J232" s="20"/>
    </row>
    <row r="233" customFormat="false" ht="15.75" hidden="false" customHeight="true" outlineLevel="0" collapsed="false">
      <c r="B233" s="19" t="n">
        <v>1663</v>
      </c>
      <c r="C233" s="20" t="s">
        <v>968</v>
      </c>
      <c r="D233" s="20" t="s">
        <v>74</v>
      </c>
      <c r="E233" s="21" t="s">
        <v>969</v>
      </c>
      <c r="F233" s="21" t="n">
        <v>37735</v>
      </c>
      <c r="G233" s="22" t="s">
        <v>471</v>
      </c>
      <c r="H233" s="23" t="n">
        <f aca="false">COUNTIF(CAL!U:AF,B233)</f>
        <v>4</v>
      </c>
      <c r="I233" s="22" t="n">
        <v>10</v>
      </c>
      <c r="J233" s="20"/>
    </row>
    <row r="234" customFormat="false" ht="15.75" hidden="false" customHeight="true" outlineLevel="0" collapsed="false">
      <c r="B234" s="19" t="n">
        <v>1546</v>
      </c>
      <c r="C234" s="20" t="s">
        <v>970</v>
      </c>
      <c r="D234" s="20" t="s">
        <v>303</v>
      </c>
      <c r="E234" s="24" t="s">
        <v>971</v>
      </c>
      <c r="F234" s="21" t="n">
        <v>33760</v>
      </c>
      <c r="G234" s="22" t="s">
        <v>471</v>
      </c>
      <c r="H234" s="23" t="n">
        <f aca="false">COUNTIF(CAL!U:AF,B234)</f>
        <v>4</v>
      </c>
      <c r="I234" s="22" t="n">
        <v>10</v>
      </c>
      <c r="J234" s="20"/>
    </row>
    <row r="235" customFormat="false" ht="15.75" hidden="false" customHeight="true" outlineLevel="0" collapsed="false">
      <c r="B235" s="19" t="n">
        <v>2522</v>
      </c>
      <c r="C235" s="20" t="s">
        <v>972</v>
      </c>
      <c r="D235" s="20" t="s">
        <v>321</v>
      </c>
      <c r="E235" s="21" t="s">
        <v>973</v>
      </c>
      <c r="F235" s="21" t="n">
        <v>35932</v>
      </c>
      <c r="G235" s="22" t="s">
        <v>471</v>
      </c>
      <c r="H235" s="23" t="n">
        <f aca="false">COUNTIF(CAL!U:AF,B235)</f>
        <v>4</v>
      </c>
      <c r="I235" s="22" t="n">
        <v>11</v>
      </c>
      <c r="J235" s="20"/>
    </row>
    <row r="236" customFormat="false" ht="15.75" hidden="false" customHeight="true" outlineLevel="0" collapsed="false">
      <c r="B236" s="19" t="n">
        <v>2164</v>
      </c>
      <c r="C236" s="20" t="s">
        <v>974</v>
      </c>
      <c r="D236" s="20" t="s">
        <v>310</v>
      </c>
      <c r="E236" s="21" t="s">
        <v>975</v>
      </c>
      <c r="F236" s="21" t="n">
        <v>36018</v>
      </c>
      <c r="G236" s="22" t="s">
        <v>471</v>
      </c>
      <c r="H236" s="23" t="n">
        <f aca="false">COUNTIF(CAL!U:AF,B236)</f>
        <v>4</v>
      </c>
      <c r="I236" s="22" t="n">
        <v>11</v>
      </c>
      <c r="J236" s="20"/>
    </row>
    <row r="237" customFormat="false" ht="15.75" hidden="false" customHeight="true" outlineLevel="0" collapsed="false">
      <c r="B237" s="19" t="n">
        <v>1035</v>
      </c>
      <c r="C237" s="20" t="s">
        <v>976</v>
      </c>
      <c r="D237" s="20" t="s">
        <v>59</v>
      </c>
      <c r="E237" s="24" t="s">
        <v>977</v>
      </c>
      <c r="F237" s="21" t="n">
        <v>34027</v>
      </c>
      <c r="G237" s="22" t="s">
        <v>471</v>
      </c>
      <c r="H237" s="23" t="n">
        <f aca="false">COUNTIF(CAL!U:AF,B237)</f>
        <v>4</v>
      </c>
      <c r="I237" s="22" t="n">
        <v>11</v>
      </c>
      <c r="J237" s="20"/>
    </row>
    <row r="238" customFormat="false" ht="15.75" hidden="false" customHeight="true" outlineLevel="0" collapsed="false">
      <c r="B238" s="19" t="n">
        <v>1782</v>
      </c>
      <c r="C238" s="20" t="s">
        <v>978</v>
      </c>
      <c r="D238" s="20" t="s">
        <v>144</v>
      </c>
      <c r="E238" s="21" t="s">
        <v>979</v>
      </c>
      <c r="F238" s="21" t="n">
        <v>34210</v>
      </c>
      <c r="G238" s="22" t="s">
        <v>471</v>
      </c>
      <c r="H238" s="23" t="n">
        <f aca="false">COUNTIF(CAL!U:AF,B238)</f>
        <v>4</v>
      </c>
      <c r="I238" s="22" t="n">
        <v>11</v>
      </c>
      <c r="J238" s="20"/>
    </row>
    <row r="239" customFormat="false" ht="15.75" hidden="false" customHeight="true" outlineLevel="0" collapsed="false">
      <c r="B239" s="19" t="n">
        <v>2542</v>
      </c>
      <c r="C239" s="20" t="s">
        <v>980</v>
      </c>
      <c r="D239" s="20" t="s">
        <v>197</v>
      </c>
      <c r="E239" s="24" t="s">
        <v>981</v>
      </c>
      <c r="F239" s="21" t="n">
        <v>33610</v>
      </c>
      <c r="G239" s="22" t="s">
        <v>471</v>
      </c>
      <c r="H239" s="23" t="n">
        <f aca="false">COUNTIF(CAL!U:AF,B239)</f>
        <v>4</v>
      </c>
      <c r="I239" s="22" t="n">
        <v>11</v>
      </c>
      <c r="J239" s="20"/>
    </row>
    <row r="240" customFormat="false" ht="15.75" hidden="false" customHeight="true" outlineLevel="0" collapsed="false">
      <c r="B240" s="19" t="n">
        <v>1900</v>
      </c>
      <c r="C240" s="20" t="s">
        <v>982</v>
      </c>
      <c r="D240" s="20" t="s">
        <v>74</v>
      </c>
      <c r="E240" s="21" t="s">
        <v>983</v>
      </c>
      <c r="F240" s="21" t="n">
        <v>37108</v>
      </c>
      <c r="G240" s="22" t="s">
        <v>471</v>
      </c>
      <c r="H240" s="23" t="n">
        <f aca="false">COUNTIF(CAL!U:AF,B240)</f>
        <v>4</v>
      </c>
      <c r="I240" s="22" t="n">
        <v>11</v>
      </c>
      <c r="J240" s="20"/>
    </row>
    <row r="241" customFormat="false" ht="15.75" hidden="false" customHeight="true" outlineLevel="0" collapsed="false">
      <c r="B241" s="19" t="n">
        <v>2029</v>
      </c>
      <c r="C241" s="20" t="s">
        <v>984</v>
      </c>
      <c r="D241" s="20" t="s">
        <v>91</v>
      </c>
      <c r="E241" s="24" t="s">
        <v>985</v>
      </c>
      <c r="F241" s="21" t="n">
        <v>35171</v>
      </c>
      <c r="G241" s="22" t="s">
        <v>471</v>
      </c>
      <c r="H241" s="23" t="n">
        <f aca="false">COUNTIF(CAL!U:AF,B241)</f>
        <v>4</v>
      </c>
      <c r="I241" s="22" t="n">
        <v>11</v>
      </c>
      <c r="J241" s="20" t="s">
        <v>986</v>
      </c>
    </row>
    <row r="242" customFormat="false" ht="15.75" hidden="false" customHeight="true" outlineLevel="0" collapsed="false">
      <c r="B242" s="19" t="n">
        <v>3082</v>
      </c>
      <c r="C242" s="20" t="s">
        <v>987</v>
      </c>
      <c r="D242" s="20" t="s">
        <v>99</v>
      </c>
      <c r="E242" s="21" t="s">
        <v>988</v>
      </c>
      <c r="F242" s="21" t="n">
        <v>35536</v>
      </c>
      <c r="G242" s="22" t="s">
        <v>471</v>
      </c>
      <c r="H242" s="23" t="n">
        <f aca="false">COUNTIF(CAL!U:AF,B242)</f>
        <v>4</v>
      </c>
      <c r="I242" s="22" t="n">
        <v>11</v>
      </c>
      <c r="J242" s="20"/>
    </row>
    <row r="243" customFormat="false" ht="15.75" hidden="false" customHeight="true" outlineLevel="0" collapsed="false">
      <c r="B243" s="19" t="n">
        <v>1194</v>
      </c>
      <c r="C243" s="20" t="s">
        <v>989</v>
      </c>
      <c r="D243" s="20" t="s">
        <v>223</v>
      </c>
      <c r="E243" s="21" t="s">
        <v>990</v>
      </c>
      <c r="F243" s="21" t="n">
        <v>36168</v>
      </c>
      <c r="G243" s="22" t="s">
        <v>471</v>
      </c>
      <c r="H243" s="23" t="n">
        <f aca="false">COUNTIF(CAL!U:AF,B243)</f>
        <v>4</v>
      </c>
      <c r="I243" s="22" t="n">
        <v>11</v>
      </c>
      <c r="J243" s="20"/>
    </row>
    <row r="244" customFormat="false" ht="15.75" hidden="false" customHeight="true" outlineLevel="0" collapsed="false">
      <c r="B244" s="19" t="n">
        <v>2243</v>
      </c>
      <c r="C244" s="20" t="s">
        <v>991</v>
      </c>
      <c r="D244" s="20" t="s">
        <v>67</v>
      </c>
      <c r="E244" s="21" t="s">
        <v>992</v>
      </c>
      <c r="F244" s="21" t="n">
        <v>36916</v>
      </c>
      <c r="G244" s="22" t="s">
        <v>471</v>
      </c>
      <c r="H244" s="23" t="n">
        <f aca="false">COUNTIF(CAL!U:AF,B244)</f>
        <v>4</v>
      </c>
      <c r="I244" s="22" t="n">
        <v>11</v>
      </c>
      <c r="J244" s="20"/>
    </row>
    <row r="245" customFormat="false" ht="15.75" hidden="false" customHeight="true" outlineLevel="0" collapsed="false">
      <c r="B245" s="19" t="n">
        <v>2134</v>
      </c>
      <c r="C245" s="20" t="s">
        <v>993</v>
      </c>
      <c r="D245" s="20" t="s">
        <v>287</v>
      </c>
      <c r="E245" s="21" t="s">
        <v>994</v>
      </c>
      <c r="F245" s="21" t="n">
        <v>33705</v>
      </c>
      <c r="G245" s="22" t="s">
        <v>471</v>
      </c>
      <c r="H245" s="23" t="n">
        <f aca="false">COUNTIF(CAL!U:AF,B245)</f>
        <v>4</v>
      </c>
      <c r="I245" s="22" t="n">
        <v>11</v>
      </c>
      <c r="J245" s="20" t="s">
        <v>995</v>
      </c>
    </row>
    <row r="246" customFormat="false" ht="15.75" hidden="false" customHeight="true" outlineLevel="0" collapsed="false">
      <c r="B246" s="19" t="n">
        <v>1158</v>
      </c>
      <c r="C246" s="20" t="s">
        <v>996</v>
      </c>
      <c r="D246" s="20" t="s">
        <v>187</v>
      </c>
      <c r="E246" s="21" t="s">
        <v>997</v>
      </c>
      <c r="F246" s="21" t="n">
        <v>39384</v>
      </c>
      <c r="G246" s="22" t="s">
        <v>471</v>
      </c>
      <c r="H246" s="23" t="n">
        <f aca="false">COUNTIF(CAL!U:AF,B246)</f>
        <v>4</v>
      </c>
      <c r="I246" s="22" t="n">
        <v>11</v>
      </c>
      <c r="J246" s="20"/>
    </row>
    <row r="247" customFormat="false" ht="15.75" hidden="false" customHeight="true" outlineLevel="0" collapsed="false">
      <c r="B247" s="19" t="n">
        <v>1205</v>
      </c>
      <c r="C247" s="20" t="s">
        <v>998</v>
      </c>
      <c r="D247" s="20" t="s">
        <v>259</v>
      </c>
      <c r="E247" s="21" t="s">
        <v>999</v>
      </c>
      <c r="F247" s="21" t="n">
        <v>34740</v>
      </c>
      <c r="G247" s="22" t="s">
        <v>1000</v>
      </c>
      <c r="H247" s="23" t="n">
        <f aca="false">COUNTIF(CAL!U:AF,B247)</f>
        <v>4</v>
      </c>
      <c r="I247" s="22" t="n">
        <v>11</v>
      </c>
      <c r="J247" s="20" t="s">
        <v>1001</v>
      </c>
    </row>
    <row r="248" customFormat="false" ht="15.75" hidden="false" customHeight="true" outlineLevel="0" collapsed="false">
      <c r="B248" s="19" t="n">
        <v>2001</v>
      </c>
      <c r="C248" s="20" t="s">
        <v>1002</v>
      </c>
      <c r="D248" s="20" t="s">
        <v>384</v>
      </c>
      <c r="E248" s="21" t="s">
        <v>1003</v>
      </c>
      <c r="F248" s="21" t="n">
        <v>33812</v>
      </c>
      <c r="G248" s="22" t="s">
        <v>471</v>
      </c>
      <c r="H248" s="23" t="n">
        <f aca="false">COUNTIF(CAL!U:AF,B248)</f>
        <v>4</v>
      </c>
      <c r="I248" s="22" t="n">
        <v>11</v>
      </c>
      <c r="J248" s="20" t="s">
        <v>1004</v>
      </c>
    </row>
    <row r="249" customFormat="false" ht="15.75" hidden="false" customHeight="true" outlineLevel="0" collapsed="false">
      <c r="B249" s="19" t="n">
        <v>1176</v>
      </c>
      <c r="C249" s="20" t="s">
        <v>1005</v>
      </c>
      <c r="D249" s="20" t="s">
        <v>201</v>
      </c>
      <c r="E249" s="21" t="s">
        <v>1006</v>
      </c>
      <c r="F249" s="21" t="n">
        <v>34256</v>
      </c>
      <c r="G249" s="22" t="s">
        <v>471</v>
      </c>
      <c r="H249" s="23" t="n">
        <f aca="false">COUNTIF(CAL!U:AF,B249)</f>
        <v>4</v>
      </c>
      <c r="I249" s="22" t="n">
        <v>11</v>
      </c>
      <c r="J249" s="20"/>
    </row>
    <row r="250" customFormat="false" ht="15.75" hidden="false" customHeight="true" outlineLevel="0" collapsed="false">
      <c r="B250" s="19" t="n">
        <v>2132</v>
      </c>
      <c r="C250" s="20" t="s">
        <v>1007</v>
      </c>
      <c r="D250" s="20" t="s">
        <v>101</v>
      </c>
      <c r="E250" s="21" t="s">
        <v>1008</v>
      </c>
      <c r="F250" s="21" t="n">
        <v>36719</v>
      </c>
      <c r="G250" s="22" t="s">
        <v>471</v>
      </c>
      <c r="H250" s="23" t="n">
        <f aca="false">COUNTIF(CAL!U:AF,B250)</f>
        <v>4</v>
      </c>
      <c r="I250" s="22" t="n">
        <v>11</v>
      </c>
      <c r="J250" s="20"/>
    </row>
    <row r="251" customFormat="false" ht="15.75" hidden="false" customHeight="true" outlineLevel="0" collapsed="false">
      <c r="B251" s="19" t="n">
        <v>1698</v>
      </c>
      <c r="C251" s="20" t="s">
        <v>1009</v>
      </c>
      <c r="D251" s="20" t="s">
        <v>280</v>
      </c>
      <c r="E251" s="21" t="s">
        <v>1010</v>
      </c>
      <c r="F251" s="21" t="n">
        <v>36769</v>
      </c>
      <c r="G251" s="22" t="s">
        <v>471</v>
      </c>
      <c r="H251" s="23" t="n">
        <f aca="false">COUNTIF(CAL!U:AF,B251)</f>
        <v>4</v>
      </c>
      <c r="I251" s="22" t="n">
        <v>11</v>
      </c>
      <c r="J251" s="20"/>
    </row>
    <row r="252" customFormat="false" ht="15.75" hidden="false" customHeight="true" outlineLevel="0" collapsed="false">
      <c r="B252" s="19" t="n">
        <v>1955</v>
      </c>
      <c r="C252" s="20" t="s">
        <v>1011</v>
      </c>
      <c r="D252" s="20" t="s">
        <v>197</v>
      </c>
      <c r="E252" s="21" t="s">
        <v>1012</v>
      </c>
      <c r="F252" s="21" t="n">
        <v>38118</v>
      </c>
      <c r="G252" s="22" t="s">
        <v>471</v>
      </c>
      <c r="H252" s="23" t="n">
        <f aca="false">COUNTIF(CAL!U:AF,B252)</f>
        <v>4</v>
      </c>
      <c r="I252" s="22" t="n">
        <v>11</v>
      </c>
      <c r="J252" s="20"/>
    </row>
    <row r="253" customFormat="false" ht="15.75" hidden="false" customHeight="true" outlineLevel="0" collapsed="false">
      <c r="B253" s="19" t="n">
        <v>1468</v>
      </c>
      <c r="C253" s="20" t="s">
        <v>1013</v>
      </c>
      <c r="D253" s="20" t="s">
        <v>222</v>
      </c>
      <c r="E253" s="21" t="s">
        <v>1014</v>
      </c>
      <c r="F253" s="21" t="n">
        <v>35969</v>
      </c>
      <c r="G253" s="22" t="s">
        <v>471</v>
      </c>
      <c r="H253" s="23" t="n">
        <f aca="false">COUNTIF(CAL!U:AF,B253)</f>
        <v>4</v>
      </c>
      <c r="I253" s="22" t="n">
        <v>11</v>
      </c>
      <c r="J253" s="20"/>
    </row>
    <row r="254" customFormat="false" ht="15.75" hidden="false" customHeight="true" outlineLevel="0" collapsed="false">
      <c r="B254" s="19" t="n">
        <v>2267</v>
      </c>
      <c r="C254" s="20" t="s">
        <v>1015</v>
      </c>
      <c r="D254" s="20" t="s">
        <v>207</v>
      </c>
      <c r="E254" s="21" t="s">
        <v>1016</v>
      </c>
      <c r="F254" s="21" t="n">
        <v>34486</v>
      </c>
      <c r="G254" s="22" t="s">
        <v>1017</v>
      </c>
      <c r="H254" s="23" t="n">
        <f aca="false">COUNTIF(CAL!U:AF,B254)</f>
        <v>4</v>
      </c>
      <c r="I254" s="22" t="n">
        <v>12</v>
      </c>
      <c r="J254" s="20"/>
    </row>
    <row r="255" customFormat="false" ht="15.75" hidden="false" customHeight="true" outlineLevel="0" collapsed="false">
      <c r="B255" s="19" t="n">
        <v>2165</v>
      </c>
      <c r="C255" s="20" t="s">
        <v>1018</v>
      </c>
      <c r="D255" s="20" t="s">
        <v>347</v>
      </c>
      <c r="E255" s="21" t="s">
        <v>1019</v>
      </c>
      <c r="F255" s="21" t="n">
        <v>33902</v>
      </c>
      <c r="G255" s="22" t="s">
        <v>471</v>
      </c>
      <c r="H255" s="23" t="n">
        <f aca="false">COUNTIF(CAL!U:AF,B255)</f>
        <v>4</v>
      </c>
      <c r="I255" s="22" t="n">
        <v>12</v>
      </c>
      <c r="J255" s="20"/>
    </row>
    <row r="256" customFormat="false" ht="15.75" hidden="false" customHeight="true" outlineLevel="0" collapsed="false">
      <c r="B256" s="19" t="n">
        <v>1208</v>
      </c>
      <c r="C256" s="20" t="s">
        <v>1020</v>
      </c>
      <c r="D256" s="20" t="s">
        <v>183</v>
      </c>
      <c r="E256" s="21" t="s">
        <v>1021</v>
      </c>
      <c r="F256" s="21" t="n">
        <v>33577</v>
      </c>
      <c r="G256" s="22" t="s">
        <v>471</v>
      </c>
      <c r="H256" s="23" t="n">
        <f aca="false">COUNTIF(CAL!U:AF,B256)</f>
        <v>4</v>
      </c>
      <c r="I256" s="22" t="n">
        <v>12</v>
      </c>
      <c r="J256" s="20"/>
    </row>
    <row r="257" customFormat="false" ht="15.75" hidden="false" customHeight="true" outlineLevel="0" collapsed="false">
      <c r="B257" s="19" t="n">
        <v>1910</v>
      </c>
      <c r="C257" s="20" t="s">
        <v>1022</v>
      </c>
      <c r="D257" s="20" t="s">
        <v>343</v>
      </c>
      <c r="E257" s="21" t="s">
        <v>1023</v>
      </c>
      <c r="F257" s="21" t="n">
        <v>36273</v>
      </c>
      <c r="G257" s="22" t="s">
        <v>471</v>
      </c>
      <c r="H257" s="23" t="n">
        <f aca="false">COUNTIF(CAL!U:AF,B257)</f>
        <v>4</v>
      </c>
      <c r="I257" s="22" t="n">
        <v>12</v>
      </c>
      <c r="J257" s="20"/>
    </row>
    <row r="258" customFormat="false" ht="15.75" hidden="false" customHeight="true" outlineLevel="0" collapsed="false">
      <c r="B258" s="19" t="n">
        <v>1409</v>
      </c>
      <c r="C258" s="20" t="s">
        <v>1024</v>
      </c>
      <c r="D258" s="20" t="s">
        <v>162</v>
      </c>
      <c r="E258" s="21" t="s">
        <v>1025</v>
      </c>
      <c r="F258" s="21" t="n">
        <v>37816</v>
      </c>
      <c r="G258" s="22" t="s">
        <v>471</v>
      </c>
      <c r="H258" s="23" t="n">
        <f aca="false">COUNTIF(CAL!U:AF,B258)</f>
        <v>4</v>
      </c>
      <c r="I258" s="22" t="n">
        <v>12</v>
      </c>
      <c r="J258" s="20"/>
    </row>
    <row r="259" customFormat="false" ht="15.75" hidden="false" customHeight="true" outlineLevel="0" collapsed="false">
      <c r="B259" s="19" t="n">
        <v>1681</v>
      </c>
      <c r="C259" s="20" t="s">
        <v>1026</v>
      </c>
      <c r="D259" s="20" t="s">
        <v>299</v>
      </c>
      <c r="E259" s="21" t="s">
        <v>1027</v>
      </c>
      <c r="F259" s="21" t="n">
        <v>31179</v>
      </c>
      <c r="G259" s="22" t="s">
        <v>471</v>
      </c>
      <c r="H259" s="23" t="n">
        <f aca="false">COUNTIF(CAL!U:AF,B259)</f>
        <v>4</v>
      </c>
      <c r="I259" s="22" t="n">
        <v>12</v>
      </c>
      <c r="J259" s="20"/>
    </row>
    <row r="260" customFormat="false" ht="15.75" hidden="false" customHeight="true" outlineLevel="0" collapsed="false">
      <c r="B260" s="19" t="n">
        <v>2767</v>
      </c>
      <c r="C260" s="20" t="s">
        <v>1028</v>
      </c>
      <c r="D260" s="20" t="s">
        <v>343</v>
      </c>
      <c r="E260" s="21" t="s">
        <v>1029</v>
      </c>
      <c r="F260" s="21" t="n">
        <v>34908</v>
      </c>
      <c r="G260" s="22" t="s">
        <v>471</v>
      </c>
      <c r="H260" s="23" t="n">
        <f aca="false">COUNTIF(CAL!U:AF,B260)</f>
        <v>4</v>
      </c>
      <c r="I260" s="22" t="n">
        <v>12</v>
      </c>
      <c r="J260" s="20"/>
    </row>
    <row r="261" customFormat="false" ht="15.75" hidden="false" customHeight="true" outlineLevel="0" collapsed="false">
      <c r="B261" s="19" t="n">
        <v>1571</v>
      </c>
      <c r="C261" s="20" t="s">
        <v>1030</v>
      </c>
      <c r="D261" s="20" t="s">
        <v>226</v>
      </c>
      <c r="E261" s="21" t="s">
        <v>1031</v>
      </c>
      <c r="F261" s="21" t="n">
        <v>37392</v>
      </c>
      <c r="G261" s="22" t="s">
        <v>471</v>
      </c>
      <c r="H261" s="23" t="n">
        <f aca="false">COUNTIF(CAL!U:AF,B261)</f>
        <v>4</v>
      </c>
      <c r="I261" s="22" t="n">
        <v>12</v>
      </c>
      <c r="J261" s="20" t="s">
        <v>1032</v>
      </c>
    </row>
    <row r="262" customFormat="false" ht="15.75" hidden="false" customHeight="true" outlineLevel="0" collapsed="false">
      <c r="B262" s="19" t="n">
        <v>2157</v>
      </c>
      <c r="C262" s="20" t="s">
        <v>1033</v>
      </c>
      <c r="D262" s="20" t="s">
        <v>311</v>
      </c>
      <c r="E262" s="21" t="s">
        <v>1034</v>
      </c>
      <c r="F262" s="21" t="n">
        <v>33257</v>
      </c>
      <c r="G262" s="22" t="s">
        <v>471</v>
      </c>
      <c r="H262" s="23" t="n">
        <f aca="false">COUNTIF(CAL!U:AF,B262)</f>
        <v>4</v>
      </c>
      <c r="I262" s="22" t="n">
        <v>12</v>
      </c>
      <c r="J262" s="20"/>
    </row>
    <row r="263" customFormat="false" ht="15.75" hidden="false" customHeight="true" outlineLevel="0" collapsed="false">
      <c r="B263" s="19" t="n">
        <v>2076</v>
      </c>
      <c r="C263" s="20" t="s">
        <v>1035</v>
      </c>
      <c r="D263" s="20" t="s">
        <v>266</v>
      </c>
      <c r="E263" s="21" t="s">
        <v>1036</v>
      </c>
      <c r="F263" s="21" t="n">
        <v>35972</v>
      </c>
      <c r="G263" s="22" t="s">
        <v>471</v>
      </c>
      <c r="H263" s="23" t="n">
        <f aca="false">COUNTIF(CAL!U:AF,B263)</f>
        <v>4</v>
      </c>
      <c r="I263" s="22" t="n">
        <v>12</v>
      </c>
      <c r="J263" s="20"/>
    </row>
    <row r="264" customFormat="false" ht="15.75" hidden="false" customHeight="true" outlineLevel="0" collapsed="false">
      <c r="B264" s="19" t="n">
        <v>1040</v>
      </c>
      <c r="C264" s="20" t="s">
        <v>1037</v>
      </c>
      <c r="D264" s="20" t="s">
        <v>67</v>
      </c>
      <c r="E264" s="24" t="s">
        <v>1038</v>
      </c>
      <c r="F264" s="21" t="n">
        <v>39676</v>
      </c>
      <c r="G264" s="22" t="s">
        <v>471</v>
      </c>
      <c r="H264" s="23" t="n">
        <f aca="false">COUNTIF(CAL!U:AF,B264)</f>
        <v>4</v>
      </c>
      <c r="I264" s="22" t="n">
        <v>13</v>
      </c>
      <c r="J264" s="20"/>
    </row>
    <row r="265" customFormat="false" ht="15.75" hidden="false" customHeight="true" outlineLevel="0" collapsed="false">
      <c r="B265" s="19" t="n">
        <v>3113</v>
      </c>
      <c r="C265" s="20" t="s">
        <v>1039</v>
      </c>
      <c r="D265" s="20" t="s">
        <v>372</v>
      </c>
      <c r="E265" s="21" t="s">
        <v>1040</v>
      </c>
      <c r="F265" s="21" t="n">
        <v>38481</v>
      </c>
      <c r="G265" s="22" t="s">
        <v>471</v>
      </c>
      <c r="H265" s="23" t="n">
        <f aca="false">COUNTIF(CAL!U:AF,B265)</f>
        <v>4</v>
      </c>
      <c r="I265" s="22" t="n">
        <v>13</v>
      </c>
      <c r="J265" s="20"/>
    </row>
    <row r="266" customFormat="false" ht="15.75" hidden="false" customHeight="true" outlineLevel="0" collapsed="false">
      <c r="B266" s="19" t="n">
        <v>2259</v>
      </c>
      <c r="C266" s="20" t="s">
        <v>1041</v>
      </c>
      <c r="D266" s="20" t="s">
        <v>246</v>
      </c>
      <c r="E266" s="21" t="s">
        <v>1042</v>
      </c>
      <c r="F266" s="21" t="n">
        <v>35099</v>
      </c>
      <c r="G266" s="22" t="s">
        <v>471</v>
      </c>
      <c r="H266" s="23" t="n">
        <f aca="false">COUNTIF(CAL!U:AF,B266)</f>
        <v>4</v>
      </c>
      <c r="I266" s="22" t="n">
        <v>13</v>
      </c>
      <c r="J266" s="20"/>
    </row>
    <row r="267" customFormat="false" ht="15.75" hidden="false" customHeight="true" outlineLevel="0" collapsed="false">
      <c r="B267" s="19" t="n">
        <v>2162</v>
      </c>
      <c r="C267" s="20" t="s">
        <v>1043</v>
      </c>
      <c r="D267" s="20" t="s">
        <v>334</v>
      </c>
      <c r="E267" s="21" t="s">
        <v>1044</v>
      </c>
      <c r="F267" s="21" t="n">
        <v>35828</v>
      </c>
      <c r="G267" s="22" t="s">
        <v>471</v>
      </c>
      <c r="H267" s="23" t="n">
        <f aca="false">COUNTIF(CAL!U:AF,B267)</f>
        <v>4</v>
      </c>
      <c r="I267" s="22" t="n">
        <v>13</v>
      </c>
      <c r="J267" s="20"/>
    </row>
    <row r="268" customFormat="false" ht="15.75" hidden="false" customHeight="true" outlineLevel="0" collapsed="false">
      <c r="B268" s="19" t="n">
        <v>1768</v>
      </c>
      <c r="C268" s="20" t="s">
        <v>1045</v>
      </c>
      <c r="D268" s="20" t="s">
        <v>234</v>
      </c>
      <c r="E268" s="21" t="s">
        <v>1046</v>
      </c>
      <c r="F268" s="21" t="n">
        <v>36168</v>
      </c>
      <c r="G268" s="22" t="s">
        <v>471</v>
      </c>
      <c r="H268" s="23" t="n">
        <f aca="false">COUNTIF(CAL!U:AF,B268)</f>
        <v>4</v>
      </c>
      <c r="I268" s="22" t="n">
        <v>13</v>
      </c>
      <c r="J268" s="20"/>
    </row>
    <row r="269" customFormat="false" ht="15.75" hidden="false" customHeight="true" outlineLevel="0" collapsed="false">
      <c r="B269" s="19" t="n">
        <v>2229</v>
      </c>
      <c r="C269" s="20" t="s">
        <v>1047</v>
      </c>
      <c r="D269" s="20" t="s">
        <v>339</v>
      </c>
      <c r="E269" s="21" t="s">
        <v>1048</v>
      </c>
      <c r="F269" s="21" t="n">
        <v>35140</v>
      </c>
      <c r="G269" s="22" t="s">
        <v>471</v>
      </c>
      <c r="H269" s="23" t="n">
        <f aca="false">COUNTIF(CAL!U:AF,B269)</f>
        <v>4</v>
      </c>
      <c r="I269" s="22" t="n">
        <v>13</v>
      </c>
      <c r="J269" s="20"/>
    </row>
    <row r="270" customFormat="false" ht="15.75" hidden="false" customHeight="true" outlineLevel="0" collapsed="false">
      <c r="B270" s="19" t="n">
        <v>1152</v>
      </c>
      <c r="C270" s="20" t="s">
        <v>1049</v>
      </c>
      <c r="D270" s="20" t="s">
        <v>418</v>
      </c>
      <c r="E270" s="21" t="s">
        <v>1050</v>
      </c>
      <c r="F270" s="21" t="n">
        <v>38169</v>
      </c>
      <c r="G270" s="22" t="s">
        <v>471</v>
      </c>
      <c r="H270" s="23" t="n">
        <f aca="false">COUNTIF(CAL!U:AF,B270)</f>
        <v>4</v>
      </c>
      <c r="I270" s="22" t="n">
        <v>13</v>
      </c>
      <c r="J270" s="20" t="s">
        <v>1051</v>
      </c>
    </row>
    <row r="271" customFormat="false" ht="15.75" hidden="false" customHeight="true" outlineLevel="0" collapsed="false">
      <c r="B271" s="19" t="n">
        <v>1649</v>
      </c>
      <c r="C271" s="20" t="s">
        <v>1052</v>
      </c>
      <c r="D271" s="20" t="s">
        <v>93</v>
      </c>
      <c r="E271" s="21" t="s">
        <v>1053</v>
      </c>
      <c r="F271" s="21" t="n">
        <v>37398</v>
      </c>
      <c r="G271" s="22" t="s">
        <v>471</v>
      </c>
      <c r="H271" s="23" t="n">
        <f aca="false">COUNTIF(CAL!U:AF,B271)</f>
        <v>4</v>
      </c>
      <c r="I271" s="22" t="n">
        <v>13</v>
      </c>
      <c r="J271" s="20"/>
    </row>
    <row r="272" customFormat="false" ht="15.75" hidden="false" customHeight="true" outlineLevel="0" collapsed="false">
      <c r="B272" s="19" t="n">
        <v>1414</v>
      </c>
      <c r="C272" s="20" t="s">
        <v>1054</v>
      </c>
      <c r="D272" s="20" t="s">
        <v>253</v>
      </c>
      <c r="E272" s="21" t="s">
        <v>1055</v>
      </c>
      <c r="F272" s="21" t="n">
        <v>35986</v>
      </c>
      <c r="G272" s="22" t="s">
        <v>471</v>
      </c>
      <c r="H272" s="23" t="n">
        <f aca="false">COUNTIF(CAL!U:AF,B272)</f>
        <v>4</v>
      </c>
      <c r="I272" s="22" t="n">
        <v>13</v>
      </c>
      <c r="J272" s="20"/>
    </row>
    <row r="273" customFormat="false" ht="15.75" hidden="false" customHeight="true" outlineLevel="0" collapsed="false">
      <c r="B273" s="19" t="n">
        <v>1263</v>
      </c>
      <c r="C273" s="20" t="s">
        <v>1056</v>
      </c>
      <c r="D273" s="20" t="s">
        <v>200</v>
      </c>
      <c r="E273" s="24" t="s">
        <v>1057</v>
      </c>
      <c r="F273" s="21" t="n">
        <v>35987</v>
      </c>
      <c r="G273" s="22" t="s">
        <v>471</v>
      </c>
      <c r="H273" s="23" t="n">
        <f aca="false">COUNTIF(CAL!U:AF,B273)</f>
        <v>4</v>
      </c>
      <c r="I273" s="22" t="n">
        <v>13</v>
      </c>
      <c r="J273" s="20" t="s">
        <v>1058</v>
      </c>
    </row>
    <row r="274" customFormat="false" ht="15.75" hidden="false" customHeight="true" outlineLevel="0" collapsed="false">
      <c r="B274" s="19" t="n">
        <v>1145</v>
      </c>
      <c r="C274" s="20" t="s">
        <v>1059</v>
      </c>
      <c r="D274" s="20" t="s">
        <v>197</v>
      </c>
      <c r="E274" s="21" t="s">
        <v>1060</v>
      </c>
      <c r="F274" s="21" t="n">
        <v>37275</v>
      </c>
      <c r="G274" s="22" t="s">
        <v>471</v>
      </c>
      <c r="H274" s="23" t="n">
        <f aca="false">COUNTIF(CAL!U:AF,B274)</f>
        <v>4</v>
      </c>
      <c r="I274" s="22" t="n">
        <v>13</v>
      </c>
      <c r="J274" s="20"/>
    </row>
    <row r="275" customFormat="false" ht="15.75" hidden="false" customHeight="true" outlineLevel="0" collapsed="false">
      <c r="B275" s="19" t="n">
        <v>2545</v>
      </c>
      <c r="C275" s="20" t="s">
        <v>880</v>
      </c>
      <c r="D275" s="20" t="s">
        <v>92</v>
      </c>
      <c r="E275" s="21" t="s">
        <v>1061</v>
      </c>
      <c r="F275" s="21" t="n">
        <v>34194</v>
      </c>
      <c r="G275" s="22" t="s">
        <v>471</v>
      </c>
      <c r="H275" s="23" t="n">
        <f aca="false">COUNTIF(CAL!U:AF,B275)</f>
        <v>4</v>
      </c>
      <c r="I275" s="22" t="n">
        <v>13</v>
      </c>
      <c r="J275" s="20"/>
    </row>
    <row r="276" customFormat="false" ht="15.75" hidden="false" customHeight="true" outlineLevel="0" collapsed="false">
      <c r="B276" s="19" t="n">
        <v>2871</v>
      </c>
      <c r="C276" s="20" t="s">
        <v>1062</v>
      </c>
      <c r="D276" s="20" t="s">
        <v>245</v>
      </c>
      <c r="E276" s="21" t="s">
        <v>1063</v>
      </c>
      <c r="F276" s="21" t="n">
        <v>34365</v>
      </c>
      <c r="G276" s="22" t="s">
        <v>471</v>
      </c>
      <c r="H276" s="23" t="n">
        <f aca="false">COUNTIF(CAL!U:AF,B276)</f>
        <v>4</v>
      </c>
      <c r="I276" s="22" t="n">
        <v>13</v>
      </c>
      <c r="J276" s="20" t="s">
        <v>1064</v>
      </c>
    </row>
    <row r="277" customFormat="false" ht="15.75" hidden="false" customHeight="true" outlineLevel="0" collapsed="false">
      <c r="B277" s="19" t="n">
        <v>1291</v>
      </c>
      <c r="C277" s="20" t="s">
        <v>1065</v>
      </c>
      <c r="D277" s="20" t="s">
        <v>176</v>
      </c>
      <c r="E277" s="21" t="s">
        <v>1066</v>
      </c>
      <c r="F277" s="21" t="n">
        <v>39608</v>
      </c>
      <c r="G277" s="22" t="s">
        <v>471</v>
      </c>
      <c r="H277" s="23" t="n">
        <f aca="false">COUNTIF(CAL!U:AF,B277)</f>
        <v>4</v>
      </c>
      <c r="I277" s="22" t="n">
        <v>14</v>
      </c>
      <c r="J277" s="20"/>
    </row>
    <row r="278" customFormat="false" ht="15.75" hidden="false" customHeight="true" outlineLevel="0" collapsed="false">
      <c r="B278" s="19" t="n">
        <v>1734</v>
      </c>
      <c r="C278" s="20" t="s">
        <v>1067</v>
      </c>
      <c r="D278" s="20" t="s">
        <v>107</v>
      </c>
      <c r="E278" s="21" t="s">
        <v>1068</v>
      </c>
      <c r="F278" s="21" t="n">
        <v>36526</v>
      </c>
      <c r="G278" s="22" t="s">
        <v>471</v>
      </c>
      <c r="H278" s="23" t="n">
        <f aca="false">COUNTIF(CAL!U:AF,B278)</f>
        <v>4</v>
      </c>
      <c r="I278" s="22" t="n">
        <v>14</v>
      </c>
      <c r="J278" s="20" t="s">
        <v>1069</v>
      </c>
    </row>
    <row r="279" customFormat="false" ht="15.75" hidden="false" customHeight="true" outlineLevel="0" collapsed="false">
      <c r="B279" s="19" t="n">
        <v>1210</v>
      </c>
      <c r="C279" s="20" t="s">
        <v>1070</v>
      </c>
      <c r="D279" s="20" t="s">
        <v>176</v>
      </c>
      <c r="E279" s="21" t="s">
        <v>1071</v>
      </c>
      <c r="F279" s="21" t="n">
        <v>35968</v>
      </c>
      <c r="G279" s="22" t="s">
        <v>471</v>
      </c>
      <c r="H279" s="23" t="n">
        <f aca="false">COUNTIF(CAL!U:AF,B279)</f>
        <v>4</v>
      </c>
      <c r="I279" s="22" t="n">
        <v>14</v>
      </c>
      <c r="J279" s="20"/>
    </row>
    <row r="280" customFormat="false" ht="15.75" hidden="false" customHeight="true" outlineLevel="0" collapsed="false">
      <c r="B280" s="19" t="n">
        <v>1426</v>
      </c>
      <c r="C280" s="20" t="s">
        <v>1072</v>
      </c>
      <c r="D280" s="20" t="s">
        <v>47</v>
      </c>
      <c r="E280" s="21" t="s">
        <v>1073</v>
      </c>
      <c r="F280" s="21" t="n">
        <v>34843</v>
      </c>
      <c r="G280" s="22" t="s">
        <v>471</v>
      </c>
      <c r="H280" s="23" t="n">
        <f aca="false">COUNTIF(CAL!U:AF,B280)</f>
        <v>4</v>
      </c>
      <c r="I280" s="22" t="n">
        <v>14</v>
      </c>
      <c r="J280" s="20"/>
    </row>
    <row r="281" customFormat="false" ht="15.75" hidden="false" customHeight="true" outlineLevel="0" collapsed="false">
      <c r="B281" s="19" t="n">
        <v>1614</v>
      </c>
      <c r="C281" s="20" t="s">
        <v>1074</v>
      </c>
      <c r="D281" s="20" t="s">
        <v>176</v>
      </c>
      <c r="E281" s="24" t="s">
        <v>1075</v>
      </c>
      <c r="F281" s="21" t="n">
        <v>36401</v>
      </c>
      <c r="G281" s="22" t="s">
        <v>471</v>
      </c>
      <c r="H281" s="23" t="n">
        <f aca="false">COUNTIF(CAL!U:AF,B281)</f>
        <v>4</v>
      </c>
      <c r="I281" s="22" t="n">
        <v>14</v>
      </c>
      <c r="J281" s="20"/>
    </row>
    <row r="282" customFormat="false" ht="15.75" hidden="false" customHeight="true" outlineLevel="0" collapsed="false">
      <c r="B282" s="19" t="n">
        <v>1568</v>
      </c>
      <c r="C282" s="20" t="s">
        <v>1076</v>
      </c>
      <c r="D282" s="20" t="s">
        <v>290</v>
      </c>
      <c r="E282" s="24" t="s">
        <v>1077</v>
      </c>
      <c r="F282" s="21" t="n">
        <v>33231</v>
      </c>
      <c r="G282" s="22" t="s">
        <v>471</v>
      </c>
      <c r="H282" s="23" t="n">
        <f aca="false">COUNTIF(CAL!U:AF,B282)</f>
        <v>4</v>
      </c>
      <c r="I282" s="22" t="n">
        <v>14</v>
      </c>
      <c r="J282" s="20" t="s">
        <v>1078</v>
      </c>
    </row>
    <row r="283" customFormat="false" ht="15.75" hidden="false" customHeight="true" outlineLevel="0" collapsed="false">
      <c r="B283" s="19" t="n">
        <v>2094</v>
      </c>
      <c r="C283" s="20" t="s">
        <v>1079</v>
      </c>
      <c r="D283" s="20" t="s">
        <v>57</v>
      </c>
      <c r="E283" s="21" t="s">
        <v>1080</v>
      </c>
      <c r="F283" s="21" t="n">
        <v>38947</v>
      </c>
      <c r="G283" s="22" t="s">
        <v>471</v>
      </c>
      <c r="H283" s="23" t="n">
        <f aca="false">COUNTIF(CAL!U:AF,B283)</f>
        <v>4</v>
      </c>
      <c r="I283" s="22" t="n">
        <v>14</v>
      </c>
      <c r="J283" s="20"/>
    </row>
    <row r="284" customFormat="false" ht="15.75" hidden="false" customHeight="true" outlineLevel="0" collapsed="false">
      <c r="B284" s="19" t="n">
        <v>1336</v>
      </c>
      <c r="C284" s="20" t="s">
        <v>1081</v>
      </c>
      <c r="D284" s="20" t="s">
        <v>236</v>
      </c>
      <c r="E284" s="21" t="s">
        <v>1082</v>
      </c>
      <c r="F284" s="21" t="n">
        <v>36875</v>
      </c>
      <c r="G284" s="22" t="s">
        <v>471</v>
      </c>
      <c r="H284" s="23" t="n">
        <f aca="false">COUNTIF(CAL!U:AF,B284)</f>
        <v>4</v>
      </c>
      <c r="I284" s="22" t="n">
        <v>14</v>
      </c>
      <c r="J284" s="20"/>
    </row>
    <row r="285" customFormat="false" ht="15.75" hidden="false" customHeight="true" outlineLevel="0" collapsed="false">
      <c r="B285" s="19" t="n">
        <v>2788</v>
      </c>
      <c r="C285" s="20" t="s">
        <v>1083</v>
      </c>
      <c r="D285" s="20" t="s">
        <v>255</v>
      </c>
      <c r="E285" s="21" t="s">
        <v>1084</v>
      </c>
      <c r="F285" s="21" t="n">
        <v>36100</v>
      </c>
      <c r="G285" s="22" t="s">
        <v>1017</v>
      </c>
      <c r="H285" s="23" t="n">
        <f aca="false">COUNTIF(CAL!U:AF,B285)</f>
        <v>4</v>
      </c>
      <c r="I285" s="22" t="n">
        <v>15</v>
      </c>
      <c r="J285" s="20"/>
    </row>
    <row r="286" customFormat="false" ht="15.75" hidden="false" customHeight="true" outlineLevel="0" collapsed="false">
      <c r="B286" s="19" t="n">
        <v>1334</v>
      </c>
      <c r="C286" s="20" t="s">
        <v>1085</v>
      </c>
      <c r="D286" s="20" t="s">
        <v>237</v>
      </c>
      <c r="E286" s="21" t="s">
        <v>1086</v>
      </c>
      <c r="F286" s="21" t="n">
        <v>34754</v>
      </c>
      <c r="G286" s="22" t="s">
        <v>471</v>
      </c>
      <c r="H286" s="23" t="n">
        <f aca="false">COUNTIF(CAL!U:AF,B286)</f>
        <v>4</v>
      </c>
      <c r="I286" s="22" t="n">
        <v>15</v>
      </c>
      <c r="J286" s="20"/>
    </row>
    <row r="287" customFormat="false" ht="15.75" hidden="false" customHeight="true" outlineLevel="0" collapsed="false">
      <c r="B287" s="19" t="n">
        <v>1324</v>
      </c>
      <c r="C287" s="20" t="s">
        <v>1087</v>
      </c>
      <c r="D287" s="20" t="s">
        <v>193</v>
      </c>
      <c r="E287" s="21" t="s">
        <v>1088</v>
      </c>
      <c r="F287" s="21" t="n">
        <v>36290</v>
      </c>
      <c r="G287" s="22" t="s">
        <v>471</v>
      </c>
      <c r="H287" s="23" t="n">
        <f aca="false">COUNTIF(CAL!U:AF,B287)</f>
        <v>4</v>
      </c>
      <c r="I287" s="22" t="n">
        <v>15</v>
      </c>
      <c r="J287" s="20"/>
    </row>
    <row r="288" customFormat="false" ht="15.75" hidden="false" customHeight="true" outlineLevel="0" collapsed="false">
      <c r="B288" s="19" t="n">
        <v>2600</v>
      </c>
      <c r="C288" s="20" t="s">
        <v>1089</v>
      </c>
      <c r="D288" s="20" t="s">
        <v>334</v>
      </c>
      <c r="E288" s="24" t="s">
        <v>1090</v>
      </c>
      <c r="F288" s="21" t="n">
        <v>37334</v>
      </c>
      <c r="G288" s="22" t="s">
        <v>471</v>
      </c>
      <c r="H288" s="23" t="n">
        <f aca="false">COUNTIF(CAL!U:AF,B288)</f>
        <v>4</v>
      </c>
      <c r="I288" s="22" t="n">
        <v>15</v>
      </c>
      <c r="J288" s="20"/>
    </row>
    <row r="289" customFormat="false" ht="15.75" hidden="false" customHeight="true" outlineLevel="0" collapsed="false">
      <c r="B289" s="19" t="n">
        <v>1189</v>
      </c>
      <c r="C289" s="20" t="s">
        <v>1091</v>
      </c>
      <c r="D289" s="20" t="s">
        <v>172</v>
      </c>
      <c r="E289" s="21" t="s">
        <v>1092</v>
      </c>
      <c r="F289" s="21" t="n">
        <v>37469</v>
      </c>
      <c r="G289" s="22" t="s">
        <v>471</v>
      </c>
      <c r="H289" s="23" t="n">
        <f aca="false">COUNTIF(CAL!U:AF,B289)</f>
        <v>4</v>
      </c>
      <c r="I289" s="22" t="n">
        <v>15</v>
      </c>
      <c r="J289" s="20"/>
    </row>
    <row r="290" customFormat="false" ht="15.75" hidden="false" customHeight="true" outlineLevel="0" collapsed="false">
      <c r="B290" s="19" t="n">
        <v>1779</v>
      </c>
      <c r="C290" s="20" t="s">
        <v>1093</v>
      </c>
      <c r="D290" s="20" t="s">
        <v>267</v>
      </c>
      <c r="E290" s="21" t="s">
        <v>1094</v>
      </c>
      <c r="F290" s="21" t="n">
        <v>33953</v>
      </c>
      <c r="G290" s="22" t="s">
        <v>471</v>
      </c>
      <c r="H290" s="23" t="n">
        <f aca="false">COUNTIF(CAL!U:AF,B290)</f>
        <v>4</v>
      </c>
      <c r="I290" s="22" t="n">
        <v>16</v>
      </c>
      <c r="J290" s="20"/>
    </row>
    <row r="291" customFormat="false" ht="15.75" hidden="false" customHeight="true" outlineLevel="0" collapsed="false">
      <c r="B291" s="19" t="n">
        <v>1062</v>
      </c>
      <c r="C291" s="20" t="s">
        <v>1095</v>
      </c>
      <c r="D291" s="20" t="s">
        <v>149</v>
      </c>
      <c r="E291" s="21" t="s">
        <v>1096</v>
      </c>
      <c r="F291" s="21" t="n">
        <v>36395</v>
      </c>
      <c r="G291" s="22" t="s">
        <v>1097</v>
      </c>
      <c r="H291" s="23" t="n">
        <f aca="false">COUNTIF(CAL!U:AF,B291)</f>
        <v>4</v>
      </c>
      <c r="I291" s="22" t="n">
        <v>16</v>
      </c>
      <c r="J291" s="20"/>
    </row>
    <row r="292" customFormat="false" ht="15.75" hidden="false" customHeight="true" outlineLevel="0" collapsed="false">
      <c r="B292" s="19" t="n">
        <v>1958</v>
      </c>
      <c r="C292" s="20" t="s">
        <v>1098</v>
      </c>
      <c r="D292" s="20" t="s">
        <v>88</v>
      </c>
      <c r="E292" s="21" t="s">
        <v>1099</v>
      </c>
      <c r="F292" s="21" t="n">
        <v>36078</v>
      </c>
      <c r="G292" s="22" t="s">
        <v>471</v>
      </c>
      <c r="H292" s="23" t="n">
        <f aca="false">COUNTIF(CAL!U:AF,B292)</f>
        <v>4</v>
      </c>
      <c r="I292" s="22" t="n">
        <v>16</v>
      </c>
      <c r="J292" s="20"/>
    </row>
    <row r="293" customFormat="false" ht="15.75" hidden="false" customHeight="true" outlineLevel="0" collapsed="false">
      <c r="B293" s="19" t="n">
        <v>1286</v>
      </c>
      <c r="C293" s="20" t="s">
        <v>1100</v>
      </c>
      <c r="D293" s="20" t="s">
        <v>134</v>
      </c>
      <c r="E293" s="21" t="s">
        <v>1101</v>
      </c>
      <c r="F293" s="21" t="n">
        <v>37334</v>
      </c>
      <c r="G293" s="22" t="s">
        <v>471</v>
      </c>
      <c r="H293" s="23" t="n">
        <f aca="false">COUNTIF(CAL!U:AF,B293)</f>
        <v>4</v>
      </c>
      <c r="I293" s="22" t="n">
        <v>16</v>
      </c>
      <c r="J293" s="20" t="s">
        <v>1102</v>
      </c>
    </row>
    <row r="294" customFormat="false" ht="15.75" hidden="false" customHeight="true" outlineLevel="0" collapsed="false">
      <c r="B294" s="19" t="n">
        <v>2477</v>
      </c>
      <c r="C294" s="20" t="s">
        <v>1103</v>
      </c>
      <c r="D294" s="20" t="s">
        <v>48</v>
      </c>
      <c r="E294" s="21" t="s">
        <v>1104</v>
      </c>
      <c r="F294" s="21" t="n">
        <v>35129</v>
      </c>
      <c r="G294" s="22" t="s">
        <v>471</v>
      </c>
      <c r="H294" s="23" t="n">
        <f aca="false">COUNTIF(CAL!U:AF,B294)</f>
        <v>4</v>
      </c>
      <c r="I294" s="22" t="n">
        <v>16</v>
      </c>
      <c r="J294" s="20"/>
    </row>
    <row r="295" customFormat="false" ht="15.75" hidden="false" customHeight="true" outlineLevel="0" collapsed="false">
      <c r="B295" s="19" t="n">
        <v>2948</v>
      </c>
      <c r="C295" s="20" t="s">
        <v>1105</v>
      </c>
      <c r="D295" s="20" t="s">
        <v>304</v>
      </c>
      <c r="E295" s="21" t="s">
        <v>1106</v>
      </c>
      <c r="F295" s="21" t="n">
        <v>34803</v>
      </c>
      <c r="G295" s="22" t="s">
        <v>471</v>
      </c>
      <c r="H295" s="23" t="n">
        <f aca="false">COUNTIF(CAL!U:AF,B295)</f>
        <v>4</v>
      </c>
      <c r="I295" s="22" t="n">
        <v>16</v>
      </c>
      <c r="J295" s="20"/>
    </row>
    <row r="296" customFormat="false" ht="15.75" hidden="false" customHeight="true" outlineLevel="0" collapsed="false">
      <c r="B296" s="19" t="n">
        <v>3158</v>
      </c>
      <c r="C296" s="20" t="s">
        <v>1107</v>
      </c>
      <c r="D296" s="20" t="s">
        <v>339</v>
      </c>
      <c r="E296" s="21" t="s">
        <v>1108</v>
      </c>
      <c r="F296" s="21" t="n">
        <v>36110</v>
      </c>
      <c r="G296" s="22" t="s">
        <v>471</v>
      </c>
      <c r="H296" s="23" t="n">
        <f aca="false">COUNTIF(CAL!U:AF,B296)</f>
        <v>4</v>
      </c>
      <c r="I296" s="22" t="n">
        <v>16</v>
      </c>
      <c r="J296" s="20"/>
    </row>
    <row r="297" customFormat="false" ht="15.75" hidden="false" customHeight="true" outlineLevel="0" collapsed="false">
      <c r="B297" s="19" t="n">
        <v>2455</v>
      </c>
      <c r="C297" s="20" t="s">
        <v>1109</v>
      </c>
      <c r="D297" s="20" t="s">
        <v>165</v>
      </c>
      <c r="E297" s="21" t="s">
        <v>1110</v>
      </c>
      <c r="F297" s="21" t="n">
        <v>34828</v>
      </c>
      <c r="G297" s="22" t="s">
        <v>471</v>
      </c>
      <c r="H297" s="23" t="n">
        <f aca="false">COUNTIF(CAL!U:AF,B297)</f>
        <v>4</v>
      </c>
      <c r="I297" s="22" t="n">
        <v>17</v>
      </c>
      <c r="J297" s="20"/>
    </row>
    <row r="298" customFormat="false" ht="15.75" hidden="false" customHeight="true" outlineLevel="0" collapsed="false">
      <c r="B298" s="19" t="n">
        <v>2936</v>
      </c>
      <c r="C298" s="20" t="s">
        <v>817</v>
      </c>
      <c r="D298" s="20" t="s">
        <v>88</v>
      </c>
      <c r="E298" s="21" t="s">
        <v>1111</v>
      </c>
      <c r="F298" s="21" t="n">
        <v>35774</v>
      </c>
      <c r="G298" s="22" t="s">
        <v>471</v>
      </c>
      <c r="H298" s="23" t="n">
        <f aca="false">COUNTIF(CAL!U:AF,B298)</f>
        <v>4</v>
      </c>
      <c r="I298" s="22" t="n">
        <v>17</v>
      </c>
      <c r="J298" s="20"/>
    </row>
    <row r="299" customFormat="false" ht="15.75" hidden="false" customHeight="true" outlineLevel="0" collapsed="false">
      <c r="B299" s="19" t="n">
        <v>2184</v>
      </c>
      <c r="C299" s="20" t="s">
        <v>1112</v>
      </c>
      <c r="D299" s="20" t="s">
        <v>116</v>
      </c>
      <c r="E299" s="21" t="s">
        <v>1113</v>
      </c>
      <c r="F299" s="21" t="n">
        <v>35190</v>
      </c>
      <c r="G299" s="22" t="s">
        <v>471</v>
      </c>
      <c r="H299" s="23" t="n">
        <f aca="false">COUNTIF(CAL!U:AF,B299)</f>
        <v>4</v>
      </c>
      <c r="I299" s="22" t="n">
        <v>17</v>
      </c>
      <c r="J299" s="20"/>
    </row>
    <row r="300" customFormat="false" ht="15.75" hidden="false" customHeight="true" outlineLevel="0" collapsed="false">
      <c r="B300" s="19" t="n">
        <v>2750</v>
      </c>
      <c r="C300" s="20" t="s">
        <v>756</v>
      </c>
      <c r="D300" s="20" t="s">
        <v>88</v>
      </c>
      <c r="E300" s="21" t="s">
        <v>1114</v>
      </c>
      <c r="F300" s="21" t="n">
        <v>35721</v>
      </c>
      <c r="G300" s="22" t="s">
        <v>471</v>
      </c>
      <c r="H300" s="23" t="n">
        <f aca="false">COUNTIF(CAL!U:AF,B300)</f>
        <v>4</v>
      </c>
      <c r="I300" s="22" t="n">
        <v>17</v>
      </c>
      <c r="J300" s="20"/>
    </row>
    <row r="301" customFormat="false" ht="15.75" hidden="false" customHeight="true" outlineLevel="0" collapsed="false">
      <c r="B301" s="19" t="n">
        <v>2709</v>
      </c>
      <c r="C301" s="20" t="s">
        <v>1115</v>
      </c>
      <c r="D301" s="20" t="s">
        <v>279</v>
      </c>
      <c r="E301" s="21" t="s">
        <v>1116</v>
      </c>
      <c r="F301" s="21" t="n">
        <v>33615</v>
      </c>
      <c r="G301" s="22" t="s">
        <v>471</v>
      </c>
      <c r="H301" s="23" t="n">
        <f aca="false">COUNTIF(CAL!U:AF,B301)</f>
        <v>4</v>
      </c>
      <c r="I301" s="22" t="n">
        <v>17</v>
      </c>
      <c r="J301" s="20"/>
    </row>
    <row r="302" customFormat="false" ht="15.75" hidden="false" customHeight="true" outlineLevel="0" collapsed="false">
      <c r="B302" s="19" t="n">
        <v>2226</v>
      </c>
      <c r="C302" s="20" t="s">
        <v>1117</v>
      </c>
      <c r="D302" s="20" t="s">
        <v>76</v>
      </c>
      <c r="E302" s="21" t="s">
        <v>1118</v>
      </c>
      <c r="F302" s="21" t="n">
        <v>36617</v>
      </c>
      <c r="G302" s="22" t="s">
        <v>471</v>
      </c>
      <c r="H302" s="23" t="n">
        <f aca="false">COUNTIF(CAL!U:AF,B302)</f>
        <v>4</v>
      </c>
      <c r="I302" s="22" t="n">
        <v>17</v>
      </c>
      <c r="J302" s="20"/>
    </row>
    <row r="303" customFormat="false" ht="15.75" hidden="false" customHeight="true" outlineLevel="0" collapsed="false">
      <c r="B303" s="19" t="n">
        <v>1110</v>
      </c>
      <c r="C303" s="20" t="s">
        <v>1119</v>
      </c>
      <c r="D303" s="20" t="s">
        <v>151</v>
      </c>
      <c r="E303" s="21" t="s">
        <v>1120</v>
      </c>
      <c r="F303" s="21" t="n">
        <v>35608</v>
      </c>
      <c r="G303" s="22" t="s">
        <v>471</v>
      </c>
      <c r="H303" s="23" t="n">
        <f aca="false">COUNTIF(CAL!U:AF,B303)</f>
        <v>4</v>
      </c>
      <c r="I303" s="22" t="n">
        <v>17</v>
      </c>
      <c r="J303" s="20"/>
    </row>
    <row r="304" customFormat="false" ht="15.75" hidden="false" customHeight="true" outlineLevel="0" collapsed="false">
      <c r="B304" s="19" t="n">
        <v>3219</v>
      </c>
      <c r="C304" s="20" t="s">
        <v>1121</v>
      </c>
      <c r="D304" s="20" t="s">
        <v>172</v>
      </c>
      <c r="E304" s="21" t="s">
        <v>1122</v>
      </c>
      <c r="F304" s="21" t="n">
        <v>37037</v>
      </c>
      <c r="G304" s="22" t="s">
        <v>471</v>
      </c>
      <c r="H304" s="23" t="n">
        <f aca="false">COUNTIF(CAL!U:AF,B304)</f>
        <v>4</v>
      </c>
      <c r="I304" s="22" t="n">
        <v>18</v>
      </c>
      <c r="J304" s="20"/>
    </row>
    <row r="305" customFormat="false" ht="15.75" hidden="false" customHeight="true" outlineLevel="0" collapsed="false">
      <c r="B305" s="19" t="n">
        <v>1359</v>
      </c>
      <c r="C305" s="20" t="s">
        <v>1123</v>
      </c>
      <c r="D305" s="20" t="s">
        <v>235</v>
      </c>
      <c r="E305" s="21" t="s">
        <v>1124</v>
      </c>
      <c r="F305" s="21" t="n">
        <v>34107</v>
      </c>
      <c r="G305" s="22" t="s">
        <v>471</v>
      </c>
      <c r="H305" s="23" t="n">
        <f aca="false">COUNTIF(CAL!U:AF,B305)</f>
        <v>4</v>
      </c>
      <c r="I305" s="22" t="n">
        <v>19</v>
      </c>
      <c r="J305" s="20"/>
    </row>
    <row r="306" customFormat="false" ht="15.75" hidden="false" customHeight="true" outlineLevel="0" collapsed="false">
      <c r="B306" s="19" t="n">
        <v>1240</v>
      </c>
      <c r="C306" s="20" t="s">
        <v>1125</v>
      </c>
      <c r="D306" s="20" t="s">
        <v>163</v>
      </c>
      <c r="E306" s="24" t="s">
        <v>1126</v>
      </c>
      <c r="F306" s="21" t="n">
        <v>38096</v>
      </c>
      <c r="G306" s="22" t="s">
        <v>471</v>
      </c>
      <c r="H306" s="23" t="n">
        <f aca="false">COUNTIF(CAL!U:AF,B306)</f>
        <v>4</v>
      </c>
      <c r="I306" s="22" t="n">
        <v>20</v>
      </c>
      <c r="J306" s="20"/>
    </row>
    <row r="307" customFormat="false" ht="15.75" hidden="false" customHeight="true" outlineLevel="0" collapsed="false">
      <c r="B307" s="19" t="n">
        <v>1534</v>
      </c>
      <c r="C307" s="20" t="s">
        <v>1028</v>
      </c>
      <c r="D307" s="20" t="s">
        <v>38</v>
      </c>
      <c r="E307" s="21" t="s">
        <v>1127</v>
      </c>
      <c r="F307" s="21" t="n">
        <v>34858</v>
      </c>
      <c r="G307" s="22" t="s">
        <v>471</v>
      </c>
      <c r="H307" s="23" t="n">
        <f aca="false">COUNTIF(CAL!U:AF,B307)</f>
        <v>4</v>
      </c>
      <c r="I307" s="22" t="n">
        <v>20</v>
      </c>
      <c r="J307" s="20"/>
    </row>
    <row r="308" customFormat="false" ht="15.75" hidden="false" customHeight="true" outlineLevel="0" collapsed="false">
      <c r="B308" s="19" t="n">
        <v>1961</v>
      </c>
      <c r="C308" s="20" t="s">
        <v>1128</v>
      </c>
      <c r="D308" s="20" t="s">
        <v>38</v>
      </c>
      <c r="E308" s="24" t="s">
        <v>1129</v>
      </c>
      <c r="F308" s="21" t="n">
        <v>34604</v>
      </c>
      <c r="G308" s="22" t="s">
        <v>884</v>
      </c>
      <c r="H308" s="23" t="n">
        <f aca="false">COUNTIF(CAL!U:AF,B308)</f>
        <v>4</v>
      </c>
      <c r="I308" s="22" t="n">
        <v>21</v>
      </c>
      <c r="J308" s="20"/>
    </row>
    <row r="309" customFormat="false" ht="15.75" hidden="false" customHeight="true" outlineLevel="0" collapsed="false">
      <c r="B309" s="19" t="n">
        <v>1963</v>
      </c>
      <c r="C309" s="20" t="s">
        <v>1130</v>
      </c>
      <c r="D309" s="20" t="s">
        <v>38</v>
      </c>
      <c r="E309" s="21" t="s">
        <v>1131</v>
      </c>
      <c r="F309" s="21" t="n">
        <v>33649</v>
      </c>
      <c r="G309" s="22" t="s">
        <v>471</v>
      </c>
      <c r="H309" s="23" t="n">
        <f aca="false">COUNTIF(CAL!U:AF,B309)</f>
        <v>4</v>
      </c>
      <c r="I309" s="22" t="n">
        <v>21</v>
      </c>
      <c r="J309" s="20"/>
    </row>
    <row r="310" customFormat="false" ht="15.75" hidden="false" customHeight="true" outlineLevel="0" collapsed="false">
      <c r="B310" s="19" t="n">
        <v>1174</v>
      </c>
      <c r="C310" s="20" t="s">
        <v>1132</v>
      </c>
      <c r="D310" s="20" t="s">
        <v>180</v>
      </c>
      <c r="E310" s="21" t="s">
        <v>1133</v>
      </c>
      <c r="F310" s="21" t="n">
        <v>34642</v>
      </c>
      <c r="G310" s="22" t="s">
        <v>471</v>
      </c>
      <c r="H310" s="23" t="n">
        <f aca="false">COUNTIF(CAL!U:AF,B310)</f>
        <v>3</v>
      </c>
      <c r="I310" s="22" t="n">
        <v>2</v>
      </c>
      <c r="J310" s="20"/>
    </row>
    <row r="311" customFormat="false" ht="15.75" hidden="false" customHeight="true" outlineLevel="0" collapsed="false">
      <c r="B311" s="19" t="n">
        <v>1135</v>
      </c>
      <c r="C311" s="20" t="s">
        <v>1134</v>
      </c>
      <c r="D311" s="20" t="s">
        <v>233</v>
      </c>
      <c r="E311" s="21" t="s">
        <v>1135</v>
      </c>
      <c r="F311" s="21" t="n">
        <v>37508</v>
      </c>
      <c r="G311" s="22" t="s">
        <v>471</v>
      </c>
      <c r="H311" s="23" t="n">
        <f aca="false">COUNTIF(CAL!U:AF,B311)</f>
        <v>3</v>
      </c>
      <c r="I311" s="22" t="n">
        <v>2</v>
      </c>
      <c r="J311" s="20"/>
    </row>
    <row r="312" customFormat="false" ht="15.75" hidden="false" customHeight="true" outlineLevel="0" collapsed="false">
      <c r="B312" s="19" t="n">
        <v>3278</v>
      </c>
      <c r="C312" s="20" t="s">
        <v>1136</v>
      </c>
      <c r="D312" s="20" t="s">
        <v>49</v>
      </c>
      <c r="E312" s="21" t="s">
        <v>1137</v>
      </c>
      <c r="F312" s="21" t="n">
        <v>38423</v>
      </c>
      <c r="G312" s="22" t="s">
        <v>471</v>
      </c>
      <c r="H312" s="23" t="n">
        <f aca="false">COUNTIF(CAL!U:AF,B312)</f>
        <v>3</v>
      </c>
      <c r="I312" s="22" t="n">
        <v>3</v>
      </c>
      <c r="J312" s="20"/>
    </row>
    <row r="313" customFormat="false" ht="15.75" hidden="false" customHeight="true" outlineLevel="0" collapsed="false">
      <c r="B313" s="19" t="n">
        <v>2964</v>
      </c>
      <c r="C313" s="20" t="s">
        <v>1138</v>
      </c>
      <c r="D313" s="20" t="s">
        <v>306</v>
      </c>
      <c r="E313" s="21" t="s">
        <v>1139</v>
      </c>
      <c r="F313" s="21" t="n">
        <v>33720</v>
      </c>
      <c r="G313" s="22" t="s">
        <v>471</v>
      </c>
      <c r="H313" s="23" t="n">
        <f aca="false">COUNTIF(CAL!U:AF,B313)</f>
        <v>3</v>
      </c>
      <c r="I313" s="22" t="n">
        <v>3</v>
      </c>
      <c r="J313" s="20"/>
    </row>
    <row r="314" customFormat="false" ht="15.75" hidden="false" customHeight="true" outlineLevel="0" collapsed="false">
      <c r="B314" s="19" t="n">
        <v>1204</v>
      </c>
      <c r="C314" s="20" t="s">
        <v>1140</v>
      </c>
      <c r="D314" s="20" t="s">
        <v>204</v>
      </c>
      <c r="E314" s="21" t="s">
        <v>1141</v>
      </c>
      <c r="F314" s="21" t="n">
        <v>34154</v>
      </c>
      <c r="G314" s="22" t="s">
        <v>471</v>
      </c>
      <c r="H314" s="23" t="n">
        <f aca="false">COUNTIF(CAL!U:AF,B314)</f>
        <v>3</v>
      </c>
      <c r="I314" s="22" t="n">
        <v>3</v>
      </c>
      <c r="J314" s="20"/>
    </row>
    <row r="315" customFormat="false" ht="15.75" hidden="false" customHeight="true" outlineLevel="0" collapsed="false">
      <c r="B315" s="19" t="n">
        <v>3089</v>
      </c>
      <c r="C315" s="20" t="s">
        <v>1142</v>
      </c>
      <c r="D315" s="20" t="s">
        <v>352</v>
      </c>
      <c r="E315" s="21" t="s">
        <v>1143</v>
      </c>
      <c r="F315" s="21" t="n">
        <v>38210</v>
      </c>
      <c r="G315" s="22" t="s">
        <v>471</v>
      </c>
      <c r="H315" s="23" t="n">
        <f aca="false">COUNTIF(CAL!U:AF,B315)</f>
        <v>3</v>
      </c>
      <c r="I315" s="22" t="n">
        <v>3</v>
      </c>
      <c r="J315" s="20"/>
    </row>
    <row r="316" customFormat="false" ht="15.75" hidden="false" customHeight="true" outlineLevel="0" collapsed="false">
      <c r="B316" s="19" t="n">
        <v>3049</v>
      </c>
      <c r="C316" s="20" t="s">
        <v>1144</v>
      </c>
      <c r="D316" s="20" t="s">
        <v>158</v>
      </c>
      <c r="E316" s="21" t="s">
        <v>1145</v>
      </c>
      <c r="F316" s="21" t="n">
        <v>33639</v>
      </c>
      <c r="G316" s="22" t="s">
        <v>471</v>
      </c>
      <c r="H316" s="23" t="n">
        <f aca="false">COUNTIF(CAL!U:AF,B316)</f>
        <v>3</v>
      </c>
      <c r="I316" s="22" t="n">
        <v>3</v>
      </c>
      <c r="J316" s="20"/>
    </row>
    <row r="317" customFormat="false" ht="15.75" hidden="false" customHeight="true" outlineLevel="0" collapsed="false">
      <c r="B317" s="19" t="n">
        <v>2839</v>
      </c>
      <c r="C317" s="20" t="s">
        <v>1146</v>
      </c>
      <c r="D317" s="20" t="s">
        <v>392</v>
      </c>
      <c r="E317" s="21" t="s">
        <v>1147</v>
      </c>
      <c r="F317" s="21" t="n">
        <v>32304</v>
      </c>
      <c r="G317" s="22" t="s">
        <v>471</v>
      </c>
      <c r="H317" s="23" t="n">
        <f aca="false">COUNTIF(CAL!U:AF,B317)</f>
        <v>3</v>
      </c>
      <c r="I317" s="22" t="n">
        <v>3</v>
      </c>
      <c r="J317" s="20"/>
    </row>
    <row r="318" customFormat="false" ht="15.75" hidden="false" customHeight="true" outlineLevel="0" collapsed="false">
      <c r="B318" s="19" t="n">
        <v>3630</v>
      </c>
      <c r="C318" s="20" t="s">
        <v>1148</v>
      </c>
      <c r="D318" s="20" t="s">
        <v>427</v>
      </c>
      <c r="E318" s="21" t="s">
        <v>1149</v>
      </c>
      <c r="F318" s="21" t="n">
        <v>34790</v>
      </c>
      <c r="G318" s="22" t="s">
        <v>471</v>
      </c>
      <c r="H318" s="23" t="n">
        <f aca="false">COUNTIF(CAL!U:AF,B318)</f>
        <v>3</v>
      </c>
      <c r="I318" s="22" t="n">
        <v>3</v>
      </c>
      <c r="J318" s="20"/>
    </row>
    <row r="319" customFormat="false" ht="15.75" hidden="false" customHeight="true" outlineLevel="0" collapsed="false">
      <c r="B319" s="19" t="n">
        <v>2653</v>
      </c>
      <c r="C319" s="20" t="s">
        <v>687</v>
      </c>
      <c r="D319" s="20" t="s">
        <v>391</v>
      </c>
      <c r="E319" s="21" t="s">
        <v>1150</v>
      </c>
      <c r="F319" s="21" t="n">
        <v>37651</v>
      </c>
      <c r="G319" s="22" t="s">
        <v>471</v>
      </c>
      <c r="H319" s="23" t="n">
        <f aca="false">COUNTIF(CAL!U:AF,B319)</f>
        <v>3</v>
      </c>
      <c r="I319" s="22" t="n">
        <v>4</v>
      </c>
      <c r="J319" s="20"/>
    </row>
    <row r="320" customFormat="false" ht="15.75" hidden="false" customHeight="true" outlineLevel="0" collapsed="false">
      <c r="B320" s="19" t="n">
        <v>3402</v>
      </c>
      <c r="C320" s="20" t="s">
        <v>1151</v>
      </c>
      <c r="D320" s="20" t="s">
        <v>347</v>
      </c>
      <c r="E320" s="24" t="s">
        <v>1151</v>
      </c>
      <c r="F320" s="21" t="n">
        <v>38176</v>
      </c>
      <c r="G320" s="22" t="s">
        <v>471</v>
      </c>
      <c r="H320" s="23" t="n">
        <f aca="false">COUNTIF(CAL!U:AF,B320)</f>
        <v>3</v>
      </c>
      <c r="I320" s="22" t="n">
        <v>4</v>
      </c>
      <c r="J320" s="20"/>
    </row>
    <row r="321" customFormat="false" ht="15.75" hidden="false" customHeight="true" outlineLevel="0" collapsed="false">
      <c r="B321" s="19" t="n">
        <v>2884</v>
      </c>
      <c r="C321" s="20" t="s">
        <v>806</v>
      </c>
      <c r="D321" s="20" t="s">
        <v>325</v>
      </c>
      <c r="E321" s="21" t="s">
        <v>1152</v>
      </c>
      <c r="F321" s="21" t="n">
        <v>35598</v>
      </c>
      <c r="G321" s="22" t="s">
        <v>471</v>
      </c>
      <c r="H321" s="23" t="n">
        <f aca="false">COUNTIF(CAL!U:AF,B321)</f>
        <v>3</v>
      </c>
      <c r="I321" s="22" t="n">
        <v>4</v>
      </c>
      <c r="J321" s="20"/>
    </row>
    <row r="322" customFormat="false" ht="15.75" hidden="false" customHeight="true" outlineLevel="0" collapsed="false">
      <c r="B322" s="19" t="n">
        <v>2439</v>
      </c>
      <c r="C322" s="20" t="s">
        <v>1153</v>
      </c>
      <c r="D322" s="20" t="s">
        <v>340</v>
      </c>
      <c r="E322" s="21" t="s">
        <v>1154</v>
      </c>
      <c r="F322" s="21" t="n">
        <v>34545</v>
      </c>
      <c r="G322" s="22" t="s">
        <v>471</v>
      </c>
      <c r="H322" s="23" t="n">
        <f aca="false">COUNTIF(CAL!U:AF,B322)</f>
        <v>3</v>
      </c>
      <c r="I322" s="22" t="n">
        <v>4</v>
      </c>
      <c r="J322" s="20"/>
    </row>
    <row r="323" customFormat="false" ht="15.75" hidden="false" customHeight="true" outlineLevel="0" collapsed="false">
      <c r="B323" s="19" t="n">
        <v>2513</v>
      </c>
      <c r="C323" s="20" t="s">
        <v>1155</v>
      </c>
      <c r="D323" s="20" t="s">
        <v>321</v>
      </c>
      <c r="E323" s="21" t="s">
        <v>1156</v>
      </c>
      <c r="F323" s="21" t="n">
        <v>36067</v>
      </c>
      <c r="G323" s="22" t="s">
        <v>471</v>
      </c>
      <c r="H323" s="23" t="n">
        <f aca="false">COUNTIF(CAL!U:AF,B323)</f>
        <v>3</v>
      </c>
      <c r="I323" s="22" t="n">
        <v>4</v>
      </c>
      <c r="J323" s="20"/>
    </row>
    <row r="324" customFormat="false" ht="15.75" hidden="false" customHeight="true" outlineLevel="0" collapsed="false">
      <c r="B324" s="19" t="n">
        <v>3226</v>
      </c>
      <c r="C324" s="20" t="s">
        <v>1157</v>
      </c>
      <c r="D324" s="20" t="s">
        <v>393</v>
      </c>
      <c r="E324" s="21" t="s">
        <v>1158</v>
      </c>
      <c r="F324" s="21" t="n">
        <v>37044</v>
      </c>
      <c r="G324" s="22" t="s">
        <v>471</v>
      </c>
      <c r="H324" s="23" t="n">
        <f aca="false">COUNTIF(CAL!U:AF,B324)</f>
        <v>3</v>
      </c>
      <c r="I324" s="22" t="n">
        <v>4</v>
      </c>
      <c r="J324" s="20"/>
    </row>
    <row r="325" customFormat="false" ht="15.75" hidden="false" customHeight="true" outlineLevel="0" collapsed="false">
      <c r="B325" s="19" t="n">
        <v>1594</v>
      </c>
      <c r="C325" s="20" t="s">
        <v>1159</v>
      </c>
      <c r="D325" s="20" t="s">
        <v>292</v>
      </c>
      <c r="E325" s="24" t="s">
        <v>1160</v>
      </c>
      <c r="F325" s="21" t="n">
        <v>37259</v>
      </c>
      <c r="G325" s="22" t="s">
        <v>471</v>
      </c>
      <c r="H325" s="23" t="n">
        <f aca="false">COUNTIF(CAL!U:AF,B325)</f>
        <v>3</v>
      </c>
      <c r="I325" s="22" t="n">
        <v>4</v>
      </c>
      <c r="J325" s="20"/>
    </row>
    <row r="326" customFormat="false" ht="15.75" hidden="false" customHeight="true" outlineLevel="0" collapsed="false">
      <c r="B326" s="19" t="n">
        <v>1320</v>
      </c>
      <c r="C326" s="20" t="s">
        <v>1161</v>
      </c>
      <c r="D326" s="20" t="s">
        <v>212</v>
      </c>
      <c r="E326" s="21" t="s">
        <v>1162</v>
      </c>
      <c r="F326" s="21" t="n">
        <v>37880</v>
      </c>
      <c r="G326" s="22" t="s">
        <v>471</v>
      </c>
      <c r="H326" s="23" t="n">
        <f aca="false">COUNTIF(CAL!U:AF,B326)</f>
        <v>3</v>
      </c>
      <c r="I326" s="22" t="n">
        <v>4</v>
      </c>
      <c r="J326" s="20"/>
    </row>
    <row r="327" customFormat="false" ht="15.75" hidden="false" customHeight="true" outlineLevel="0" collapsed="false">
      <c r="B327" s="19" t="n">
        <v>2959</v>
      </c>
      <c r="C327" s="20" t="s">
        <v>1163</v>
      </c>
      <c r="D327" s="20" t="s">
        <v>102</v>
      </c>
      <c r="E327" s="21" t="s">
        <v>1164</v>
      </c>
      <c r="F327" s="21" t="n">
        <v>37586</v>
      </c>
      <c r="G327" s="22" t="s">
        <v>504</v>
      </c>
      <c r="H327" s="23" t="n">
        <f aca="false">COUNTIF(CAL!U:AF,B327)</f>
        <v>3</v>
      </c>
      <c r="I327" s="22" t="n">
        <v>4</v>
      </c>
      <c r="J327" s="20"/>
    </row>
    <row r="328" customFormat="false" ht="15.75" hidden="false" customHeight="true" outlineLevel="0" collapsed="false">
      <c r="B328" s="19" t="n">
        <v>1172</v>
      </c>
      <c r="C328" s="20" t="s">
        <v>1165</v>
      </c>
      <c r="D328" s="20" t="s">
        <v>177</v>
      </c>
      <c r="E328" s="21" t="s">
        <v>1166</v>
      </c>
      <c r="F328" s="21" t="n">
        <v>33870</v>
      </c>
      <c r="G328" s="22" t="s">
        <v>471</v>
      </c>
      <c r="H328" s="23" t="n">
        <f aca="false">COUNTIF(CAL!U:AF,B328)</f>
        <v>3</v>
      </c>
      <c r="I328" s="22" t="n">
        <v>4</v>
      </c>
      <c r="J328" s="20"/>
    </row>
    <row r="329" customFormat="false" ht="15.75" hidden="false" customHeight="true" outlineLevel="0" collapsed="false">
      <c r="B329" s="19" t="n">
        <v>3406</v>
      </c>
      <c r="C329" s="20" t="s">
        <v>1167</v>
      </c>
      <c r="D329" s="20" t="s">
        <v>48</v>
      </c>
      <c r="E329" s="21" t="s">
        <v>1168</v>
      </c>
      <c r="F329" s="21" t="n">
        <v>33778</v>
      </c>
      <c r="G329" s="22" t="s">
        <v>471</v>
      </c>
      <c r="H329" s="23" t="n">
        <f aca="false">COUNTIF(CAL!U:AF,B329)</f>
        <v>3</v>
      </c>
      <c r="I329" s="22" t="n">
        <v>4</v>
      </c>
      <c r="J329" s="20"/>
    </row>
    <row r="330" customFormat="false" ht="15.75" hidden="false" customHeight="true" outlineLevel="0" collapsed="false">
      <c r="B330" s="19" t="n">
        <v>2692</v>
      </c>
      <c r="C330" s="20" t="s">
        <v>1169</v>
      </c>
      <c r="D330" s="20" t="s">
        <v>368</v>
      </c>
      <c r="E330" s="21" t="s">
        <v>1170</v>
      </c>
      <c r="F330" s="21" t="n">
        <v>37028</v>
      </c>
      <c r="G330" s="22" t="s">
        <v>471</v>
      </c>
      <c r="H330" s="23" t="n">
        <f aca="false">COUNTIF(CAL!U:AF,B330)</f>
        <v>3</v>
      </c>
      <c r="I330" s="22" t="n">
        <v>4</v>
      </c>
      <c r="J330" s="20" t="s">
        <v>1171</v>
      </c>
    </row>
    <row r="331" customFormat="false" ht="15.75" hidden="false" customHeight="true" outlineLevel="0" collapsed="false">
      <c r="B331" s="19" t="n">
        <v>1034</v>
      </c>
      <c r="C331" s="20" t="s">
        <v>1172</v>
      </c>
      <c r="D331" s="20" t="s">
        <v>59</v>
      </c>
      <c r="E331" s="24" t="s">
        <v>1173</v>
      </c>
      <c r="F331" s="21" t="n">
        <v>33883</v>
      </c>
      <c r="G331" s="22" t="s">
        <v>471</v>
      </c>
      <c r="H331" s="23" t="n">
        <f aca="false">COUNTIF(CAL!U:AF,B331)</f>
        <v>3</v>
      </c>
      <c r="I331" s="22" t="n">
        <v>4</v>
      </c>
      <c r="J331" s="20"/>
    </row>
    <row r="332" customFormat="false" ht="15.75" hidden="false" customHeight="true" outlineLevel="0" collapsed="false">
      <c r="B332" s="19" t="n">
        <v>1267</v>
      </c>
      <c r="C332" s="20" t="s">
        <v>1174</v>
      </c>
      <c r="D332" s="20" t="s">
        <v>36</v>
      </c>
      <c r="E332" s="21" t="s">
        <v>1175</v>
      </c>
      <c r="F332" s="21" t="n">
        <v>38544</v>
      </c>
      <c r="G332" s="22" t="s">
        <v>471</v>
      </c>
      <c r="H332" s="23" t="n">
        <f aca="false">COUNTIF(CAL!U:AF,B332)</f>
        <v>3</v>
      </c>
      <c r="I332" s="22" t="n">
        <v>5</v>
      </c>
      <c r="J332" s="20"/>
    </row>
    <row r="333" customFormat="false" ht="15.75" hidden="false" customHeight="true" outlineLevel="0" collapsed="false">
      <c r="B333" s="19" t="n">
        <v>2986</v>
      </c>
      <c r="C333" s="20" t="s">
        <v>1176</v>
      </c>
      <c r="D333" s="20" t="s">
        <v>390</v>
      </c>
      <c r="E333" s="21" t="s">
        <v>1177</v>
      </c>
      <c r="F333" s="21" t="n">
        <v>38149</v>
      </c>
      <c r="G333" s="22" t="s">
        <v>471</v>
      </c>
      <c r="H333" s="23" t="n">
        <f aca="false">COUNTIF(CAL!U:AF,B333)</f>
        <v>3</v>
      </c>
      <c r="I333" s="22" t="n">
        <v>5</v>
      </c>
      <c r="J333" s="20"/>
    </row>
    <row r="334" customFormat="false" ht="15.75" hidden="false" customHeight="true" outlineLevel="0" collapsed="false">
      <c r="B334" s="19" t="n">
        <v>2680</v>
      </c>
      <c r="C334" s="20" t="s">
        <v>1178</v>
      </c>
      <c r="D334" s="20" t="s">
        <v>185</v>
      </c>
      <c r="E334" s="21" t="s">
        <v>1179</v>
      </c>
      <c r="F334" s="21" t="n">
        <v>33654</v>
      </c>
      <c r="G334" s="22" t="s">
        <v>471</v>
      </c>
      <c r="H334" s="23" t="n">
        <f aca="false">COUNTIF(CAL!U:AF,B334)</f>
        <v>3</v>
      </c>
      <c r="I334" s="22" t="n">
        <v>5</v>
      </c>
      <c r="J334" s="20"/>
    </row>
    <row r="335" customFormat="false" ht="15.75" hidden="false" customHeight="true" outlineLevel="0" collapsed="false">
      <c r="B335" s="19" t="n">
        <v>1257</v>
      </c>
      <c r="C335" s="20" t="s">
        <v>1180</v>
      </c>
      <c r="D335" s="20" t="s">
        <v>113</v>
      </c>
      <c r="E335" s="21" t="s">
        <v>1180</v>
      </c>
      <c r="F335" s="21" t="n">
        <v>34787</v>
      </c>
      <c r="G335" s="22" t="s">
        <v>471</v>
      </c>
      <c r="H335" s="23" t="n">
        <f aca="false">COUNTIF(CAL!U:AF,B335)</f>
        <v>3</v>
      </c>
      <c r="I335" s="22" t="n">
        <v>5</v>
      </c>
      <c r="J335" s="20" t="s">
        <v>1181</v>
      </c>
    </row>
    <row r="336" customFormat="false" ht="15.75" hidden="false" customHeight="true" outlineLevel="0" collapsed="false">
      <c r="B336" s="19" t="n">
        <v>2368</v>
      </c>
      <c r="C336" s="20" t="s">
        <v>1182</v>
      </c>
      <c r="D336" s="20" t="s">
        <v>231</v>
      </c>
      <c r="E336" s="21" t="s">
        <v>1183</v>
      </c>
      <c r="F336" s="21" t="n">
        <v>33829</v>
      </c>
      <c r="G336" s="22" t="s">
        <v>471</v>
      </c>
      <c r="H336" s="23" t="n">
        <f aca="false">COUNTIF(CAL!U:AF,B336)</f>
        <v>3</v>
      </c>
      <c r="I336" s="22" t="n">
        <v>5</v>
      </c>
      <c r="J336" s="20"/>
    </row>
    <row r="337" customFormat="false" ht="15.75" hidden="false" customHeight="true" outlineLevel="0" collapsed="false">
      <c r="B337" s="19" t="n">
        <v>1305</v>
      </c>
      <c r="C337" s="20" t="s">
        <v>1184</v>
      </c>
      <c r="D337" s="20" t="s">
        <v>83</v>
      </c>
      <c r="E337" s="24" t="s">
        <v>1185</v>
      </c>
      <c r="F337" s="21" t="n">
        <v>36689</v>
      </c>
      <c r="G337" s="22" t="s">
        <v>471</v>
      </c>
      <c r="H337" s="23" t="n">
        <f aca="false">COUNTIF(CAL!U:AF,B337)</f>
        <v>3</v>
      </c>
      <c r="I337" s="22" t="n">
        <v>5</v>
      </c>
      <c r="J337" s="20"/>
    </row>
    <row r="338" customFormat="false" ht="15.75" hidden="false" customHeight="true" outlineLevel="0" collapsed="false">
      <c r="B338" s="19" t="n">
        <v>1485</v>
      </c>
      <c r="C338" s="20" t="s">
        <v>1186</v>
      </c>
      <c r="D338" s="20" t="s">
        <v>309</v>
      </c>
      <c r="E338" s="21" t="s">
        <v>1187</v>
      </c>
      <c r="F338" s="21" t="n">
        <v>36970</v>
      </c>
      <c r="G338" s="22" t="s">
        <v>471</v>
      </c>
      <c r="H338" s="23" t="n">
        <f aca="false">COUNTIF(CAL!U:AF,B338)</f>
        <v>3</v>
      </c>
      <c r="I338" s="22" t="n">
        <v>5</v>
      </c>
      <c r="J338" s="20"/>
    </row>
    <row r="339" customFormat="false" ht="15.75" hidden="false" customHeight="true" outlineLevel="0" collapsed="false">
      <c r="B339" s="19" t="n">
        <v>2145</v>
      </c>
      <c r="C339" s="20" t="s">
        <v>1188</v>
      </c>
      <c r="D339" s="20" t="s">
        <v>326</v>
      </c>
      <c r="E339" s="21" t="s">
        <v>1189</v>
      </c>
      <c r="F339" s="21" t="n">
        <v>37598</v>
      </c>
      <c r="G339" s="22" t="s">
        <v>471</v>
      </c>
      <c r="H339" s="23" t="n">
        <f aca="false">COUNTIF(CAL!U:AF,B339)</f>
        <v>3</v>
      </c>
      <c r="I339" s="22" t="n">
        <v>6</v>
      </c>
      <c r="J339" s="20"/>
    </row>
    <row r="340" customFormat="false" ht="15.75" hidden="false" customHeight="true" outlineLevel="0" collapsed="false">
      <c r="B340" s="19" t="n">
        <v>1564</v>
      </c>
      <c r="C340" s="20" t="s">
        <v>1037</v>
      </c>
      <c r="D340" s="20" t="s">
        <v>311</v>
      </c>
      <c r="E340" s="21" t="s">
        <v>1190</v>
      </c>
      <c r="F340" s="21" t="n">
        <v>34993</v>
      </c>
      <c r="G340" s="22" t="s">
        <v>471</v>
      </c>
      <c r="H340" s="23" t="n">
        <f aca="false">COUNTIF(CAL!U:AF,B340)</f>
        <v>3</v>
      </c>
      <c r="I340" s="22" t="n">
        <v>6</v>
      </c>
      <c r="J340" s="20"/>
    </row>
    <row r="341" customFormat="false" ht="15.75" hidden="false" customHeight="true" outlineLevel="0" collapsed="false">
      <c r="B341" s="19" t="n">
        <v>1384</v>
      </c>
      <c r="C341" s="20" t="s">
        <v>1191</v>
      </c>
      <c r="D341" s="20" t="s">
        <v>84</v>
      </c>
      <c r="E341" s="21" t="s">
        <v>1192</v>
      </c>
      <c r="F341" s="21" t="n">
        <v>38021</v>
      </c>
      <c r="G341" s="22" t="s">
        <v>471</v>
      </c>
      <c r="H341" s="23" t="n">
        <f aca="false">COUNTIF(CAL!U:AF,B341)</f>
        <v>3</v>
      </c>
      <c r="I341" s="22" t="n">
        <v>6</v>
      </c>
      <c r="J341" s="20"/>
    </row>
    <row r="342" customFormat="false" ht="15.75" hidden="false" customHeight="true" outlineLevel="0" collapsed="false">
      <c r="B342" s="19" t="n">
        <v>3095</v>
      </c>
      <c r="C342" s="20" t="s">
        <v>1193</v>
      </c>
      <c r="D342" s="20" t="s">
        <v>390</v>
      </c>
      <c r="E342" s="24" t="s">
        <v>1194</v>
      </c>
      <c r="F342" s="21" t="n">
        <v>37274</v>
      </c>
      <c r="G342" s="22" t="s">
        <v>471</v>
      </c>
      <c r="H342" s="23" t="n">
        <f aca="false">COUNTIF(CAL!U:AF,B342)</f>
        <v>3</v>
      </c>
      <c r="I342" s="22" t="n">
        <v>6</v>
      </c>
      <c r="J342" s="20"/>
    </row>
    <row r="343" customFormat="false" ht="15.75" hidden="false" customHeight="true" outlineLevel="0" collapsed="false">
      <c r="B343" s="19" t="n">
        <v>1183</v>
      </c>
      <c r="C343" s="20" t="s">
        <v>1195</v>
      </c>
      <c r="D343" s="20" t="s">
        <v>214</v>
      </c>
      <c r="E343" s="21" t="s">
        <v>1196</v>
      </c>
      <c r="F343" s="21" t="n">
        <v>33420</v>
      </c>
      <c r="G343" s="22" t="s">
        <v>471</v>
      </c>
      <c r="H343" s="23" t="n">
        <f aca="false">COUNTIF(CAL!U:AF,B343)</f>
        <v>3</v>
      </c>
      <c r="I343" s="22" t="n">
        <v>6</v>
      </c>
      <c r="J343" s="20"/>
    </row>
    <row r="344" customFormat="false" ht="15.75" hidden="false" customHeight="true" outlineLevel="0" collapsed="false">
      <c r="B344" s="19" t="n">
        <v>1089</v>
      </c>
      <c r="C344" s="20" t="s">
        <v>1195</v>
      </c>
      <c r="D344" s="20" t="s">
        <v>133</v>
      </c>
      <c r="E344" s="21" t="s">
        <v>1197</v>
      </c>
      <c r="F344" s="21" t="n">
        <v>34877</v>
      </c>
      <c r="G344" s="22" t="s">
        <v>471</v>
      </c>
      <c r="H344" s="23" t="n">
        <f aca="false">COUNTIF(CAL!U:AF,B344)</f>
        <v>3</v>
      </c>
      <c r="I344" s="22" t="n">
        <v>6</v>
      </c>
      <c r="J344" s="20"/>
    </row>
    <row r="345" customFormat="false" ht="15.75" hidden="false" customHeight="true" outlineLevel="0" collapsed="false">
      <c r="B345" s="19" t="n">
        <v>1763</v>
      </c>
      <c r="C345" s="20" t="s">
        <v>1198</v>
      </c>
      <c r="D345" s="20" t="s">
        <v>85</v>
      </c>
      <c r="E345" s="21" t="s">
        <v>1199</v>
      </c>
      <c r="F345" s="21" t="n">
        <v>33625</v>
      </c>
      <c r="G345" s="22" t="s">
        <v>471</v>
      </c>
      <c r="H345" s="23" t="n">
        <f aca="false">COUNTIF(CAL!U:AF,B345)</f>
        <v>3</v>
      </c>
      <c r="I345" s="22" t="n">
        <v>6</v>
      </c>
      <c r="J345" s="20"/>
    </row>
    <row r="346" customFormat="false" ht="15.75" hidden="false" customHeight="true" outlineLevel="0" collapsed="false">
      <c r="B346" s="19" t="n">
        <v>2341</v>
      </c>
      <c r="C346" s="20" t="s">
        <v>1200</v>
      </c>
      <c r="D346" s="20" t="s">
        <v>313</v>
      </c>
      <c r="E346" s="21" t="s">
        <v>1201</v>
      </c>
      <c r="F346" s="21" t="n">
        <v>37202</v>
      </c>
      <c r="G346" s="22" t="s">
        <v>471</v>
      </c>
      <c r="H346" s="23" t="n">
        <f aca="false">COUNTIF(CAL!U:AF,B346)</f>
        <v>3</v>
      </c>
      <c r="I346" s="22" t="n">
        <v>6</v>
      </c>
      <c r="J346" s="20"/>
    </row>
    <row r="347" customFormat="false" ht="15.75" hidden="false" customHeight="true" outlineLevel="0" collapsed="false">
      <c r="B347" s="19" t="n">
        <v>1081</v>
      </c>
      <c r="C347" s="20" t="s">
        <v>1202</v>
      </c>
      <c r="D347" s="20" t="s">
        <v>103</v>
      </c>
      <c r="E347" s="21" t="s">
        <v>1203</v>
      </c>
      <c r="F347" s="21" t="n">
        <v>36143</v>
      </c>
      <c r="G347" s="22" t="s">
        <v>471</v>
      </c>
      <c r="H347" s="23" t="n">
        <f aca="false">COUNTIF(CAL!U:AF,B347)</f>
        <v>3</v>
      </c>
      <c r="I347" s="22" t="n">
        <v>6</v>
      </c>
      <c r="J347" s="20"/>
    </row>
    <row r="348" customFormat="false" ht="15.75" hidden="false" customHeight="true" outlineLevel="0" collapsed="false">
      <c r="B348" s="19" t="n">
        <v>2202</v>
      </c>
      <c r="C348" s="20" t="s">
        <v>1204</v>
      </c>
      <c r="D348" s="20" t="s">
        <v>210</v>
      </c>
      <c r="E348" s="21" t="s">
        <v>1205</v>
      </c>
      <c r="F348" s="21" t="n">
        <v>37939</v>
      </c>
      <c r="G348" s="22" t="s">
        <v>471</v>
      </c>
      <c r="H348" s="23" t="n">
        <f aca="false">COUNTIF(CAL!U:AF,B348)</f>
        <v>3</v>
      </c>
      <c r="I348" s="22" t="n">
        <v>6</v>
      </c>
      <c r="J348" s="20"/>
    </row>
    <row r="349" customFormat="false" ht="15.75" hidden="false" customHeight="true" outlineLevel="0" collapsed="false">
      <c r="B349" s="19" t="n">
        <v>2738</v>
      </c>
      <c r="C349" s="20" t="s">
        <v>1206</v>
      </c>
      <c r="D349" s="20" t="s">
        <v>370</v>
      </c>
      <c r="E349" s="21" t="s">
        <v>1207</v>
      </c>
      <c r="F349" s="21" t="n">
        <v>38115</v>
      </c>
      <c r="G349" s="22" t="s">
        <v>471</v>
      </c>
      <c r="H349" s="23" t="n">
        <f aca="false">COUNTIF(CAL!U:AF,B349)</f>
        <v>3</v>
      </c>
      <c r="I349" s="22" t="n">
        <v>6</v>
      </c>
      <c r="J349" s="20"/>
    </row>
    <row r="350" customFormat="false" ht="15.75" hidden="false" customHeight="true" outlineLevel="0" collapsed="false">
      <c r="B350" s="19" t="n">
        <v>1479</v>
      </c>
      <c r="C350" s="20" t="s">
        <v>1208</v>
      </c>
      <c r="D350" s="20" t="s">
        <v>59</v>
      </c>
      <c r="E350" s="24" t="s">
        <v>1209</v>
      </c>
      <c r="F350" s="21" t="n">
        <v>36594</v>
      </c>
      <c r="G350" s="22" t="s">
        <v>471</v>
      </c>
      <c r="H350" s="23" t="n">
        <f aca="false">COUNTIF(CAL!U:AF,B350)</f>
        <v>3</v>
      </c>
      <c r="I350" s="22" t="n">
        <v>6</v>
      </c>
      <c r="J350" s="20"/>
    </row>
    <row r="351" customFormat="false" ht="15.75" hidden="false" customHeight="true" outlineLevel="0" collapsed="false">
      <c r="B351" s="19" t="n">
        <v>1983</v>
      </c>
      <c r="C351" s="20" t="s">
        <v>1210</v>
      </c>
      <c r="D351" s="20" t="s">
        <v>351</v>
      </c>
      <c r="E351" s="21" t="s">
        <v>1211</v>
      </c>
      <c r="F351" s="21" t="n">
        <v>34992</v>
      </c>
      <c r="G351" s="22" t="s">
        <v>471</v>
      </c>
      <c r="H351" s="23" t="n">
        <f aca="false">COUNTIF(CAL!U:AF,B351)</f>
        <v>3</v>
      </c>
      <c r="I351" s="22" t="n">
        <v>6</v>
      </c>
      <c r="J351" s="20"/>
    </row>
    <row r="352" customFormat="false" ht="15.75" hidden="false" customHeight="true" outlineLevel="0" collapsed="false">
      <c r="B352" s="19" t="n">
        <v>2886</v>
      </c>
      <c r="C352" s="20" t="s">
        <v>1212</v>
      </c>
      <c r="D352" s="20" t="s">
        <v>351</v>
      </c>
      <c r="E352" s="21" t="s">
        <v>1213</v>
      </c>
      <c r="F352" s="21" t="n">
        <v>35976</v>
      </c>
      <c r="G352" s="22" t="s">
        <v>471</v>
      </c>
      <c r="H352" s="23" t="n">
        <f aca="false">COUNTIF(CAL!U:AF,B352)</f>
        <v>3</v>
      </c>
      <c r="I352" s="22" t="n">
        <v>6</v>
      </c>
      <c r="J352" s="20"/>
    </row>
    <row r="353" customFormat="false" ht="15.75" hidden="false" customHeight="true" outlineLevel="0" collapsed="false">
      <c r="B353" s="19" t="n">
        <v>1758</v>
      </c>
      <c r="C353" s="20" t="s">
        <v>1214</v>
      </c>
      <c r="D353" s="20" t="s">
        <v>272</v>
      </c>
      <c r="E353" s="21" t="s">
        <v>1215</v>
      </c>
      <c r="F353" s="21" t="n">
        <v>35374</v>
      </c>
      <c r="G353" s="22" t="s">
        <v>471</v>
      </c>
      <c r="H353" s="23" t="n">
        <f aca="false">COUNTIF(CAL!U:AF,B353)</f>
        <v>3</v>
      </c>
      <c r="I353" s="22" t="n">
        <v>7</v>
      </c>
      <c r="J353" s="20"/>
    </row>
    <row r="354" customFormat="false" ht="15.75" hidden="false" customHeight="true" outlineLevel="0" collapsed="false">
      <c r="B354" s="19" t="n">
        <v>2737</v>
      </c>
      <c r="C354" s="20" t="s">
        <v>1216</v>
      </c>
      <c r="D354" s="20" t="s">
        <v>370</v>
      </c>
      <c r="E354" s="21" t="s">
        <v>1217</v>
      </c>
      <c r="F354" s="21" t="n">
        <v>38054</v>
      </c>
      <c r="G354" s="22" t="s">
        <v>471</v>
      </c>
      <c r="H354" s="23" t="n">
        <f aca="false">COUNTIF(CAL!U:AF,B354)</f>
        <v>3</v>
      </c>
      <c r="I354" s="22" t="n">
        <v>7</v>
      </c>
      <c r="J354" s="20"/>
    </row>
    <row r="355" customFormat="false" ht="15.75" hidden="false" customHeight="true" outlineLevel="0" collapsed="false">
      <c r="B355" s="19" t="n">
        <v>1575</v>
      </c>
      <c r="C355" s="20" t="s">
        <v>1037</v>
      </c>
      <c r="D355" s="20" t="s">
        <v>153</v>
      </c>
      <c r="E355" s="21" t="s">
        <v>1218</v>
      </c>
      <c r="F355" s="21" t="n">
        <v>37606</v>
      </c>
      <c r="G355" s="22" t="s">
        <v>471</v>
      </c>
      <c r="H355" s="23" t="n">
        <f aca="false">COUNTIF(CAL!U:AF,B355)</f>
        <v>3</v>
      </c>
      <c r="I355" s="22" t="n">
        <v>7</v>
      </c>
      <c r="J355" s="20"/>
    </row>
    <row r="356" customFormat="false" ht="15.75" hidden="false" customHeight="true" outlineLevel="0" collapsed="false">
      <c r="B356" s="19" t="n">
        <v>2749</v>
      </c>
      <c r="C356" s="20" t="s">
        <v>1219</v>
      </c>
      <c r="D356" s="20" t="s">
        <v>229</v>
      </c>
      <c r="E356" s="21" t="s">
        <v>1220</v>
      </c>
      <c r="F356" s="21" t="n">
        <v>35280</v>
      </c>
      <c r="G356" s="22" t="s">
        <v>471</v>
      </c>
      <c r="H356" s="23" t="n">
        <f aca="false">COUNTIF(CAL!U:AF,B356)</f>
        <v>3</v>
      </c>
      <c r="I356" s="22" t="n">
        <v>7</v>
      </c>
      <c r="J356" s="20"/>
    </row>
    <row r="357" customFormat="false" ht="15.75" hidden="false" customHeight="true" outlineLevel="0" collapsed="false">
      <c r="B357" s="19" t="n">
        <v>1381</v>
      </c>
      <c r="C357" s="20" t="s">
        <v>1221</v>
      </c>
      <c r="D357" s="20" t="s">
        <v>78</v>
      </c>
      <c r="E357" s="24" t="s">
        <v>1222</v>
      </c>
      <c r="F357" s="21" t="n">
        <v>37734</v>
      </c>
      <c r="G357" s="22" t="s">
        <v>471</v>
      </c>
      <c r="H357" s="23" t="n">
        <f aca="false">COUNTIF(CAL!U:AF,B357)</f>
        <v>3</v>
      </c>
      <c r="I357" s="22" t="n">
        <v>7</v>
      </c>
      <c r="J357" s="20"/>
    </row>
    <row r="358" customFormat="false" ht="15.75" hidden="false" customHeight="true" outlineLevel="0" collapsed="false">
      <c r="B358" s="19" t="n">
        <v>1547</v>
      </c>
      <c r="C358" s="20" t="s">
        <v>1223</v>
      </c>
      <c r="D358" s="20" t="s">
        <v>303</v>
      </c>
      <c r="E358" s="24" t="s">
        <v>1224</v>
      </c>
      <c r="F358" s="21" t="n">
        <v>37024</v>
      </c>
      <c r="G358" s="22" t="s">
        <v>471</v>
      </c>
      <c r="H358" s="23" t="n">
        <f aca="false">COUNTIF(CAL!U:AF,B358)</f>
        <v>3</v>
      </c>
      <c r="I358" s="22" t="n">
        <v>7</v>
      </c>
      <c r="J358" s="20"/>
    </row>
    <row r="359" customFormat="false" ht="15.75" hidden="false" customHeight="true" outlineLevel="0" collapsed="false">
      <c r="B359" s="19" t="n">
        <v>2478</v>
      </c>
      <c r="C359" s="20" t="s">
        <v>1225</v>
      </c>
      <c r="D359" s="20" t="s">
        <v>109</v>
      </c>
      <c r="E359" s="21" t="s">
        <v>1226</v>
      </c>
      <c r="F359" s="21" t="n">
        <v>37741</v>
      </c>
      <c r="G359" s="22" t="s">
        <v>1227</v>
      </c>
      <c r="H359" s="23" t="n">
        <f aca="false">COUNTIF(CAL!U:AF,B359)</f>
        <v>3</v>
      </c>
      <c r="I359" s="22" t="n">
        <v>7</v>
      </c>
      <c r="J359" s="20"/>
    </row>
    <row r="360" customFormat="false" ht="15.75" hidden="false" customHeight="true" outlineLevel="0" collapsed="false">
      <c r="B360" s="19" t="n">
        <v>2109</v>
      </c>
      <c r="C360" s="20" t="s">
        <v>1228</v>
      </c>
      <c r="D360" s="20" t="s">
        <v>127</v>
      </c>
      <c r="E360" s="21" t="s">
        <v>1229</v>
      </c>
      <c r="F360" s="21" t="n">
        <v>37719</v>
      </c>
      <c r="G360" s="22" t="s">
        <v>471</v>
      </c>
      <c r="H360" s="23" t="n">
        <f aca="false">COUNTIF(CAL!U:AF,B360)</f>
        <v>3</v>
      </c>
      <c r="I360" s="22" t="n">
        <v>7</v>
      </c>
      <c r="J360" s="20"/>
    </row>
    <row r="361" customFormat="false" ht="15.75" hidden="false" customHeight="true" outlineLevel="0" collapsed="false">
      <c r="B361" s="19" t="n">
        <v>2712</v>
      </c>
      <c r="C361" s="20" t="s">
        <v>612</v>
      </c>
      <c r="D361" s="20" t="s">
        <v>389</v>
      </c>
      <c r="E361" s="21" t="s">
        <v>1230</v>
      </c>
      <c r="F361" s="21" t="n">
        <v>33739</v>
      </c>
      <c r="G361" s="22" t="s">
        <v>471</v>
      </c>
      <c r="H361" s="23" t="n">
        <f aca="false">COUNTIF(CAL!U:AF,B361)</f>
        <v>3</v>
      </c>
      <c r="I361" s="22" t="n">
        <v>7</v>
      </c>
      <c r="J361" s="20"/>
    </row>
    <row r="362" customFormat="false" ht="15.75" hidden="false" customHeight="true" outlineLevel="0" collapsed="false">
      <c r="B362" s="19" t="n">
        <v>2302</v>
      </c>
      <c r="C362" s="20" t="s">
        <v>1231</v>
      </c>
      <c r="D362" s="20" t="s">
        <v>255</v>
      </c>
      <c r="E362" s="21" t="s">
        <v>1232</v>
      </c>
      <c r="F362" s="21" t="n">
        <v>36819</v>
      </c>
      <c r="G362" s="22" t="s">
        <v>471</v>
      </c>
      <c r="H362" s="23" t="n">
        <f aca="false">COUNTIF(CAL!U:AF,B362)</f>
        <v>3</v>
      </c>
      <c r="I362" s="22" t="n">
        <v>7</v>
      </c>
      <c r="J362" s="20"/>
    </row>
    <row r="363" customFormat="false" ht="15.75" hidden="false" customHeight="true" outlineLevel="0" collapsed="false">
      <c r="B363" s="19" t="n">
        <v>2158</v>
      </c>
      <c r="C363" s="20" t="s">
        <v>1233</v>
      </c>
      <c r="D363" s="20" t="s">
        <v>337</v>
      </c>
      <c r="E363" s="21" t="s">
        <v>1234</v>
      </c>
      <c r="F363" s="21" t="n">
        <v>38412</v>
      </c>
      <c r="G363" s="22" t="s">
        <v>471</v>
      </c>
      <c r="H363" s="23" t="n">
        <f aca="false">COUNTIF(CAL!U:AF,B363)</f>
        <v>3</v>
      </c>
      <c r="I363" s="22" t="n">
        <v>7</v>
      </c>
      <c r="J363" s="20"/>
    </row>
    <row r="364" customFormat="false" ht="15.75" hidden="false" customHeight="true" outlineLevel="0" collapsed="false">
      <c r="B364" s="19" t="n">
        <v>1544</v>
      </c>
      <c r="C364" s="20" t="s">
        <v>1235</v>
      </c>
      <c r="D364" s="20" t="s">
        <v>84</v>
      </c>
      <c r="E364" s="21" t="s">
        <v>1236</v>
      </c>
      <c r="F364" s="21" t="n">
        <v>35945</v>
      </c>
      <c r="G364" s="22" t="s">
        <v>471</v>
      </c>
      <c r="H364" s="23" t="n">
        <f aca="false">COUNTIF(CAL!U:AF,B364)</f>
        <v>3</v>
      </c>
      <c r="I364" s="22" t="n">
        <v>7</v>
      </c>
      <c r="J364" s="20"/>
    </row>
    <row r="365" customFormat="false" ht="15.75" hidden="false" customHeight="true" outlineLevel="0" collapsed="false">
      <c r="B365" s="19" t="n">
        <v>2078</v>
      </c>
      <c r="C365" s="20" t="s">
        <v>1237</v>
      </c>
      <c r="D365" s="20" t="s">
        <v>162</v>
      </c>
      <c r="E365" s="21" t="s">
        <v>1238</v>
      </c>
      <c r="F365" s="21" t="n">
        <v>37500</v>
      </c>
      <c r="G365" s="22" t="s">
        <v>471</v>
      </c>
      <c r="H365" s="23" t="n">
        <f aca="false">COUNTIF(CAL!U:AF,B365)</f>
        <v>3</v>
      </c>
      <c r="I365" s="22" t="n">
        <v>7</v>
      </c>
      <c r="J365" s="20"/>
    </row>
    <row r="366" customFormat="false" ht="15.75" hidden="false" customHeight="true" outlineLevel="0" collapsed="false">
      <c r="B366" s="19" t="n">
        <v>2715</v>
      </c>
      <c r="C366" s="20" t="s">
        <v>1239</v>
      </c>
      <c r="D366" s="20" t="s">
        <v>239</v>
      </c>
      <c r="E366" s="21" t="s">
        <v>1240</v>
      </c>
      <c r="F366" s="21" t="n">
        <v>36232</v>
      </c>
      <c r="G366" s="22" t="s">
        <v>471</v>
      </c>
      <c r="H366" s="23" t="n">
        <f aca="false">COUNTIF(CAL!U:AF,B366)</f>
        <v>3</v>
      </c>
      <c r="I366" s="22" t="n">
        <v>7</v>
      </c>
      <c r="J366" s="20"/>
    </row>
    <row r="367" customFormat="false" ht="15.75" hidden="false" customHeight="true" outlineLevel="0" collapsed="false">
      <c r="B367" s="19" t="n">
        <v>3043</v>
      </c>
      <c r="C367" s="20" t="s">
        <v>1241</v>
      </c>
      <c r="D367" s="20" t="s">
        <v>378</v>
      </c>
      <c r="E367" s="21" t="s">
        <v>1242</v>
      </c>
      <c r="F367" s="21" t="n">
        <v>38231</v>
      </c>
      <c r="G367" s="22" t="s">
        <v>471</v>
      </c>
      <c r="H367" s="23" t="n">
        <f aca="false">COUNTIF(CAL!U:AF,B367)</f>
        <v>3</v>
      </c>
      <c r="I367" s="22" t="n">
        <v>7</v>
      </c>
      <c r="J367" s="20"/>
    </row>
    <row r="368" customFormat="false" ht="15.75" hidden="false" customHeight="true" outlineLevel="0" collapsed="false">
      <c r="B368" s="19" t="n">
        <v>1231</v>
      </c>
      <c r="C368" s="20" t="s">
        <v>548</v>
      </c>
      <c r="D368" s="20" t="s">
        <v>425</v>
      </c>
      <c r="E368" s="21" t="s">
        <v>1243</v>
      </c>
      <c r="F368" s="21" t="n">
        <v>33605</v>
      </c>
      <c r="G368" s="22" t="s">
        <v>471</v>
      </c>
      <c r="H368" s="23" t="n">
        <f aca="false">COUNTIF(CAL!U:AF,B368)</f>
        <v>3</v>
      </c>
      <c r="I368" s="22" t="n">
        <v>7</v>
      </c>
      <c r="J368" s="20" t="s">
        <v>1064</v>
      </c>
    </row>
    <row r="369" customFormat="false" ht="15.75" hidden="false" customHeight="true" outlineLevel="0" collapsed="false">
      <c r="B369" s="19" t="n">
        <v>3256</v>
      </c>
      <c r="C369" s="20" t="s">
        <v>925</v>
      </c>
      <c r="D369" s="20" t="s">
        <v>378</v>
      </c>
      <c r="E369" s="21" t="s">
        <v>1244</v>
      </c>
      <c r="F369" s="21" t="n">
        <v>38023</v>
      </c>
      <c r="G369" s="22" t="s">
        <v>471</v>
      </c>
      <c r="H369" s="23" t="n">
        <f aca="false">COUNTIF(CAL!U:AF,B369)</f>
        <v>3</v>
      </c>
      <c r="I369" s="22" t="n">
        <v>7</v>
      </c>
      <c r="J369" s="20"/>
    </row>
    <row r="370" customFormat="false" ht="15.75" hidden="false" customHeight="true" outlineLevel="0" collapsed="false">
      <c r="B370" s="19" t="n">
        <v>1365</v>
      </c>
      <c r="C370" s="20" t="s">
        <v>1245</v>
      </c>
      <c r="D370" s="20" t="s">
        <v>268</v>
      </c>
      <c r="E370" s="21" t="s">
        <v>1246</v>
      </c>
      <c r="F370" s="21" t="n">
        <v>33767</v>
      </c>
      <c r="G370" s="22" t="s">
        <v>471</v>
      </c>
      <c r="H370" s="23" t="n">
        <f aca="false">COUNTIF(CAL!U:AF,B370)</f>
        <v>3</v>
      </c>
      <c r="I370" s="22" t="n">
        <v>7</v>
      </c>
      <c r="J370" s="20"/>
    </row>
    <row r="371" customFormat="false" ht="15.75" hidden="false" customHeight="true" outlineLevel="0" collapsed="false">
      <c r="B371" s="19" t="n">
        <v>2356</v>
      </c>
      <c r="C371" s="20" t="s">
        <v>1247</v>
      </c>
      <c r="D371" s="20" t="s">
        <v>293</v>
      </c>
      <c r="E371" s="21" t="s">
        <v>1248</v>
      </c>
      <c r="F371" s="21" t="n">
        <v>37034</v>
      </c>
      <c r="G371" s="22" t="s">
        <v>471</v>
      </c>
      <c r="H371" s="23" t="n">
        <f aca="false">COUNTIF(CAL!U:AF,B371)</f>
        <v>3</v>
      </c>
      <c r="I371" s="22" t="n">
        <v>7</v>
      </c>
      <c r="J371" s="20" t="s">
        <v>1249</v>
      </c>
    </row>
    <row r="372" customFormat="false" ht="15.75" hidden="false" customHeight="true" outlineLevel="0" collapsed="false">
      <c r="B372" s="19" t="n">
        <v>2114</v>
      </c>
      <c r="C372" s="20" t="s">
        <v>1250</v>
      </c>
      <c r="D372" s="20" t="s">
        <v>213</v>
      </c>
      <c r="E372" s="21" t="s">
        <v>1251</v>
      </c>
      <c r="F372" s="21" t="n">
        <v>38232</v>
      </c>
      <c r="G372" s="22" t="s">
        <v>471</v>
      </c>
      <c r="H372" s="23" t="n">
        <f aca="false">COUNTIF(CAL!U:AF,B372)</f>
        <v>3</v>
      </c>
      <c r="I372" s="22" t="n">
        <v>8</v>
      </c>
      <c r="J372" s="20"/>
    </row>
    <row r="373" customFormat="false" ht="15.75" hidden="false" customHeight="true" outlineLevel="0" collapsed="false">
      <c r="B373" s="19" t="n">
        <v>2257</v>
      </c>
      <c r="C373" s="20" t="s">
        <v>1252</v>
      </c>
      <c r="D373" s="20" t="s">
        <v>227</v>
      </c>
      <c r="E373" s="21" t="s">
        <v>1253</v>
      </c>
      <c r="F373" s="21" t="n">
        <v>37275</v>
      </c>
      <c r="G373" s="22" t="s">
        <v>471</v>
      </c>
      <c r="H373" s="23" t="n">
        <f aca="false">COUNTIF(CAL!U:AF,B373)</f>
        <v>3</v>
      </c>
      <c r="I373" s="22" t="n">
        <v>8</v>
      </c>
      <c r="J373" s="20"/>
    </row>
    <row r="374" customFormat="false" ht="15.75" hidden="false" customHeight="true" outlineLevel="0" collapsed="false">
      <c r="B374" s="19" t="n">
        <v>2344</v>
      </c>
      <c r="C374" s="20" t="s">
        <v>1254</v>
      </c>
      <c r="D374" s="20" t="s">
        <v>51</v>
      </c>
      <c r="E374" s="21" t="s">
        <v>1255</v>
      </c>
      <c r="F374" s="21" t="n">
        <v>35088</v>
      </c>
      <c r="G374" s="22" t="s">
        <v>471</v>
      </c>
      <c r="H374" s="23" t="n">
        <f aca="false">COUNTIF(CAL!U:AF,B374)</f>
        <v>3</v>
      </c>
      <c r="I374" s="22" t="n">
        <v>8</v>
      </c>
      <c r="J374" s="20"/>
    </row>
    <row r="375" customFormat="false" ht="15.75" hidden="false" customHeight="true" outlineLevel="0" collapsed="false">
      <c r="B375" s="19" t="n">
        <v>2374</v>
      </c>
      <c r="C375" s="20" t="s">
        <v>1018</v>
      </c>
      <c r="D375" s="20" t="s">
        <v>207</v>
      </c>
      <c r="E375" s="21" t="s">
        <v>1256</v>
      </c>
      <c r="F375" s="21" t="n">
        <v>33237</v>
      </c>
      <c r="G375" s="22" t="s">
        <v>471</v>
      </c>
      <c r="H375" s="23" t="n">
        <f aca="false">COUNTIF(CAL!U:AF,B375)</f>
        <v>3</v>
      </c>
      <c r="I375" s="22" t="n">
        <v>8</v>
      </c>
      <c r="J375" s="20"/>
    </row>
    <row r="376" customFormat="false" ht="15.75" hidden="false" customHeight="true" outlineLevel="0" collapsed="false">
      <c r="B376" s="19" t="n">
        <v>2394</v>
      </c>
      <c r="C376" s="20" t="s">
        <v>1257</v>
      </c>
      <c r="D376" s="20" t="s">
        <v>33</v>
      </c>
      <c r="E376" s="21" t="s">
        <v>1258</v>
      </c>
      <c r="F376" s="21" t="n">
        <v>35860</v>
      </c>
      <c r="G376" s="22" t="s">
        <v>471</v>
      </c>
      <c r="H376" s="23" t="n">
        <f aca="false">COUNTIF(CAL!U:AF,B376)</f>
        <v>3</v>
      </c>
      <c r="I376" s="22" t="n">
        <v>8</v>
      </c>
      <c r="J376" s="20"/>
    </row>
    <row r="377" customFormat="false" ht="15.75" hidden="false" customHeight="true" outlineLevel="0" collapsed="false">
      <c r="B377" s="19" t="n">
        <v>2304</v>
      </c>
      <c r="C377" s="20" t="s">
        <v>1259</v>
      </c>
      <c r="D377" s="20" t="s">
        <v>342</v>
      </c>
      <c r="E377" s="24" t="s">
        <v>1260</v>
      </c>
      <c r="F377" s="21" t="n">
        <v>35902</v>
      </c>
      <c r="G377" s="22" t="s">
        <v>471</v>
      </c>
      <c r="H377" s="23" t="n">
        <f aca="false">COUNTIF(CAL!U:AF,B377)</f>
        <v>3</v>
      </c>
      <c r="I377" s="22" t="n">
        <v>8</v>
      </c>
      <c r="J377" s="20"/>
    </row>
    <row r="378" customFormat="false" ht="15.75" hidden="false" customHeight="true" outlineLevel="0" collapsed="false">
      <c r="B378" s="19" t="n">
        <v>1690</v>
      </c>
      <c r="C378" s="20" t="s">
        <v>1261</v>
      </c>
      <c r="D378" s="20" t="s">
        <v>102</v>
      </c>
      <c r="E378" s="24" t="s">
        <v>1262</v>
      </c>
      <c r="F378" s="21" t="n">
        <v>36239</v>
      </c>
      <c r="G378" s="22" t="s">
        <v>471</v>
      </c>
      <c r="H378" s="23" t="n">
        <f aca="false">COUNTIF(CAL!U:AF,B378)</f>
        <v>3</v>
      </c>
      <c r="I378" s="22" t="n">
        <v>8</v>
      </c>
      <c r="J378" s="20"/>
    </row>
    <row r="379" customFormat="false" ht="15.75" hidden="false" customHeight="true" outlineLevel="0" collapsed="false">
      <c r="B379" s="19" t="n">
        <v>1496</v>
      </c>
      <c r="C379" s="20" t="s">
        <v>1263</v>
      </c>
      <c r="D379" s="20" t="s">
        <v>283</v>
      </c>
      <c r="E379" s="21" t="s">
        <v>1264</v>
      </c>
      <c r="F379" s="21" t="n">
        <v>37859</v>
      </c>
      <c r="G379" s="22" t="s">
        <v>471</v>
      </c>
      <c r="H379" s="23" t="n">
        <f aca="false">COUNTIF(CAL!U:AF,B379)</f>
        <v>3</v>
      </c>
      <c r="I379" s="22" t="n">
        <v>8</v>
      </c>
      <c r="J379" s="20"/>
    </row>
    <row r="380" customFormat="false" ht="15.75" hidden="false" customHeight="true" outlineLevel="0" collapsed="false">
      <c r="B380" s="19" t="n">
        <v>1552</v>
      </c>
      <c r="C380" s="20" t="s">
        <v>1265</v>
      </c>
      <c r="D380" s="20" t="s">
        <v>215</v>
      </c>
      <c r="E380" s="21" t="s">
        <v>1266</v>
      </c>
      <c r="F380" s="21" t="n">
        <v>33644</v>
      </c>
      <c r="G380" s="22" t="s">
        <v>471</v>
      </c>
      <c r="H380" s="23" t="n">
        <f aca="false">COUNTIF(CAL!U:AF,B380)</f>
        <v>3</v>
      </c>
      <c r="I380" s="22" t="n">
        <v>8</v>
      </c>
      <c r="J380" s="20"/>
    </row>
    <row r="381" customFormat="false" ht="15.75" hidden="false" customHeight="true" outlineLevel="0" collapsed="false">
      <c r="B381" s="19" t="n">
        <v>1861</v>
      </c>
      <c r="C381" s="20" t="s">
        <v>1267</v>
      </c>
      <c r="D381" s="20" t="s">
        <v>207</v>
      </c>
      <c r="E381" s="21" t="s">
        <v>1268</v>
      </c>
      <c r="F381" s="21" t="n">
        <v>35146</v>
      </c>
      <c r="G381" s="22" t="s">
        <v>471</v>
      </c>
      <c r="H381" s="23" t="n">
        <f aca="false">COUNTIF(CAL!U:AF,B381)</f>
        <v>3</v>
      </c>
      <c r="I381" s="22" t="n">
        <v>8</v>
      </c>
      <c r="J381" s="20"/>
    </row>
    <row r="382" customFormat="false" ht="15.75" hidden="false" customHeight="true" outlineLevel="0" collapsed="false">
      <c r="B382" s="19" t="n">
        <v>2520</v>
      </c>
      <c r="C382" s="20" t="s">
        <v>1269</v>
      </c>
      <c r="D382" s="20" t="s">
        <v>371</v>
      </c>
      <c r="E382" s="21" t="s">
        <v>1270</v>
      </c>
      <c r="F382" s="21" t="n">
        <v>33241</v>
      </c>
      <c r="G382" s="22" t="s">
        <v>471</v>
      </c>
      <c r="H382" s="23" t="n">
        <f aca="false">COUNTIF(CAL!U:AF,B382)</f>
        <v>3</v>
      </c>
      <c r="I382" s="22" t="n">
        <v>8</v>
      </c>
      <c r="J382" s="20"/>
    </row>
    <row r="383" customFormat="false" ht="15.75" hidden="false" customHeight="true" outlineLevel="0" collapsed="false">
      <c r="B383" s="19" t="n">
        <v>1120</v>
      </c>
      <c r="C383" s="20" t="s">
        <v>1271</v>
      </c>
      <c r="D383" s="20" t="s">
        <v>139</v>
      </c>
      <c r="E383" s="21" t="s">
        <v>1272</v>
      </c>
      <c r="F383" s="21" t="n">
        <v>37399</v>
      </c>
      <c r="G383" s="22" t="s">
        <v>471</v>
      </c>
      <c r="H383" s="23" t="n">
        <f aca="false">COUNTIF(CAL!U:AF,B383)</f>
        <v>3</v>
      </c>
      <c r="I383" s="22" t="n">
        <v>8</v>
      </c>
      <c r="J383" s="20"/>
    </row>
    <row r="384" customFormat="false" ht="15.75" hidden="false" customHeight="true" outlineLevel="0" collapsed="false">
      <c r="B384" s="19" t="n">
        <v>1797</v>
      </c>
      <c r="C384" s="20" t="s">
        <v>1273</v>
      </c>
      <c r="D384" s="20" t="s">
        <v>106</v>
      </c>
      <c r="E384" s="21" t="s">
        <v>1274</v>
      </c>
      <c r="F384" s="21" t="n">
        <v>36179</v>
      </c>
      <c r="G384" s="22" t="s">
        <v>471</v>
      </c>
      <c r="H384" s="23" t="n">
        <f aca="false">COUNTIF(CAL!U:AF,B384)</f>
        <v>3</v>
      </c>
      <c r="I384" s="22" t="n">
        <v>8</v>
      </c>
      <c r="J384" s="20" t="s">
        <v>1275</v>
      </c>
    </row>
    <row r="385" customFormat="false" ht="15.75" hidden="false" customHeight="true" outlineLevel="0" collapsed="false">
      <c r="B385" s="19" t="n">
        <v>2941</v>
      </c>
      <c r="C385" s="20" t="s">
        <v>1276</v>
      </c>
      <c r="D385" s="20" t="s">
        <v>83</v>
      </c>
      <c r="E385" s="24" t="s">
        <v>1277</v>
      </c>
      <c r="F385" s="21" t="n">
        <v>34122</v>
      </c>
      <c r="G385" s="22" t="s">
        <v>471</v>
      </c>
      <c r="H385" s="23" t="n">
        <f aca="false">COUNTIF(CAL!U:AF,B385)</f>
        <v>3</v>
      </c>
      <c r="I385" s="22" t="n">
        <v>8</v>
      </c>
      <c r="J385" s="20"/>
    </row>
    <row r="386" customFormat="false" ht="15.75" hidden="false" customHeight="true" outlineLevel="0" collapsed="false">
      <c r="B386" s="19" t="n">
        <v>2645</v>
      </c>
      <c r="C386" s="20" t="s">
        <v>1278</v>
      </c>
      <c r="D386" s="20" t="s">
        <v>184</v>
      </c>
      <c r="E386" s="21" t="s">
        <v>1279</v>
      </c>
      <c r="F386" s="21" t="n">
        <v>35963</v>
      </c>
      <c r="G386" s="22" t="s">
        <v>471</v>
      </c>
      <c r="H386" s="23" t="n">
        <f aca="false">COUNTIF(CAL!U:AF,B386)</f>
        <v>3</v>
      </c>
      <c r="I386" s="22" t="n">
        <v>8</v>
      </c>
      <c r="J386" s="20"/>
    </row>
    <row r="387" customFormat="false" ht="15.75" hidden="false" customHeight="true" outlineLevel="0" collapsed="false">
      <c r="B387" s="19" t="n">
        <v>3053</v>
      </c>
      <c r="C387" s="20" t="s">
        <v>1280</v>
      </c>
      <c r="D387" s="20" t="s">
        <v>162</v>
      </c>
      <c r="E387" s="21" t="s">
        <v>1281</v>
      </c>
      <c r="F387" s="21" t="n">
        <v>36596</v>
      </c>
      <c r="G387" s="22" t="s">
        <v>471</v>
      </c>
      <c r="H387" s="23" t="n">
        <f aca="false">COUNTIF(CAL!U:AF,B387)</f>
        <v>3</v>
      </c>
      <c r="I387" s="22" t="n">
        <v>8</v>
      </c>
      <c r="J387" s="20"/>
    </row>
    <row r="388" customFormat="false" ht="15.75" hidden="false" customHeight="true" outlineLevel="0" collapsed="false">
      <c r="B388" s="19" t="n">
        <v>2536</v>
      </c>
      <c r="C388" s="20" t="s">
        <v>1282</v>
      </c>
      <c r="D388" s="20" t="s">
        <v>350</v>
      </c>
      <c r="E388" s="21" t="s">
        <v>1283</v>
      </c>
      <c r="F388" s="21" t="n">
        <v>36773</v>
      </c>
      <c r="G388" s="22" t="s">
        <v>471</v>
      </c>
      <c r="H388" s="23" t="n">
        <f aca="false">COUNTIF(CAL!U:AF,B388)</f>
        <v>3</v>
      </c>
      <c r="I388" s="22" t="n">
        <v>8</v>
      </c>
      <c r="J388" s="20"/>
    </row>
    <row r="389" customFormat="false" ht="15.75" hidden="false" customHeight="true" outlineLevel="0" collapsed="false">
      <c r="B389" s="19" t="n">
        <v>2741</v>
      </c>
      <c r="C389" s="20" t="s">
        <v>526</v>
      </c>
      <c r="D389" s="20" t="s">
        <v>375</v>
      </c>
      <c r="E389" s="24" t="s">
        <v>1284</v>
      </c>
      <c r="F389" s="21" t="n">
        <v>38211</v>
      </c>
      <c r="G389" s="22" t="s">
        <v>471</v>
      </c>
      <c r="H389" s="23" t="n">
        <f aca="false">COUNTIF(CAL!U:AF,B389)</f>
        <v>3</v>
      </c>
      <c r="I389" s="22" t="n">
        <v>8</v>
      </c>
      <c r="J389" s="20"/>
    </row>
    <row r="390" customFormat="false" ht="15.75" hidden="false" customHeight="true" outlineLevel="0" collapsed="false">
      <c r="B390" s="19" t="n">
        <v>1706</v>
      </c>
      <c r="C390" s="20" t="s">
        <v>1285</v>
      </c>
      <c r="D390" s="20" t="s">
        <v>241</v>
      </c>
      <c r="E390" s="21" t="s">
        <v>1286</v>
      </c>
      <c r="F390" s="21" t="n">
        <v>37056</v>
      </c>
      <c r="G390" s="22" t="s">
        <v>471</v>
      </c>
      <c r="H390" s="23" t="n">
        <f aca="false">COUNTIF(CAL!U:AF,B390)</f>
        <v>3</v>
      </c>
      <c r="I390" s="22" t="n">
        <v>8</v>
      </c>
      <c r="J390" s="20"/>
    </row>
    <row r="391" customFormat="false" ht="15.75" hidden="false" customHeight="true" outlineLevel="0" collapsed="false">
      <c r="B391" s="19" t="n">
        <v>2489</v>
      </c>
      <c r="C391" s="20" t="s">
        <v>1287</v>
      </c>
      <c r="D391" s="20" t="s">
        <v>341</v>
      </c>
      <c r="E391" s="21" t="s">
        <v>1288</v>
      </c>
      <c r="F391" s="21" t="n">
        <v>34351</v>
      </c>
      <c r="G391" s="22" t="s">
        <v>471</v>
      </c>
      <c r="H391" s="23" t="n">
        <f aca="false">COUNTIF(CAL!U:AF,B391)</f>
        <v>3</v>
      </c>
      <c r="I391" s="22" t="n">
        <v>8</v>
      </c>
      <c r="J391" s="20"/>
    </row>
    <row r="392" customFormat="false" ht="15.75" hidden="false" customHeight="true" outlineLevel="0" collapsed="false">
      <c r="B392" s="19" t="n">
        <v>2877</v>
      </c>
      <c r="C392" s="20" t="s">
        <v>1289</v>
      </c>
      <c r="D392" s="20" t="s">
        <v>99</v>
      </c>
      <c r="E392" s="21" t="s">
        <v>1290</v>
      </c>
      <c r="F392" s="21" t="n">
        <v>36378</v>
      </c>
      <c r="G392" s="22" t="s">
        <v>471</v>
      </c>
      <c r="H392" s="23" t="n">
        <f aca="false">COUNTIF(CAL!U:AF,B392)</f>
        <v>3</v>
      </c>
      <c r="I392" s="22" t="n">
        <v>8</v>
      </c>
      <c r="J392" s="20"/>
    </row>
    <row r="393" customFormat="false" ht="15.75" hidden="false" customHeight="true" outlineLevel="0" collapsed="false">
      <c r="B393" s="19" t="n">
        <v>2506</v>
      </c>
      <c r="C393" s="20" t="s">
        <v>1291</v>
      </c>
      <c r="D393" s="20" t="s">
        <v>199</v>
      </c>
      <c r="E393" s="21" t="s">
        <v>1292</v>
      </c>
      <c r="F393" s="21" t="n">
        <v>34087</v>
      </c>
      <c r="G393" s="22" t="s">
        <v>1017</v>
      </c>
      <c r="H393" s="23" t="n">
        <f aca="false">COUNTIF(CAL!U:AF,B393)</f>
        <v>3</v>
      </c>
      <c r="I393" s="22" t="n">
        <v>8</v>
      </c>
      <c r="J393" s="20"/>
    </row>
    <row r="394" customFormat="false" ht="15.75" hidden="false" customHeight="true" outlineLevel="0" collapsed="false">
      <c r="B394" s="19" t="n">
        <v>1352</v>
      </c>
      <c r="C394" s="20" t="s">
        <v>1293</v>
      </c>
      <c r="D394" s="20" t="s">
        <v>238</v>
      </c>
      <c r="E394" s="21" t="s">
        <v>1294</v>
      </c>
      <c r="F394" s="21" t="n">
        <v>35304</v>
      </c>
      <c r="G394" s="22" t="s">
        <v>471</v>
      </c>
      <c r="H394" s="23" t="n">
        <f aca="false">COUNTIF(CAL!U:AF,B394)</f>
        <v>3</v>
      </c>
      <c r="I394" s="22" t="n">
        <v>8</v>
      </c>
      <c r="J394" s="20"/>
    </row>
    <row r="395" customFormat="false" ht="15.75" hidden="false" customHeight="true" outlineLevel="0" collapsed="false">
      <c r="B395" s="19" t="n">
        <v>3486</v>
      </c>
      <c r="C395" s="20" t="s">
        <v>1295</v>
      </c>
      <c r="D395" s="20" t="s">
        <v>231</v>
      </c>
      <c r="E395" s="21" t="s">
        <v>1296</v>
      </c>
      <c r="F395" s="21" t="n">
        <v>34642</v>
      </c>
      <c r="G395" s="22" t="s">
        <v>471</v>
      </c>
      <c r="H395" s="23" t="n">
        <f aca="false">COUNTIF(CAL!U:AF,B395)</f>
        <v>3</v>
      </c>
      <c r="I395" s="22" t="n">
        <v>8</v>
      </c>
      <c r="J395" s="20"/>
    </row>
    <row r="396" customFormat="false" ht="15.75" hidden="false" customHeight="true" outlineLevel="0" collapsed="false">
      <c r="B396" s="19" t="n">
        <v>2966</v>
      </c>
      <c r="C396" s="20" t="s">
        <v>1297</v>
      </c>
      <c r="D396" s="20" t="s">
        <v>315</v>
      </c>
      <c r="E396" s="21" t="s">
        <v>1298</v>
      </c>
      <c r="F396" s="21" t="n">
        <v>35078</v>
      </c>
      <c r="G396" s="22" t="s">
        <v>471</v>
      </c>
      <c r="H396" s="23" t="n">
        <f aca="false">COUNTIF(CAL!U:AF,B396)</f>
        <v>3</v>
      </c>
      <c r="I396" s="22" t="n">
        <v>8</v>
      </c>
      <c r="J396" s="20"/>
    </row>
    <row r="397" customFormat="false" ht="15.75" hidden="false" customHeight="true" outlineLevel="0" collapsed="false">
      <c r="B397" s="19" t="n">
        <v>1140</v>
      </c>
      <c r="C397" s="20" t="s">
        <v>1299</v>
      </c>
      <c r="D397" s="20" t="s">
        <v>208</v>
      </c>
      <c r="E397" s="21" t="s">
        <v>1300</v>
      </c>
      <c r="F397" s="21" t="n">
        <v>36550</v>
      </c>
      <c r="G397" s="22" t="s">
        <v>471</v>
      </c>
      <c r="H397" s="23" t="n">
        <f aca="false">COUNTIF(CAL!U:AF,B397)</f>
        <v>3</v>
      </c>
      <c r="I397" s="22" t="n">
        <v>8</v>
      </c>
      <c r="J397" s="20"/>
    </row>
    <row r="398" customFormat="false" ht="15.75" hidden="false" customHeight="true" outlineLevel="0" collapsed="false">
      <c r="B398" s="19" t="n">
        <v>2204</v>
      </c>
      <c r="C398" s="20" t="s">
        <v>1301</v>
      </c>
      <c r="D398" s="20" t="s">
        <v>212</v>
      </c>
      <c r="E398" s="21" t="s">
        <v>1302</v>
      </c>
      <c r="F398" s="21" t="n">
        <v>37715</v>
      </c>
      <c r="G398" s="22" t="s">
        <v>471</v>
      </c>
      <c r="H398" s="23" t="n">
        <f aca="false">COUNTIF(CAL!U:AF,B398)</f>
        <v>3</v>
      </c>
      <c r="I398" s="22" t="n">
        <v>8</v>
      </c>
      <c r="J398" s="20"/>
    </row>
    <row r="399" customFormat="false" ht="15.75" hidden="false" customHeight="true" outlineLevel="0" collapsed="false">
      <c r="B399" s="19" t="n">
        <v>1446</v>
      </c>
      <c r="C399" s="20" t="s">
        <v>1303</v>
      </c>
      <c r="D399" s="20" t="s">
        <v>126</v>
      </c>
      <c r="E399" s="21" t="s">
        <v>1304</v>
      </c>
      <c r="F399" s="21" t="n">
        <v>35118</v>
      </c>
      <c r="G399" s="22" t="s">
        <v>471</v>
      </c>
      <c r="H399" s="23" t="n">
        <f aca="false">COUNTIF(CAL!U:AF,B399)</f>
        <v>3</v>
      </c>
      <c r="I399" s="22" t="n">
        <v>8</v>
      </c>
      <c r="J399" s="20"/>
    </row>
    <row r="400" customFormat="false" ht="15.75" hidden="false" customHeight="true" outlineLevel="0" collapsed="false">
      <c r="B400" s="19" t="n">
        <v>3116</v>
      </c>
      <c r="C400" s="20" t="s">
        <v>1305</v>
      </c>
      <c r="D400" s="20" t="s">
        <v>409</v>
      </c>
      <c r="E400" s="24" t="s">
        <v>1306</v>
      </c>
      <c r="F400" s="21" t="n">
        <v>37096</v>
      </c>
      <c r="G400" s="22" t="s">
        <v>471</v>
      </c>
      <c r="H400" s="23" t="n">
        <f aca="false">COUNTIF(CAL!U:AF,B400)</f>
        <v>3</v>
      </c>
      <c r="I400" s="22" t="n">
        <v>8</v>
      </c>
      <c r="J400" s="20"/>
    </row>
    <row r="401" customFormat="false" ht="15.75" hidden="false" customHeight="true" outlineLevel="0" collapsed="false">
      <c r="B401" s="19" t="n">
        <v>3563</v>
      </c>
      <c r="C401" s="20" t="s">
        <v>1307</v>
      </c>
      <c r="D401" s="20" t="s">
        <v>178</v>
      </c>
      <c r="E401" s="21" t="s">
        <v>1308</v>
      </c>
      <c r="F401" s="21" t="n">
        <v>31941</v>
      </c>
      <c r="G401" s="22" t="s">
        <v>471</v>
      </c>
      <c r="H401" s="23" t="n">
        <f aca="false">COUNTIF(CAL!U:AF,B401)</f>
        <v>3</v>
      </c>
      <c r="I401" s="22" t="n">
        <v>9</v>
      </c>
      <c r="J401" s="20"/>
    </row>
    <row r="402" customFormat="false" ht="15.75" hidden="false" customHeight="true" outlineLevel="0" collapsed="false">
      <c r="B402" s="19" t="n">
        <v>1886</v>
      </c>
      <c r="C402" s="20" t="s">
        <v>1309</v>
      </c>
      <c r="D402" s="20" t="s">
        <v>39</v>
      </c>
      <c r="E402" s="21" t="s">
        <v>1310</v>
      </c>
      <c r="F402" s="21" t="n">
        <v>35682</v>
      </c>
      <c r="G402" s="22" t="s">
        <v>471</v>
      </c>
      <c r="H402" s="23" t="n">
        <f aca="false">COUNTIF(CAL!U:AF,B402)</f>
        <v>3</v>
      </c>
      <c r="I402" s="22" t="n">
        <v>9</v>
      </c>
      <c r="J402" s="20"/>
    </row>
    <row r="403" customFormat="false" ht="15.75" hidden="false" customHeight="true" outlineLevel="0" collapsed="false">
      <c r="B403" s="19" t="n">
        <v>1300</v>
      </c>
      <c r="C403" s="20" t="s">
        <v>1311</v>
      </c>
      <c r="D403" s="20" t="s">
        <v>170</v>
      </c>
      <c r="E403" s="21" t="s">
        <v>1312</v>
      </c>
      <c r="F403" s="21" t="n">
        <v>30041</v>
      </c>
      <c r="G403" s="22" t="s">
        <v>471</v>
      </c>
      <c r="H403" s="23" t="n">
        <f aca="false">COUNTIF(CAL!U:AF,B403)</f>
        <v>3</v>
      </c>
      <c r="I403" s="22" t="n">
        <v>9</v>
      </c>
      <c r="J403" s="20"/>
    </row>
    <row r="404" customFormat="false" ht="15.75" hidden="false" customHeight="true" outlineLevel="0" collapsed="false">
      <c r="B404" s="19" t="n">
        <v>1094</v>
      </c>
      <c r="C404" s="20" t="s">
        <v>1313</v>
      </c>
      <c r="D404" s="20" t="s">
        <v>81</v>
      </c>
      <c r="E404" s="21" t="s">
        <v>1314</v>
      </c>
      <c r="F404" s="21" t="n">
        <v>36616</v>
      </c>
      <c r="G404" s="22" t="s">
        <v>471</v>
      </c>
      <c r="H404" s="23" t="n">
        <f aca="false">COUNTIF(CAL!U:AF,B404)</f>
        <v>3</v>
      </c>
      <c r="I404" s="22" t="n">
        <v>9</v>
      </c>
      <c r="J404" s="20"/>
    </row>
    <row r="405" customFormat="false" ht="15.75" hidden="false" customHeight="true" outlineLevel="0" collapsed="false">
      <c r="B405" s="19" t="n">
        <v>1540</v>
      </c>
      <c r="C405" s="20" t="s">
        <v>1315</v>
      </c>
      <c r="D405" s="20" t="s">
        <v>73</v>
      </c>
      <c r="E405" s="21" t="s">
        <v>1316</v>
      </c>
      <c r="F405" s="21" t="n">
        <v>37057</v>
      </c>
      <c r="G405" s="22" t="s">
        <v>471</v>
      </c>
      <c r="H405" s="23" t="n">
        <f aca="false">COUNTIF(CAL!U:AF,B405)</f>
        <v>3</v>
      </c>
      <c r="I405" s="22" t="n">
        <v>9</v>
      </c>
      <c r="J405" s="20"/>
    </row>
    <row r="406" customFormat="false" ht="15.75" hidden="false" customHeight="true" outlineLevel="0" collapsed="false">
      <c r="B406" s="19" t="n">
        <v>1180</v>
      </c>
      <c r="C406" s="20" t="s">
        <v>1317</v>
      </c>
      <c r="D406" s="20" t="s">
        <v>170</v>
      </c>
      <c r="E406" s="21" t="s">
        <v>1318</v>
      </c>
      <c r="F406" s="21" t="n">
        <v>33370</v>
      </c>
      <c r="G406" s="22" t="s">
        <v>471</v>
      </c>
      <c r="H406" s="23" t="n">
        <f aca="false">COUNTIF(CAL!U:AF,B406)</f>
        <v>3</v>
      </c>
      <c r="I406" s="22" t="n">
        <v>9</v>
      </c>
      <c r="J406" s="20"/>
    </row>
    <row r="407" customFormat="false" ht="15.75" hidden="false" customHeight="true" outlineLevel="0" collapsed="false">
      <c r="B407" s="19" t="n">
        <v>1998</v>
      </c>
      <c r="C407" s="20" t="s">
        <v>1319</v>
      </c>
      <c r="D407" s="20" t="s">
        <v>125</v>
      </c>
      <c r="E407" s="21" t="s">
        <v>1320</v>
      </c>
      <c r="F407" s="21" t="n">
        <v>35398</v>
      </c>
      <c r="G407" s="22" t="s">
        <v>471</v>
      </c>
      <c r="H407" s="23" t="n">
        <f aca="false">COUNTIF(CAL!U:AF,B407)</f>
        <v>3</v>
      </c>
      <c r="I407" s="22" t="n">
        <v>9</v>
      </c>
      <c r="J407" s="20"/>
    </row>
    <row r="408" customFormat="false" ht="15.75" hidden="false" customHeight="true" outlineLevel="0" collapsed="false">
      <c r="B408" s="19" t="n">
        <v>1626</v>
      </c>
      <c r="C408" s="20" t="s">
        <v>1321</v>
      </c>
      <c r="D408" s="20" t="s">
        <v>250</v>
      </c>
      <c r="E408" s="21" t="s">
        <v>1322</v>
      </c>
      <c r="F408" s="21" t="n">
        <v>36745</v>
      </c>
      <c r="G408" s="22" t="s">
        <v>471</v>
      </c>
      <c r="H408" s="23" t="n">
        <f aca="false">COUNTIF(CAL!U:AF,B408)</f>
        <v>3</v>
      </c>
      <c r="I408" s="22" t="n">
        <v>9</v>
      </c>
      <c r="J408" s="20"/>
    </row>
    <row r="409" customFormat="false" ht="15.75" hidden="false" customHeight="true" outlineLevel="0" collapsed="false">
      <c r="B409" s="19" t="n">
        <v>1583</v>
      </c>
      <c r="C409" s="20" t="s">
        <v>1323</v>
      </c>
      <c r="D409" s="20" t="s">
        <v>249</v>
      </c>
      <c r="E409" s="21" t="s">
        <v>1324</v>
      </c>
      <c r="F409" s="21" t="n">
        <v>35474</v>
      </c>
      <c r="G409" s="22" t="s">
        <v>471</v>
      </c>
      <c r="H409" s="23" t="n">
        <f aca="false">COUNTIF(CAL!U:AF,B409)</f>
        <v>3</v>
      </c>
      <c r="I409" s="22" t="n">
        <v>9</v>
      </c>
      <c r="J409" s="20"/>
    </row>
    <row r="410" customFormat="false" ht="15.75" hidden="false" customHeight="true" outlineLevel="0" collapsed="false">
      <c r="B410" s="19" t="n">
        <v>1718</v>
      </c>
      <c r="C410" s="20" t="s">
        <v>1325</v>
      </c>
      <c r="D410" s="20" t="s">
        <v>208</v>
      </c>
      <c r="E410" s="21" t="s">
        <v>1326</v>
      </c>
      <c r="F410" s="21" t="n">
        <v>36770</v>
      </c>
      <c r="G410" s="22" t="s">
        <v>471</v>
      </c>
      <c r="H410" s="23" t="n">
        <f aca="false">COUNTIF(CAL!U:AF,B410)</f>
        <v>3</v>
      </c>
      <c r="I410" s="22" t="n">
        <v>9</v>
      </c>
      <c r="J410" s="20"/>
    </row>
    <row r="411" customFormat="false" ht="15.75" hidden="false" customHeight="true" outlineLevel="0" collapsed="false">
      <c r="B411" s="19" t="n">
        <v>2912</v>
      </c>
      <c r="C411" s="20" t="s">
        <v>1327</v>
      </c>
      <c r="D411" s="20" t="s">
        <v>374</v>
      </c>
      <c r="E411" s="21" t="s">
        <v>1328</v>
      </c>
      <c r="F411" s="21" t="n">
        <v>38357</v>
      </c>
      <c r="G411" s="22" t="s">
        <v>471</v>
      </c>
      <c r="H411" s="23" t="n">
        <f aca="false">COUNTIF(CAL!U:AF,B411)</f>
        <v>3</v>
      </c>
      <c r="I411" s="22" t="n">
        <v>9</v>
      </c>
      <c r="J411" s="20"/>
    </row>
    <row r="412" customFormat="false" ht="15.75" hidden="false" customHeight="true" outlineLevel="0" collapsed="false">
      <c r="B412" s="19" t="n">
        <v>1714</v>
      </c>
      <c r="C412" s="20" t="s">
        <v>1329</v>
      </c>
      <c r="D412" s="20" t="s">
        <v>254</v>
      </c>
      <c r="E412" s="21" t="s">
        <v>1330</v>
      </c>
      <c r="F412" s="21" t="n">
        <v>32276</v>
      </c>
      <c r="G412" s="22" t="s">
        <v>471</v>
      </c>
      <c r="H412" s="23" t="n">
        <f aca="false">COUNTIF(CAL!U:AF,B412)</f>
        <v>3</v>
      </c>
      <c r="I412" s="22" t="n">
        <v>9</v>
      </c>
      <c r="J412" s="20"/>
    </row>
    <row r="413" customFormat="false" ht="15.75" hidden="false" customHeight="true" outlineLevel="0" collapsed="false">
      <c r="B413" s="19" t="n">
        <v>1753</v>
      </c>
      <c r="C413" s="20" t="s">
        <v>1331</v>
      </c>
      <c r="D413" s="20" t="s">
        <v>225</v>
      </c>
      <c r="E413" s="21" t="s">
        <v>1332</v>
      </c>
      <c r="F413" s="21" t="n">
        <v>32423</v>
      </c>
      <c r="G413" s="22" t="s">
        <v>471</v>
      </c>
      <c r="H413" s="23" t="n">
        <f aca="false">COUNTIF(CAL!U:AF,B413)</f>
        <v>3</v>
      </c>
      <c r="I413" s="22" t="n">
        <v>9</v>
      </c>
      <c r="J413" s="20"/>
    </row>
    <row r="414" customFormat="false" ht="15.75" hidden="false" customHeight="true" outlineLevel="0" collapsed="false">
      <c r="B414" s="19" t="n">
        <v>2266</v>
      </c>
      <c r="C414" s="20" t="s">
        <v>1333</v>
      </c>
      <c r="D414" s="20" t="s">
        <v>375</v>
      </c>
      <c r="E414" s="21" t="s">
        <v>1334</v>
      </c>
      <c r="F414" s="21" t="n">
        <v>36574</v>
      </c>
      <c r="G414" s="22" t="s">
        <v>471</v>
      </c>
      <c r="H414" s="23" t="n">
        <f aca="false">COUNTIF(CAL!U:AF,B414)</f>
        <v>3</v>
      </c>
      <c r="I414" s="22" t="n">
        <v>9</v>
      </c>
      <c r="J414" s="20"/>
    </row>
    <row r="415" customFormat="false" ht="15.75" hidden="false" customHeight="true" outlineLevel="0" collapsed="false">
      <c r="B415" s="19" t="n">
        <v>1553</v>
      </c>
      <c r="C415" s="20" t="s">
        <v>1335</v>
      </c>
      <c r="D415" s="20" t="s">
        <v>191</v>
      </c>
      <c r="E415" s="21" t="s">
        <v>1336</v>
      </c>
      <c r="F415" s="21" t="n">
        <v>37509</v>
      </c>
      <c r="G415" s="22" t="s">
        <v>471</v>
      </c>
      <c r="H415" s="23" t="n">
        <f aca="false">COUNTIF(CAL!U:AF,B415)</f>
        <v>3</v>
      </c>
      <c r="I415" s="22" t="n">
        <v>9</v>
      </c>
      <c r="J415" s="20"/>
    </row>
    <row r="416" customFormat="false" ht="15.75" hidden="false" customHeight="true" outlineLevel="0" collapsed="false">
      <c r="B416" s="19" t="n">
        <v>2454</v>
      </c>
      <c r="C416" s="20" t="s">
        <v>1337</v>
      </c>
      <c r="D416" s="20" t="s">
        <v>237</v>
      </c>
      <c r="E416" s="21" t="s">
        <v>1338</v>
      </c>
      <c r="F416" s="21" t="n">
        <v>33738</v>
      </c>
      <c r="G416" s="22" t="s">
        <v>471</v>
      </c>
      <c r="H416" s="23" t="n">
        <f aca="false">COUNTIF(CAL!U:AF,B416)</f>
        <v>3</v>
      </c>
      <c r="I416" s="22" t="n">
        <v>9</v>
      </c>
      <c r="J416" s="20"/>
    </row>
    <row r="417" customFormat="false" ht="15.75" hidden="false" customHeight="true" outlineLevel="0" collapsed="false">
      <c r="B417" s="19" t="n">
        <v>1474</v>
      </c>
      <c r="C417" s="20" t="s">
        <v>1339</v>
      </c>
      <c r="D417" s="20" t="s">
        <v>138</v>
      </c>
      <c r="E417" s="21" t="s">
        <v>1340</v>
      </c>
      <c r="F417" s="21" t="n">
        <v>36770</v>
      </c>
      <c r="G417" s="22" t="s">
        <v>471</v>
      </c>
      <c r="H417" s="23" t="n">
        <f aca="false">COUNTIF(CAL!U:AF,B417)</f>
        <v>3</v>
      </c>
      <c r="I417" s="22" t="n">
        <v>9</v>
      </c>
      <c r="J417" s="20"/>
    </row>
    <row r="418" customFormat="false" ht="15.75" hidden="false" customHeight="true" outlineLevel="0" collapsed="false">
      <c r="B418" s="19" t="n">
        <v>3370</v>
      </c>
      <c r="C418" s="20" t="s">
        <v>1341</v>
      </c>
      <c r="D418" s="20" t="s">
        <v>390</v>
      </c>
      <c r="E418" s="24" t="s">
        <v>1342</v>
      </c>
      <c r="F418" s="21" t="n">
        <v>33441</v>
      </c>
      <c r="G418" s="22" t="s">
        <v>471</v>
      </c>
      <c r="H418" s="23" t="n">
        <f aca="false">COUNTIF(CAL!U:AF,B418)</f>
        <v>3</v>
      </c>
      <c r="I418" s="22" t="n">
        <v>9</v>
      </c>
      <c r="J418" s="20"/>
    </row>
    <row r="419" customFormat="false" ht="15.75" hidden="false" customHeight="true" outlineLevel="0" collapsed="false">
      <c r="B419" s="19" t="n">
        <v>1288</v>
      </c>
      <c r="C419" s="20" t="s">
        <v>1343</v>
      </c>
      <c r="D419" s="20" t="s">
        <v>181</v>
      </c>
      <c r="E419" s="21" t="s">
        <v>1344</v>
      </c>
      <c r="F419" s="21" t="n">
        <v>33569</v>
      </c>
      <c r="G419" s="22" t="s">
        <v>471</v>
      </c>
      <c r="H419" s="23" t="n">
        <f aca="false">COUNTIF(CAL!U:AF,B419)</f>
        <v>3</v>
      </c>
      <c r="I419" s="22" t="n">
        <v>9</v>
      </c>
      <c r="J419" s="20"/>
    </row>
    <row r="420" customFormat="false" ht="15.75" hidden="false" customHeight="true" outlineLevel="0" collapsed="false">
      <c r="B420" s="19" t="n">
        <v>2037</v>
      </c>
      <c r="C420" s="20" t="s">
        <v>1345</v>
      </c>
      <c r="D420" s="20" t="s">
        <v>241</v>
      </c>
      <c r="E420" s="21" t="s">
        <v>1346</v>
      </c>
      <c r="F420" s="21" t="n">
        <v>37117</v>
      </c>
      <c r="G420" s="22" t="s">
        <v>471</v>
      </c>
      <c r="H420" s="23" t="n">
        <f aca="false">COUNTIF(CAL!U:AF,B420)</f>
        <v>3</v>
      </c>
      <c r="I420" s="22" t="n">
        <v>9</v>
      </c>
      <c r="J420" s="20"/>
    </row>
    <row r="421" customFormat="false" ht="15.75" hidden="false" customHeight="true" outlineLevel="0" collapsed="false">
      <c r="B421" s="19" t="n">
        <v>1250</v>
      </c>
      <c r="C421" s="20" t="s">
        <v>1347</v>
      </c>
      <c r="D421" s="20" t="s">
        <v>159</v>
      </c>
      <c r="E421" s="21" t="s">
        <v>1348</v>
      </c>
      <c r="F421" s="21" t="n">
        <v>37317</v>
      </c>
      <c r="G421" s="22" t="s">
        <v>471</v>
      </c>
      <c r="H421" s="23" t="n">
        <f aca="false">COUNTIF(CAL!U:AF,B421)</f>
        <v>3</v>
      </c>
      <c r="I421" s="22" t="n">
        <v>9</v>
      </c>
      <c r="J421" s="20" t="s">
        <v>1349</v>
      </c>
    </row>
    <row r="422" customFormat="false" ht="15.75" hidden="false" customHeight="true" outlineLevel="0" collapsed="false">
      <c r="B422" s="19" t="n">
        <v>3373</v>
      </c>
      <c r="C422" s="20" t="s">
        <v>1350</v>
      </c>
      <c r="D422" s="20" t="s">
        <v>338</v>
      </c>
      <c r="E422" s="21" t="s">
        <v>1351</v>
      </c>
      <c r="F422" s="21" t="n">
        <v>38287</v>
      </c>
      <c r="G422" s="22" t="s">
        <v>471</v>
      </c>
      <c r="H422" s="23" t="n">
        <f aca="false">COUNTIF(CAL!U:AF,B422)</f>
        <v>3</v>
      </c>
      <c r="I422" s="22" t="n">
        <v>9</v>
      </c>
      <c r="J422" s="20"/>
    </row>
    <row r="423" customFormat="false" ht="15.75" hidden="false" customHeight="true" outlineLevel="0" collapsed="false">
      <c r="B423" s="19" t="n">
        <v>2465</v>
      </c>
      <c r="C423" s="20" t="s">
        <v>1119</v>
      </c>
      <c r="D423" s="20" t="s">
        <v>360</v>
      </c>
      <c r="E423" s="21" t="s">
        <v>1352</v>
      </c>
      <c r="F423" s="21" t="n">
        <v>33481</v>
      </c>
      <c r="G423" s="22" t="s">
        <v>471</v>
      </c>
      <c r="H423" s="23" t="n">
        <f aca="false">COUNTIF(CAL!U:AF,B423)</f>
        <v>3</v>
      </c>
      <c r="I423" s="22" t="n">
        <v>9</v>
      </c>
      <c r="J423" s="20"/>
    </row>
    <row r="424" customFormat="false" ht="15.75" hidden="false" customHeight="true" outlineLevel="0" collapsed="false">
      <c r="B424" s="19" t="n">
        <v>2967</v>
      </c>
      <c r="C424" s="20" t="s">
        <v>1119</v>
      </c>
      <c r="D424" s="20" t="s">
        <v>321</v>
      </c>
      <c r="E424" s="21" t="s">
        <v>1353</v>
      </c>
      <c r="F424" s="21" t="n">
        <v>37812</v>
      </c>
      <c r="G424" s="22" t="s">
        <v>471</v>
      </c>
      <c r="H424" s="23" t="n">
        <f aca="false">COUNTIF(CAL!U:AF,B424)</f>
        <v>3</v>
      </c>
      <c r="I424" s="22" t="n">
        <v>9</v>
      </c>
      <c r="J424" s="20"/>
    </row>
    <row r="425" customFormat="false" ht="15.75" hidden="false" customHeight="true" outlineLevel="0" collapsed="false">
      <c r="B425" s="19" t="n">
        <v>2447</v>
      </c>
      <c r="C425" s="20" t="s">
        <v>1354</v>
      </c>
      <c r="D425" s="20" t="s">
        <v>315</v>
      </c>
      <c r="E425" s="21" t="s">
        <v>1355</v>
      </c>
      <c r="F425" s="21" t="n">
        <v>32987</v>
      </c>
      <c r="G425" s="22" t="s">
        <v>471</v>
      </c>
      <c r="H425" s="23" t="n">
        <f aca="false">COUNTIF(CAL!U:AF,B425)</f>
        <v>3</v>
      </c>
      <c r="I425" s="22" t="n">
        <v>9</v>
      </c>
      <c r="J425" s="20"/>
    </row>
    <row r="426" customFormat="false" ht="15.75" hidden="false" customHeight="true" outlineLevel="0" collapsed="false">
      <c r="B426" s="19" t="n">
        <v>1874</v>
      </c>
      <c r="C426" s="20" t="s">
        <v>1356</v>
      </c>
      <c r="D426" s="20" t="s">
        <v>340</v>
      </c>
      <c r="E426" s="24" t="s">
        <v>1357</v>
      </c>
      <c r="F426" s="21" t="n">
        <v>32623</v>
      </c>
      <c r="G426" s="22" t="s">
        <v>471</v>
      </c>
      <c r="H426" s="23" t="n">
        <f aca="false">COUNTIF(CAL!U:AF,B426)</f>
        <v>3</v>
      </c>
      <c r="I426" s="22" t="n">
        <v>9</v>
      </c>
      <c r="J426" s="20" t="s">
        <v>1358</v>
      </c>
    </row>
    <row r="427" customFormat="false" ht="15.75" hidden="false" customHeight="true" outlineLevel="0" collapsed="false">
      <c r="B427" s="19" t="n">
        <v>2433</v>
      </c>
      <c r="C427" s="20" t="s">
        <v>1359</v>
      </c>
      <c r="D427" s="20" t="s">
        <v>183</v>
      </c>
      <c r="E427" s="21" t="s">
        <v>1360</v>
      </c>
      <c r="F427" s="21" t="n">
        <v>35034</v>
      </c>
      <c r="G427" s="22" t="s">
        <v>471</v>
      </c>
      <c r="H427" s="23" t="n">
        <f aca="false">COUNTIF(CAL!U:AF,B427)</f>
        <v>3</v>
      </c>
      <c r="I427" s="22" t="n">
        <v>10</v>
      </c>
      <c r="J427" s="20"/>
    </row>
    <row r="428" customFormat="false" ht="15.75" hidden="false" customHeight="true" outlineLevel="0" collapsed="false">
      <c r="B428" s="19" t="n">
        <v>2733</v>
      </c>
      <c r="C428" s="20" t="s">
        <v>1361</v>
      </c>
      <c r="D428" s="20" t="s">
        <v>348</v>
      </c>
      <c r="E428" s="21" t="s">
        <v>1362</v>
      </c>
      <c r="F428" s="21" t="n">
        <v>34428</v>
      </c>
      <c r="G428" s="22" t="s">
        <v>471</v>
      </c>
      <c r="H428" s="23" t="n">
        <f aca="false">COUNTIF(CAL!U:AF,B428)</f>
        <v>3</v>
      </c>
      <c r="I428" s="22" t="n">
        <v>10</v>
      </c>
      <c r="J428" s="20"/>
    </row>
    <row r="429" customFormat="false" ht="15.75" hidden="false" customHeight="true" outlineLevel="0" collapsed="false">
      <c r="B429" s="19" t="n">
        <v>2956</v>
      </c>
      <c r="C429" s="20" t="s">
        <v>1363</v>
      </c>
      <c r="D429" s="20" t="s">
        <v>163</v>
      </c>
      <c r="E429" s="21" t="s">
        <v>1364</v>
      </c>
      <c r="F429" s="21" t="n">
        <v>35694</v>
      </c>
      <c r="G429" s="22" t="s">
        <v>504</v>
      </c>
      <c r="H429" s="23" t="n">
        <f aca="false">COUNTIF(CAL!U:AF,B429)</f>
        <v>3</v>
      </c>
      <c r="I429" s="22" t="n">
        <v>10</v>
      </c>
      <c r="J429" s="20"/>
    </row>
    <row r="430" customFormat="false" ht="15.75" hidden="false" customHeight="true" outlineLevel="0" collapsed="false">
      <c r="B430" s="19" t="n">
        <v>3014</v>
      </c>
      <c r="C430" s="20" t="s">
        <v>1365</v>
      </c>
      <c r="D430" s="20" t="s">
        <v>292</v>
      </c>
      <c r="E430" s="21" t="s">
        <v>1366</v>
      </c>
      <c r="F430" s="21" t="n">
        <v>38819</v>
      </c>
      <c r="G430" s="22" t="s">
        <v>471</v>
      </c>
      <c r="H430" s="23" t="n">
        <f aca="false">COUNTIF(CAL!U:AF,B430)</f>
        <v>3</v>
      </c>
      <c r="I430" s="22" t="n">
        <v>10</v>
      </c>
      <c r="J430" s="20"/>
    </row>
    <row r="431" customFormat="false" ht="15.75" hidden="false" customHeight="true" outlineLevel="0" collapsed="false">
      <c r="B431" s="19" t="n">
        <v>2446</v>
      </c>
      <c r="C431" s="20" t="s">
        <v>1367</v>
      </c>
      <c r="D431" s="20" t="s">
        <v>301</v>
      </c>
      <c r="E431" s="21" t="s">
        <v>1368</v>
      </c>
      <c r="F431" s="21" t="n">
        <v>37579</v>
      </c>
      <c r="G431" s="22" t="s">
        <v>471</v>
      </c>
      <c r="H431" s="23" t="n">
        <f aca="false">COUNTIF(CAL!U:AF,B431)</f>
        <v>3</v>
      </c>
      <c r="I431" s="22" t="n">
        <v>10</v>
      </c>
      <c r="J431" s="20"/>
    </row>
    <row r="432" customFormat="false" ht="15.75" hidden="false" customHeight="true" outlineLevel="0" collapsed="false">
      <c r="B432" s="19" t="n">
        <v>1970</v>
      </c>
      <c r="C432" s="20" t="s">
        <v>1037</v>
      </c>
      <c r="D432" s="20" t="s">
        <v>103</v>
      </c>
      <c r="E432" s="21" t="s">
        <v>1369</v>
      </c>
      <c r="F432" s="21" t="n">
        <v>36692</v>
      </c>
      <c r="G432" s="22" t="s">
        <v>471</v>
      </c>
      <c r="H432" s="23" t="n">
        <f aca="false">COUNTIF(CAL!U:AF,B432)</f>
        <v>3</v>
      </c>
      <c r="I432" s="22" t="n">
        <v>10</v>
      </c>
      <c r="J432" s="20"/>
    </row>
    <row r="433" customFormat="false" ht="15.75" hidden="false" customHeight="true" outlineLevel="0" collapsed="false">
      <c r="B433" s="19" t="n">
        <v>3050</v>
      </c>
      <c r="C433" s="20" t="s">
        <v>1370</v>
      </c>
      <c r="D433" s="20" t="s">
        <v>268</v>
      </c>
      <c r="E433" s="21" t="s">
        <v>1371</v>
      </c>
      <c r="F433" s="21" t="n">
        <v>38113</v>
      </c>
      <c r="G433" s="22" t="s">
        <v>471</v>
      </c>
      <c r="H433" s="23" t="n">
        <f aca="false">COUNTIF(CAL!U:AF,B433)</f>
        <v>3</v>
      </c>
      <c r="I433" s="22" t="n">
        <v>10</v>
      </c>
      <c r="J433" s="20"/>
    </row>
    <row r="434" customFormat="false" ht="15.75" hidden="false" customHeight="true" outlineLevel="0" collapsed="false">
      <c r="B434" s="19" t="n">
        <v>1625</v>
      </c>
      <c r="C434" s="20" t="s">
        <v>1372</v>
      </c>
      <c r="D434" s="20" t="s">
        <v>269</v>
      </c>
      <c r="E434" s="21" t="s">
        <v>1373</v>
      </c>
      <c r="F434" s="21" t="n">
        <v>36792</v>
      </c>
      <c r="G434" s="22" t="s">
        <v>471</v>
      </c>
      <c r="H434" s="23" t="n">
        <f aca="false">COUNTIF(CAL!U:AF,B434)</f>
        <v>3</v>
      </c>
      <c r="I434" s="22" t="n">
        <v>10</v>
      </c>
      <c r="J434" s="20"/>
    </row>
    <row r="435" customFormat="false" ht="15.75" hidden="false" customHeight="true" outlineLevel="0" collapsed="false">
      <c r="B435" s="19" t="n">
        <v>1348</v>
      </c>
      <c r="C435" s="20" t="s">
        <v>1374</v>
      </c>
      <c r="D435" s="20" t="s">
        <v>76</v>
      </c>
      <c r="E435" s="24" t="s">
        <v>1375</v>
      </c>
      <c r="F435" s="21" t="n">
        <v>38324</v>
      </c>
      <c r="G435" s="22" t="s">
        <v>471</v>
      </c>
      <c r="H435" s="23" t="n">
        <f aca="false">COUNTIF(CAL!U:AF,B435)</f>
        <v>3</v>
      </c>
      <c r="I435" s="22" t="n">
        <v>10</v>
      </c>
      <c r="J435" s="20"/>
    </row>
    <row r="436" customFormat="false" ht="15.75" hidden="false" customHeight="true" outlineLevel="0" collapsed="false">
      <c r="B436" s="19" t="n">
        <v>1924</v>
      </c>
      <c r="C436" s="20" t="s">
        <v>1376</v>
      </c>
      <c r="D436" s="20" t="s">
        <v>178</v>
      </c>
      <c r="E436" s="21" t="s">
        <v>1377</v>
      </c>
      <c r="F436" s="21" t="n">
        <v>36971</v>
      </c>
      <c r="G436" s="22" t="s">
        <v>471</v>
      </c>
      <c r="H436" s="23" t="n">
        <f aca="false">COUNTIF(CAL!U:AF,B436)</f>
        <v>3</v>
      </c>
      <c r="I436" s="22" t="n">
        <v>10</v>
      </c>
      <c r="J436" s="20" t="s">
        <v>1378</v>
      </c>
    </row>
    <row r="437" customFormat="false" ht="15.75" hidden="false" customHeight="true" outlineLevel="0" collapsed="false">
      <c r="B437" s="19" t="n">
        <v>1068</v>
      </c>
      <c r="C437" s="20" t="s">
        <v>1379</v>
      </c>
      <c r="D437" s="20" t="s">
        <v>295</v>
      </c>
      <c r="E437" s="21" t="s">
        <v>1380</v>
      </c>
      <c r="F437" s="21" t="n">
        <v>37193</v>
      </c>
      <c r="G437" s="22" t="s">
        <v>471</v>
      </c>
      <c r="H437" s="23" t="n">
        <f aca="false">COUNTIF(CAL!U:AF,B437)</f>
        <v>3</v>
      </c>
      <c r="I437" s="22" t="n">
        <v>10</v>
      </c>
      <c r="J437" s="20" t="s">
        <v>1381</v>
      </c>
    </row>
    <row r="438" customFormat="false" ht="15.75" hidden="false" customHeight="true" outlineLevel="0" collapsed="false">
      <c r="B438" s="19" t="n">
        <v>1728</v>
      </c>
      <c r="C438" s="20" t="s">
        <v>1382</v>
      </c>
      <c r="D438" s="20" t="s">
        <v>435</v>
      </c>
      <c r="E438" s="24" t="s">
        <v>1383</v>
      </c>
      <c r="F438" s="21" t="n">
        <v>35118</v>
      </c>
      <c r="G438" s="22" t="s">
        <v>471</v>
      </c>
      <c r="H438" s="23" t="n">
        <f aca="false">COUNTIF(CAL!U:AF,B438)</f>
        <v>3</v>
      </c>
      <c r="I438" s="22" t="n">
        <v>10</v>
      </c>
      <c r="J438" s="20"/>
    </row>
    <row r="439" customFormat="false" ht="15.75" hidden="false" customHeight="true" outlineLevel="0" collapsed="false">
      <c r="B439" s="19" t="n">
        <v>1253</v>
      </c>
      <c r="C439" s="20" t="s">
        <v>1384</v>
      </c>
      <c r="D439" s="20" t="s">
        <v>183</v>
      </c>
      <c r="E439" s="21" t="s">
        <v>1385</v>
      </c>
      <c r="F439" s="21" t="n">
        <v>36597</v>
      </c>
      <c r="G439" s="22" t="s">
        <v>471</v>
      </c>
      <c r="H439" s="23" t="n">
        <f aca="false">COUNTIF(CAL!U:AF,B439)</f>
        <v>3</v>
      </c>
      <c r="I439" s="22" t="n">
        <v>10</v>
      </c>
      <c r="J439" s="20" t="s">
        <v>1386</v>
      </c>
    </row>
    <row r="440" customFormat="false" ht="15.75" hidden="false" customHeight="true" outlineLevel="0" collapsed="false">
      <c r="B440" s="19" t="n">
        <v>2780</v>
      </c>
      <c r="C440" s="20" t="s">
        <v>1387</v>
      </c>
      <c r="D440" s="20" t="s">
        <v>338</v>
      </c>
      <c r="E440" s="21" t="s">
        <v>1388</v>
      </c>
      <c r="F440" s="21" t="n">
        <v>34738</v>
      </c>
      <c r="G440" s="22" t="s">
        <v>471</v>
      </c>
      <c r="H440" s="23" t="n">
        <f aca="false">COUNTIF(CAL!U:AF,B440)</f>
        <v>3</v>
      </c>
      <c r="I440" s="22" t="n">
        <v>10</v>
      </c>
      <c r="J440" s="20"/>
    </row>
    <row r="441" customFormat="false" ht="15.75" hidden="false" customHeight="true" outlineLevel="0" collapsed="false">
      <c r="B441" s="19" t="n">
        <v>2270</v>
      </c>
      <c r="C441" s="20" t="s">
        <v>1389</v>
      </c>
      <c r="D441" s="20" t="s">
        <v>303</v>
      </c>
      <c r="E441" s="21" t="s">
        <v>1390</v>
      </c>
      <c r="F441" s="21" t="n">
        <v>35382</v>
      </c>
      <c r="G441" s="22" t="s">
        <v>492</v>
      </c>
      <c r="H441" s="23" t="n">
        <f aca="false">COUNTIF(CAL!U:AF,B441)</f>
        <v>3</v>
      </c>
      <c r="I441" s="22" t="n">
        <v>10</v>
      </c>
      <c r="J441" s="20"/>
    </row>
    <row r="442" customFormat="false" ht="15.75" hidden="false" customHeight="true" outlineLevel="0" collapsed="false">
      <c r="B442" s="19" t="n">
        <v>1899</v>
      </c>
      <c r="C442" s="20" t="s">
        <v>829</v>
      </c>
      <c r="D442" s="20" t="s">
        <v>74</v>
      </c>
      <c r="E442" s="21" t="s">
        <v>1391</v>
      </c>
      <c r="F442" s="21" t="n">
        <v>37595</v>
      </c>
      <c r="G442" s="22" t="s">
        <v>471</v>
      </c>
      <c r="H442" s="23" t="n">
        <f aca="false">COUNTIF(CAL!U:AF,B442)</f>
        <v>3</v>
      </c>
      <c r="I442" s="22" t="n">
        <v>10</v>
      </c>
      <c r="J442" s="20"/>
    </row>
    <row r="443" customFormat="false" ht="15.75" hidden="false" customHeight="true" outlineLevel="0" collapsed="false">
      <c r="B443" s="19" t="n">
        <v>1850</v>
      </c>
      <c r="C443" s="20" t="s">
        <v>1392</v>
      </c>
      <c r="D443" s="20" t="s">
        <v>332</v>
      </c>
      <c r="E443" s="21" t="s">
        <v>1393</v>
      </c>
      <c r="F443" s="21" t="n">
        <v>37711</v>
      </c>
      <c r="G443" s="22" t="s">
        <v>471</v>
      </c>
      <c r="H443" s="23" t="n">
        <f aca="false">COUNTIF(CAL!U:AF,B443)</f>
        <v>3</v>
      </c>
      <c r="I443" s="22" t="n">
        <v>10</v>
      </c>
      <c r="J443" s="20"/>
    </row>
    <row r="444" customFormat="false" ht="15.75" hidden="false" customHeight="true" outlineLevel="0" collapsed="false">
      <c r="B444" s="19" t="n">
        <v>1003</v>
      </c>
      <c r="C444" s="20" t="s">
        <v>1394</v>
      </c>
      <c r="D444" s="20" t="s">
        <v>33</v>
      </c>
      <c r="E444" s="24" t="s">
        <v>1395</v>
      </c>
      <c r="F444" s="21" t="n">
        <v>37839</v>
      </c>
      <c r="G444" s="22" t="s">
        <v>471</v>
      </c>
      <c r="H444" s="23" t="n">
        <f aca="false">COUNTIF(CAL!U:AF,B444)</f>
        <v>3</v>
      </c>
      <c r="I444" s="22" t="n">
        <v>10</v>
      </c>
      <c r="J444" s="20"/>
    </row>
    <row r="445" customFormat="false" ht="15.75" hidden="false" customHeight="true" outlineLevel="0" collapsed="false">
      <c r="B445" s="19" t="n">
        <v>1591</v>
      </c>
      <c r="C445" s="20" t="s">
        <v>1396</v>
      </c>
      <c r="D445" s="20" t="s">
        <v>301</v>
      </c>
      <c r="E445" s="24" t="s">
        <v>1397</v>
      </c>
      <c r="F445" s="21" t="n">
        <v>34388</v>
      </c>
      <c r="G445" s="22" t="s">
        <v>471</v>
      </c>
      <c r="H445" s="23" t="n">
        <f aca="false">COUNTIF(CAL!U:AF,B445)</f>
        <v>3</v>
      </c>
      <c r="I445" s="22" t="n">
        <v>10</v>
      </c>
      <c r="J445" s="20"/>
    </row>
    <row r="446" customFormat="false" ht="15.75" hidden="false" customHeight="true" outlineLevel="0" collapsed="false">
      <c r="B446" s="19" t="n">
        <v>2622</v>
      </c>
      <c r="C446" s="20" t="s">
        <v>754</v>
      </c>
      <c r="D446" s="20" t="s">
        <v>265</v>
      </c>
      <c r="E446" s="21" t="s">
        <v>1398</v>
      </c>
      <c r="F446" s="21" t="n">
        <v>35952</v>
      </c>
      <c r="G446" s="22" t="s">
        <v>471</v>
      </c>
      <c r="H446" s="23" t="n">
        <f aca="false">COUNTIF(CAL!U:AF,B446)</f>
        <v>3</v>
      </c>
      <c r="I446" s="22" t="n">
        <v>10</v>
      </c>
      <c r="J446" s="20"/>
    </row>
    <row r="447" customFormat="false" ht="15.75" hidden="false" customHeight="true" outlineLevel="0" collapsed="false">
      <c r="B447" s="19" t="n">
        <v>3438</v>
      </c>
      <c r="C447" s="20" t="s">
        <v>1399</v>
      </c>
      <c r="D447" s="20" t="s">
        <v>360</v>
      </c>
      <c r="E447" s="21" t="s">
        <v>1400</v>
      </c>
      <c r="F447" s="21" t="n">
        <v>37222</v>
      </c>
      <c r="G447" s="22" t="s">
        <v>471</v>
      </c>
      <c r="H447" s="23" t="n">
        <f aca="false">COUNTIF(CAL!U:AF,B447)</f>
        <v>3</v>
      </c>
      <c r="I447" s="22" t="n">
        <v>10</v>
      </c>
      <c r="J447" s="20"/>
    </row>
    <row r="448" customFormat="false" ht="15.75" hidden="false" customHeight="true" outlineLevel="0" collapsed="false">
      <c r="B448" s="19" t="n">
        <v>1423</v>
      </c>
      <c r="C448" s="20" t="s">
        <v>1401</v>
      </c>
      <c r="D448" s="20" t="s">
        <v>51</v>
      </c>
      <c r="E448" s="21" t="s">
        <v>1402</v>
      </c>
      <c r="F448" s="21" t="n">
        <v>38317</v>
      </c>
      <c r="G448" s="22" t="s">
        <v>471</v>
      </c>
      <c r="H448" s="23" t="n">
        <f aca="false">COUNTIF(CAL!U:AF,B448)</f>
        <v>3</v>
      </c>
      <c r="I448" s="22" t="n">
        <v>10</v>
      </c>
      <c r="J448" s="20"/>
    </row>
    <row r="449" customFormat="false" ht="15.75" hidden="false" customHeight="true" outlineLevel="0" collapsed="false">
      <c r="B449" s="19" t="n">
        <v>1311</v>
      </c>
      <c r="C449" s="20" t="s">
        <v>1403</v>
      </c>
      <c r="D449" s="20" t="s">
        <v>299</v>
      </c>
      <c r="E449" s="21" t="s">
        <v>1404</v>
      </c>
      <c r="F449" s="21" t="n">
        <v>34548</v>
      </c>
      <c r="G449" s="22" t="s">
        <v>471</v>
      </c>
      <c r="H449" s="23" t="n">
        <f aca="false">COUNTIF(CAL!U:AF,B449)</f>
        <v>3</v>
      </c>
      <c r="I449" s="22" t="n">
        <v>10</v>
      </c>
      <c r="J449" s="20"/>
    </row>
    <row r="450" customFormat="false" ht="15.75" hidden="false" customHeight="true" outlineLevel="0" collapsed="false">
      <c r="B450" s="19" t="n">
        <v>1593</v>
      </c>
      <c r="C450" s="20" t="s">
        <v>1405</v>
      </c>
      <c r="D450" s="20" t="s">
        <v>292</v>
      </c>
      <c r="E450" s="24" t="s">
        <v>1406</v>
      </c>
      <c r="F450" s="21" t="n">
        <v>33307</v>
      </c>
      <c r="G450" s="22" t="s">
        <v>471</v>
      </c>
      <c r="H450" s="23" t="n">
        <f aca="false">COUNTIF(CAL!U:AF,B450)</f>
        <v>3</v>
      </c>
      <c r="I450" s="22" t="n">
        <v>10</v>
      </c>
      <c r="J450" s="20"/>
    </row>
    <row r="451" customFormat="false" ht="15.75" hidden="false" customHeight="true" outlineLevel="0" collapsed="false">
      <c r="B451" s="19" t="n">
        <v>1260</v>
      </c>
      <c r="C451" s="20" t="s">
        <v>1407</v>
      </c>
      <c r="D451" s="20" t="s">
        <v>117</v>
      </c>
      <c r="E451" s="21" t="s">
        <v>1408</v>
      </c>
      <c r="F451" s="21" t="n">
        <v>37782</v>
      </c>
      <c r="G451" s="22" t="s">
        <v>471</v>
      </c>
      <c r="H451" s="23" t="n">
        <f aca="false">COUNTIF(CAL!U:AF,B451)</f>
        <v>3</v>
      </c>
      <c r="I451" s="22" t="n">
        <v>10</v>
      </c>
      <c r="J451" s="20"/>
    </row>
    <row r="452" customFormat="false" ht="15.75" hidden="false" customHeight="true" outlineLevel="0" collapsed="false">
      <c r="B452" s="19" t="n">
        <v>2973</v>
      </c>
      <c r="C452" s="20" t="s">
        <v>1409</v>
      </c>
      <c r="D452" s="20" t="s">
        <v>164</v>
      </c>
      <c r="E452" s="21" t="s">
        <v>1410</v>
      </c>
      <c r="F452" s="21" t="n">
        <v>32937</v>
      </c>
      <c r="G452" s="22" t="s">
        <v>471</v>
      </c>
      <c r="H452" s="23" t="n">
        <f aca="false">COUNTIF(CAL!U:AF,B452)</f>
        <v>3</v>
      </c>
      <c r="I452" s="22" t="n">
        <v>10</v>
      </c>
      <c r="J452" s="20"/>
    </row>
    <row r="453" customFormat="false" ht="15.75" hidden="false" customHeight="true" outlineLevel="0" collapsed="false">
      <c r="B453" s="19" t="n">
        <v>1434</v>
      </c>
      <c r="C453" s="20" t="s">
        <v>1411</v>
      </c>
      <c r="D453" s="20" t="s">
        <v>165</v>
      </c>
      <c r="E453" s="21" t="s">
        <v>1412</v>
      </c>
      <c r="F453" s="21" t="n">
        <v>33651</v>
      </c>
      <c r="G453" s="22" t="s">
        <v>471</v>
      </c>
      <c r="H453" s="23" t="n">
        <f aca="false">COUNTIF(CAL!U:AF,B453)</f>
        <v>3</v>
      </c>
      <c r="I453" s="22" t="n">
        <v>10</v>
      </c>
      <c r="J453" s="20" t="s">
        <v>1069</v>
      </c>
    </row>
    <row r="454" customFormat="false" ht="15.75" hidden="false" customHeight="true" outlineLevel="0" collapsed="false">
      <c r="B454" s="19" t="n">
        <v>1395</v>
      </c>
      <c r="C454" s="20" t="s">
        <v>1413</v>
      </c>
      <c r="D454" s="20" t="s">
        <v>261</v>
      </c>
      <c r="E454" s="21" t="s">
        <v>1414</v>
      </c>
      <c r="F454" s="21" t="n">
        <v>36734</v>
      </c>
      <c r="G454" s="22" t="s">
        <v>471</v>
      </c>
      <c r="H454" s="23" t="n">
        <f aca="false">COUNTIF(CAL!U:AF,B454)</f>
        <v>3</v>
      </c>
      <c r="I454" s="22" t="n">
        <v>10</v>
      </c>
      <c r="J454" s="20"/>
    </row>
    <row r="455" customFormat="false" ht="15.75" hidden="false" customHeight="true" outlineLevel="0" collapsed="false">
      <c r="B455" s="19" t="n">
        <v>2233</v>
      </c>
      <c r="C455" s="20" t="s">
        <v>1415</v>
      </c>
      <c r="D455" s="20" t="s">
        <v>108</v>
      </c>
      <c r="E455" s="24" t="s">
        <v>1416</v>
      </c>
      <c r="F455" s="21" t="n">
        <v>35313</v>
      </c>
      <c r="G455" s="22" t="s">
        <v>471</v>
      </c>
      <c r="H455" s="23" t="n">
        <f aca="false">COUNTIF(CAL!U:AF,B455)</f>
        <v>3</v>
      </c>
      <c r="I455" s="22" t="n">
        <v>10</v>
      </c>
      <c r="J455" s="20"/>
    </row>
    <row r="456" customFormat="false" ht="15.75" hidden="false" customHeight="true" outlineLevel="0" collapsed="false">
      <c r="B456" s="19" t="n">
        <v>1519</v>
      </c>
      <c r="C456" s="20" t="s">
        <v>1417</v>
      </c>
      <c r="D456" s="20" t="s">
        <v>144</v>
      </c>
      <c r="E456" s="21" t="s">
        <v>1418</v>
      </c>
      <c r="F456" s="21" t="n">
        <v>35117</v>
      </c>
      <c r="G456" s="22" t="s">
        <v>471</v>
      </c>
      <c r="H456" s="23" t="n">
        <f aca="false">COUNTIF(CAL!U:AF,B456)</f>
        <v>3</v>
      </c>
      <c r="I456" s="22" t="n">
        <v>10</v>
      </c>
      <c r="J456" s="20"/>
    </row>
    <row r="457" customFormat="false" ht="15.75" hidden="false" customHeight="true" outlineLevel="0" collapsed="false">
      <c r="B457" s="19" t="n">
        <v>3493</v>
      </c>
      <c r="C457" s="20" t="s">
        <v>655</v>
      </c>
      <c r="D457" s="20" t="s">
        <v>290</v>
      </c>
      <c r="E457" s="21" t="s">
        <v>1419</v>
      </c>
      <c r="F457" s="21" t="n">
        <v>33544</v>
      </c>
      <c r="G457" s="22" t="s">
        <v>471</v>
      </c>
      <c r="H457" s="23" t="n">
        <f aca="false">COUNTIF(CAL!U:AF,B457)</f>
        <v>3</v>
      </c>
      <c r="I457" s="22" t="n">
        <v>10</v>
      </c>
      <c r="J457" s="20"/>
    </row>
    <row r="458" customFormat="false" ht="15.75" hidden="false" customHeight="true" outlineLevel="0" collapsed="false">
      <c r="B458" s="19" t="n">
        <v>2010</v>
      </c>
      <c r="C458" s="20" t="s">
        <v>1420</v>
      </c>
      <c r="D458" s="20" t="s">
        <v>85</v>
      </c>
      <c r="E458" s="21" t="s">
        <v>1421</v>
      </c>
      <c r="F458" s="21" t="n">
        <v>33338</v>
      </c>
      <c r="G458" s="22" t="s">
        <v>471</v>
      </c>
      <c r="H458" s="23" t="n">
        <f aca="false">COUNTIF(CAL!U:AF,B458)</f>
        <v>3</v>
      </c>
      <c r="I458" s="22" t="n">
        <v>10</v>
      </c>
      <c r="J458" s="20"/>
    </row>
    <row r="459" customFormat="false" ht="15.75" hidden="false" customHeight="true" outlineLevel="0" collapsed="false">
      <c r="B459" s="19" t="n">
        <v>2473</v>
      </c>
      <c r="C459" s="20" t="s">
        <v>1091</v>
      </c>
      <c r="D459" s="20" t="s">
        <v>218</v>
      </c>
      <c r="E459" s="21" t="s">
        <v>1422</v>
      </c>
      <c r="F459" s="21" t="n">
        <v>36251</v>
      </c>
      <c r="G459" s="22" t="s">
        <v>471</v>
      </c>
      <c r="H459" s="23" t="n">
        <f aca="false">COUNTIF(CAL!U:AF,B459)</f>
        <v>3</v>
      </c>
      <c r="I459" s="22" t="n">
        <v>10</v>
      </c>
      <c r="J459" s="20"/>
    </row>
    <row r="460" customFormat="false" ht="15.75" hidden="false" customHeight="true" outlineLevel="0" collapsed="false">
      <c r="B460" s="19" t="n">
        <v>3199</v>
      </c>
      <c r="C460" s="20" t="s">
        <v>1423</v>
      </c>
      <c r="D460" s="20" t="s">
        <v>332</v>
      </c>
      <c r="E460" s="21" t="s">
        <v>1424</v>
      </c>
      <c r="F460" s="21" t="n">
        <v>36530</v>
      </c>
      <c r="G460" s="22" t="s">
        <v>471</v>
      </c>
      <c r="H460" s="23" t="n">
        <f aca="false">COUNTIF(CAL!U:AF,B460)</f>
        <v>3</v>
      </c>
      <c r="I460" s="22" t="n">
        <v>11</v>
      </c>
      <c r="J460" s="20"/>
    </row>
    <row r="461" customFormat="false" ht="15.75" hidden="false" customHeight="true" outlineLevel="0" collapsed="false">
      <c r="B461" s="19" t="n">
        <v>1866</v>
      </c>
      <c r="C461" s="20" t="s">
        <v>1425</v>
      </c>
      <c r="D461" s="20" t="s">
        <v>218</v>
      </c>
      <c r="E461" s="21" t="s">
        <v>1426</v>
      </c>
      <c r="F461" s="21" t="n">
        <v>36793</v>
      </c>
      <c r="G461" s="22" t="s">
        <v>471</v>
      </c>
      <c r="H461" s="23" t="n">
        <f aca="false">COUNTIF(CAL!U:AF,B461)</f>
        <v>3</v>
      </c>
      <c r="I461" s="22" t="n">
        <v>11</v>
      </c>
      <c r="J461" s="20"/>
    </row>
    <row r="462" customFormat="false" ht="15.75" hidden="false" customHeight="true" outlineLevel="0" collapsed="false">
      <c r="B462" s="19" t="n">
        <v>3016</v>
      </c>
      <c r="C462" s="20" t="s">
        <v>1427</v>
      </c>
      <c r="D462" s="20" t="s">
        <v>187</v>
      </c>
      <c r="E462" s="21" t="s">
        <v>1428</v>
      </c>
      <c r="F462" s="21" t="n">
        <v>38131</v>
      </c>
      <c r="G462" s="22" t="s">
        <v>471</v>
      </c>
      <c r="H462" s="23" t="n">
        <f aca="false">COUNTIF(CAL!U:AF,B462)</f>
        <v>3</v>
      </c>
      <c r="I462" s="22" t="n">
        <v>11</v>
      </c>
      <c r="J462" s="20"/>
    </row>
    <row r="463" customFormat="false" ht="15.75" hidden="false" customHeight="true" outlineLevel="0" collapsed="false">
      <c r="B463" s="19" t="n">
        <v>2039</v>
      </c>
      <c r="C463" s="20" t="s">
        <v>1429</v>
      </c>
      <c r="D463" s="20" t="s">
        <v>165</v>
      </c>
      <c r="E463" s="21" t="s">
        <v>1430</v>
      </c>
      <c r="F463" s="21" t="n">
        <v>36253</v>
      </c>
      <c r="G463" s="22" t="s">
        <v>471</v>
      </c>
      <c r="H463" s="23" t="n">
        <f aca="false">COUNTIF(CAL!U:AF,B463)</f>
        <v>3</v>
      </c>
      <c r="I463" s="22" t="n">
        <v>11</v>
      </c>
      <c r="J463" s="20"/>
    </row>
    <row r="464" customFormat="false" ht="15.75" hidden="false" customHeight="true" outlineLevel="0" collapsed="false">
      <c r="B464" s="19" t="n">
        <v>3443</v>
      </c>
      <c r="C464" s="20" t="s">
        <v>1431</v>
      </c>
      <c r="D464" s="20" t="s">
        <v>375</v>
      </c>
      <c r="E464" s="21" t="s">
        <v>1432</v>
      </c>
      <c r="F464" s="21" t="n">
        <v>37858</v>
      </c>
      <c r="G464" s="22" t="s">
        <v>471</v>
      </c>
      <c r="H464" s="23" t="n">
        <f aca="false">COUNTIF(CAL!U:AF,B464)</f>
        <v>3</v>
      </c>
      <c r="I464" s="22" t="n">
        <v>11</v>
      </c>
      <c r="J464" s="20"/>
    </row>
    <row r="465" customFormat="false" ht="15.75" hidden="false" customHeight="true" outlineLevel="0" collapsed="false">
      <c r="B465" s="19" t="n">
        <v>2955</v>
      </c>
      <c r="C465" s="20" t="s">
        <v>1433</v>
      </c>
      <c r="D465" s="20" t="s">
        <v>222</v>
      </c>
      <c r="E465" s="21" t="s">
        <v>1434</v>
      </c>
      <c r="F465" s="21" t="n">
        <v>36080</v>
      </c>
      <c r="G465" s="22" t="s">
        <v>471</v>
      </c>
      <c r="H465" s="23" t="n">
        <f aca="false">COUNTIF(CAL!U:AF,B465)</f>
        <v>3</v>
      </c>
      <c r="I465" s="22" t="n">
        <v>11</v>
      </c>
      <c r="J465" s="20"/>
    </row>
    <row r="466" customFormat="false" ht="15.75" hidden="false" customHeight="true" outlineLevel="0" collapsed="false">
      <c r="B466" s="19" t="n">
        <v>2708</v>
      </c>
      <c r="C466" s="20" t="s">
        <v>1435</v>
      </c>
      <c r="D466" s="20" t="s">
        <v>101</v>
      </c>
      <c r="E466" s="21" t="s">
        <v>1436</v>
      </c>
      <c r="F466" s="21" t="n">
        <v>36112</v>
      </c>
      <c r="G466" s="22" t="s">
        <v>471</v>
      </c>
      <c r="H466" s="23" t="n">
        <f aca="false">COUNTIF(CAL!U:AF,B466)</f>
        <v>3</v>
      </c>
      <c r="I466" s="22" t="n">
        <v>11</v>
      </c>
      <c r="J466" s="20"/>
    </row>
    <row r="467" customFormat="false" ht="15.75" hidden="false" customHeight="true" outlineLevel="0" collapsed="false">
      <c r="B467" s="19" t="n">
        <v>1314</v>
      </c>
      <c r="C467" s="20" t="s">
        <v>1437</v>
      </c>
      <c r="D467" s="20" t="s">
        <v>211</v>
      </c>
      <c r="E467" s="21" t="s">
        <v>1438</v>
      </c>
      <c r="F467" s="21" t="n">
        <v>37374</v>
      </c>
      <c r="G467" s="22" t="s">
        <v>471</v>
      </c>
      <c r="H467" s="23" t="n">
        <f aca="false">COUNTIF(CAL!U:AF,B467)</f>
        <v>3</v>
      </c>
      <c r="I467" s="22" t="n">
        <v>11</v>
      </c>
      <c r="J467" s="20"/>
    </row>
    <row r="468" customFormat="false" ht="15.75" hidden="false" customHeight="true" outlineLevel="0" collapsed="false">
      <c r="B468" s="19" t="n">
        <v>3063</v>
      </c>
      <c r="C468" s="20" t="s">
        <v>1439</v>
      </c>
      <c r="D468" s="20" t="s">
        <v>120</v>
      </c>
      <c r="E468" s="21" t="s">
        <v>1440</v>
      </c>
      <c r="F468" s="21" t="n">
        <v>36752</v>
      </c>
      <c r="G468" s="22" t="s">
        <v>1017</v>
      </c>
      <c r="H468" s="23" t="n">
        <f aca="false">COUNTIF(CAL!U:AF,B468)</f>
        <v>3</v>
      </c>
      <c r="I468" s="22" t="n">
        <v>11</v>
      </c>
      <c r="J468" s="20"/>
    </row>
    <row r="469" customFormat="false" ht="15.75" hidden="false" customHeight="true" outlineLevel="0" collapsed="false">
      <c r="B469" s="19" t="n">
        <v>2743</v>
      </c>
      <c r="C469" s="20" t="s">
        <v>1441</v>
      </c>
      <c r="D469" s="20" t="s">
        <v>295</v>
      </c>
      <c r="E469" s="21" t="s">
        <v>1442</v>
      </c>
      <c r="F469" s="21" t="n">
        <v>31787</v>
      </c>
      <c r="G469" s="22" t="s">
        <v>471</v>
      </c>
      <c r="H469" s="23" t="n">
        <f aca="false">COUNTIF(CAL!U:AF,B469)</f>
        <v>3</v>
      </c>
      <c r="I469" s="22" t="n">
        <v>11</v>
      </c>
      <c r="J469" s="20" t="s">
        <v>1443</v>
      </c>
    </row>
    <row r="470" customFormat="false" ht="15.75" hidden="false" customHeight="true" outlineLevel="0" collapsed="false">
      <c r="B470" s="19" t="n">
        <v>2075</v>
      </c>
      <c r="C470" s="20" t="s">
        <v>1444</v>
      </c>
      <c r="D470" s="20" t="s">
        <v>265</v>
      </c>
      <c r="E470" s="21" t="s">
        <v>1445</v>
      </c>
      <c r="F470" s="21" t="n">
        <v>33997</v>
      </c>
      <c r="G470" s="22" t="s">
        <v>471</v>
      </c>
      <c r="H470" s="23" t="n">
        <f aca="false">COUNTIF(CAL!U:AF,B470)</f>
        <v>3</v>
      </c>
      <c r="I470" s="22" t="n">
        <v>11</v>
      </c>
      <c r="J470" s="20"/>
    </row>
    <row r="471" customFormat="false" ht="15.75" hidden="false" customHeight="true" outlineLevel="0" collapsed="false">
      <c r="B471" s="19" t="n">
        <v>2463</v>
      </c>
      <c r="C471" s="20" t="s">
        <v>1446</v>
      </c>
      <c r="D471" s="20" t="s">
        <v>372</v>
      </c>
      <c r="E471" s="21" t="s">
        <v>1447</v>
      </c>
      <c r="F471" s="21" t="n">
        <v>38084</v>
      </c>
      <c r="G471" s="22" t="s">
        <v>471</v>
      </c>
      <c r="H471" s="23" t="n">
        <f aca="false">COUNTIF(CAL!U:AF,B471)</f>
        <v>3</v>
      </c>
      <c r="I471" s="22" t="n">
        <v>11</v>
      </c>
      <c r="J471" s="20"/>
    </row>
    <row r="472" customFormat="false" ht="15.75" hidden="false" customHeight="true" outlineLevel="0" collapsed="false">
      <c r="B472" s="19" t="n">
        <v>3355</v>
      </c>
      <c r="C472" s="20" t="s">
        <v>1448</v>
      </c>
      <c r="D472" s="20" t="s">
        <v>373</v>
      </c>
      <c r="E472" s="24" t="s">
        <v>1449</v>
      </c>
      <c r="F472" s="21" t="n">
        <v>36605</v>
      </c>
      <c r="G472" s="22" t="s">
        <v>471</v>
      </c>
      <c r="H472" s="23" t="n">
        <f aca="false">COUNTIF(CAL!U:AF,B472)</f>
        <v>3</v>
      </c>
      <c r="I472" s="22" t="n">
        <v>11</v>
      </c>
      <c r="J472" s="20"/>
    </row>
    <row r="473" customFormat="false" ht="15.75" hidden="false" customHeight="true" outlineLevel="0" collapsed="false">
      <c r="B473" s="19" t="n">
        <v>2042</v>
      </c>
      <c r="C473" s="20" t="s">
        <v>1450</v>
      </c>
      <c r="D473" s="20" t="s">
        <v>332</v>
      </c>
      <c r="E473" s="21" t="s">
        <v>1451</v>
      </c>
      <c r="F473" s="21" t="n">
        <v>37632</v>
      </c>
      <c r="G473" s="22" t="s">
        <v>471</v>
      </c>
      <c r="H473" s="23" t="n">
        <f aca="false">COUNTIF(CAL!U:AF,B473)</f>
        <v>3</v>
      </c>
      <c r="I473" s="22" t="n">
        <v>11</v>
      </c>
      <c r="J473" s="20"/>
    </row>
    <row r="474" customFormat="false" ht="15.75" hidden="false" customHeight="true" outlineLevel="0" collapsed="false">
      <c r="B474" s="19" t="n">
        <v>2178</v>
      </c>
      <c r="C474" s="20" t="s">
        <v>1452</v>
      </c>
      <c r="D474" s="20" t="s">
        <v>257</v>
      </c>
      <c r="E474" s="24" t="s">
        <v>1453</v>
      </c>
      <c r="F474" s="21" t="n">
        <v>35562</v>
      </c>
      <c r="G474" s="22" t="s">
        <v>471</v>
      </c>
      <c r="H474" s="23" t="n">
        <f aca="false">COUNTIF(CAL!U:AF,B474)</f>
        <v>3</v>
      </c>
      <c r="I474" s="22" t="n">
        <v>11</v>
      </c>
      <c r="J474" s="20" t="s">
        <v>1454</v>
      </c>
    </row>
    <row r="475" customFormat="false" ht="15.75" hidden="false" customHeight="true" outlineLevel="0" collapsed="false">
      <c r="B475" s="19" t="n">
        <v>1957</v>
      </c>
      <c r="C475" s="20" t="s">
        <v>1455</v>
      </c>
      <c r="D475" s="20" t="s">
        <v>67</v>
      </c>
      <c r="E475" s="21" t="s">
        <v>1456</v>
      </c>
      <c r="F475" s="21" t="n">
        <v>33782</v>
      </c>
      <c r="G475" s="22" t="s">
        <v>504</v>
      </c>
      <c r="H475" s="23" t="n">
        <f aca="false">COUNTIF(CAL!U:AF,B475)</f>
        <v>3</v>
      </c>
      <c r="I475" s="22" t="n">
        <v>11</v>
      </c>
      <c r="J475" s="20"/>
    </row>
    <row r="476" customFormat="false" ht="15.75" hidden="false" customHeight="true" outlineLevel="0" collapsed="false">
      <c r="B476" s="19" t="n">
        <v>1864</v>
      </c>
      <c r="C476" s="20" t="s">
        <v>1457</v>
      </c>
      <c r="D476" s="20" t="s">
        <v>234</v>
      </c>
      <c r="E476" s="21" t="s">
        <v>1458</v>
      </c>
      <c r="F476" s="21" t="n">
        <v>36497</v>
      </c>
      <c r="G476" s="22" t="s">
        <v>471</v>
      </c>
      <c r="H476" s="23" t="n">
        <f aca="false">COUNTIF(CAL!U:AF,B476)</f>
        <v>3</v>
      </c>
      <c r="I476" s="22" t="n">
        <v>11</v>
      </c>
      <c r="J476" s="20"/>
    </row>
    <row r="477" customFormat="false" ht="15.75" hidden="false" customHeight="true" outlineLevel="0" collapsed="false">
      <c r="B477" s="19" t="n">
        <v>2933</v>
      </c>
      <c r="C477" s="20" t="s">
        <v>1459</v>
      </c>
      <c r="D477" s="20" t="s">
        <v>92</v>
      </c>
      <c r="E477" s="21" t="s">
        <v>1460</v>
      </c>
      <c r="F477" s="21" t="n">
        <v>35735</v>
      </c>
      <c r="G477" s="22" t="s">
        <v>471</v>
      </c>
      <c r="H477" s="23" t="n">
        <f aca="false">COUNTIF(CAL!U:AF,B477)</f>
        <v>3</v>
      </c>
      <c r="I477" s="22" t="n">
        <v>11</v>
      </c>
      <c r="J477" s="20"/>
    </row>
    <row r="478" customFormat="false" ht="15.75" hidden="false" customHeight="true" outlineLevel="0" collapsed="false">
      <c r="B478" s="19" t="n">
        <v>3295</v>
      </c>
      <c r="C478" s="20" t="s">
        <v>1461</v>
      </c>
      <c r="D478" s="20" t="s">
        <v>134</v>
      </c>
      <c r="E478" s="21" t="s">
        <v>1462</v>
      </c>
      <c r="F478" s="21" t="n">
        <v>35756</v>
      </c>
      <c r="G478" s="22" t="s">
        <v>471</v>
      </c>
      <c r="H478" s="23" t="n">
        <f aca="false">COUNTIF(CAL!U:AF,B478)</f>
        <v>3</v>
      </c>
      <c r="I478" s="22" t="n">
        <v>11</v>
      </c>
      <c r="J478" s="20" t="s">
        <v>1463</v>
      </c>
    </row>
    <row r="479" customFormat="false" ht="15.75" hidden="false" customHeight="true" outlineLevel="0" collapsed="false">
      <c r="B479" s="19" t="n">
        <v>1651</v>
      </c>
      <c r="C479" s="20" t="s">
        <v>1464</v>
      </c>
      <c r="D479" s="20" t="s">
        <v>222</v>
      </c>
      <c r="E479" s="21" t="s">
        <v>1465</v>
      </c>
      <c r="F479" s="21" t="n">
        <v>33052</v>
      </c>
      <c r="G479" s="22" t="s">
        <v>471</v>
      </c>
      <c r="H479" s="23" t="n">
        <f aca="false">COUNTIF(CAL!U:AF,B479)</f>
        <v>3</v>
      </c>
      <c r="I479" s="22" t="n">
        <v>11</v>
      </c>
      <c r="J479" s="20" t="s">
        <v>1466</v>
      </c>
    </row>
    <row r="480" customFormat="false" ht="15.75" hidden="false" customHeight="true" outlineLevel="0" collapsed="false">
      <c r="B480" s="19" t="n">
        <v>2752</v>
      </c>
      <c r="C480" s="20" t="s">
        <v>1467</v>
      </c>
      <c r="D480" s="20" t="s">
        <v>233</v>
      </c>
      <c r="E480" s="21" t="s">
        <v>1468</v>
      </c>
      <c r="F480" s="21" t="n">
        <v>36386</v>
      </c>
      <c r="G480" s="22" t="s">
        <v>884</v>
      </c>
      <c r="H480" s="23" t="n">
        <f aca="false">COUNTIF(CAL!U:AF,B480)</f>
        <v>3</v>
      </c>
      <c r="I480" s="22" t="n">
        <v>11</v>
      </c>
      <c r="J480" s="20"/>
    </row>
    <row r="481" customFormat="false" ht="15.75" hidden="false" customHeight="true" outlineLevel="0" collapsed="false">
      <c r="B481" s="19" t="n">
        <v>1672</v>
      </c>
      <c r="C481" s="20" t="s">
        <v>1469</v>
      </c>
      <c r="D481" s="20" t="s">
        <v>60</v>
      </c>
      <c r="E481" s="24" t="s">
        <v>1470</v>
      </c>
      <c r="F481" s="21" t="n">
        <v>32403</v>
      </c>
      <c r="G481" s="22" t="s">
        <v>471</v>
      </c>
      <c r="H481" s="23" t="n">
        <f aca="false">COUNTIF(CAL!U:AF,B481)</f>
        <v>3</v>
      </c>
      <c r="I481" s="22" t="n">
        <v>11</v>
      </c>
      <c r="J481" s="20" t="s">
        <v>1471</v>
      </c>
    </row>
    <row r="482" customFormat="false" ht="15.75" hidden="false" customHeight="true" outlineLevel="0" collapsed="false">
      <c r="B482" s="19" t="n">
        <v>2002</v>
      </c>
      <c r="C482" s="20" t="s">
        <v>1472</v>
      </c>
      <c r="D482" s="20" t="s">
        <v>284</v>
      </c>
      <c r="E482" s="21" t="s">
        <v>1473</v>
      </c>
      <c r="F482" s="21" t="n">
        <v>37765</v>
      </c>
      <c r="G482" s="22" t="s">
        <v>471</v>
      </c>
      <c r="H482" s="23" t="n">
        <f aca="false">COUNTIF(CAL!U:AF,B482)</f>
        <v>3</v>
      </c>
      <c r="I482" s="22" t="n">
        <v>11</v>
      </c>
      <c r="J482" s="20" t="s">
        <v>1474</v>
      </c>
    </row>
    <row r="483" customFormat="false" ht="15.75" hidden="false" customHeight="true" outlineLevel="0" collapsed="false">
      <c r="B483" s="19" t="n">
        <v>2928</v>
      </c>
      <c r="C483" s="20" t="s">
        <v>1475</v>
      </c>
      <c r="D483" s="20" t="s">
        <v>268</v>
      </c>
      <c r="E483" s="24" t="s">
        <v>1476</v>
      </c>
      <c r="F483" s="21" t="n">
        <v>33678</v>
      </c>
      <c r="G483" s="22" t="s">
        <v>471</v>
      </c>
      <c r="H483" s="23" t="n">
        <f aca="false">COUNTIF(CAL!U:AF,B483)</f>
        <v>3</v>
      </c>
      <c r="I483" s="22" t="n">
        <v>11</v>
      </c>
      <c r="J483" s="20"/>
    </row>
    <row r="484" customFormat="false" ht="15.75" hidden="false" customHeight="true" outlineLevel="0" collapsed="false">
      <c r="B484" s="19" t="n">
        <v>1299</v>
      </c>
      <c r="C484" s="20" t="s">
        <v>1477</v>
      </c>
      <c r="D484" s="20" t="s">
        <v>325</v>
      </c>
      <c r="E484" s="21" t="s">
        <v>1478</v>
      </c>
      <c r="F484" s="21" t="n">
        <v>34789</v>
      </c>
      <c r="G484" s="22" t="s">
        <v>884</v>
      </c>
      <c r="H484" s="23" t="n">
        <f aca="false">COUNTIF(CAL!U:AF,B484)</f>
        <v>3</v>
      </c>
      <c r="I484" s="22" t="n">
        <v>12</v>
      </c>
      <c r="J484" s="20" t="s">
        <v>1479</v>
      </c>
    </row>
    <row r="485" customFormat="false" ht="15.75" hidden="false" customHeight="true" outlineLevel="0" collapsed="false">
      <c r="B485" s="19" t="n">
        <v>1895</v>
      </c>
      <c r="C485" s="20" t="s">
        <v>1480</v>
      </c>
      <c r="D485" s="20" t="s">
        <v>53</v>
      </c>
      <c r="E485" s="21" t="s">
        <v>1481</v>
      </c>
      <c r="F485" s="21" t="n">
        <v>36802</v>
      </c>
      <c r="G485" s="22" t="s">
        <v>471</v>
      </c>
      <c r="H485" s="23" t="n">
        <f aca="false">COUNTIF(CAL!U:AF,B485)</f>
        <v>3</v>
      </c>
      <c r="I485" s="22" t="n">
        <v>12</v>
      </c>
      <c r="J485" s="20"/>
    </row>
    <row r="486" customFormat="false" ht="15.75" hidden="false" customHeight="true" outlineLevel="0" collapsed="false">
      <c r="B486" s="19" t="n">
        <v>2856</v>
      </c>
      <c r="C486" s="20" t="s">
        <v>1482</v>
      </c>
      <c r="D486" s="20" t="s">
        <v>57</v>
      </c>
      <c r="E486" s="21" t="s">
        <v>1483</v>
      </c>
      <c r="F486" s="21" t="n">
        <v>36085</v>
      </c>
      <c r="G486" s="22" t="s">
        <v>471</v>
      </c>
      <c r="H486" s="23" t="n">
        <f aca="false">COUNTIF(CAL!U:AF,B486)</f>
        <v>3</v>
      </c>
      <c r="I486" s="22" t="n">
        <v>12</v>
      </c>
      <c r="J486" s="20"/>
    </row>
    <row r="487" customFormat="false" ht="15.75" hidden="false" customHeight="true" outlineLevel="0" collapsed="false">
      <c r="B487" s="19" t="n">
        <v>1275</v>
      </c>
      <c r="C487" s="20" t="s">
        <v>889</v>
      </c>
      <c r="D487" s="20" t="s">
        <v>107</v>
      </c>
      <c r="E487" s="21" t="s">
        <v>1484</v>
      </c>
      <c r="F487" s="21" t="n">
        <v>37700</v>
      </c>
      <c r="G487" s="22" t="s">
        <v>471</v>
      </c>
      <c r="H487" s="23" t="n">
        <f aca="false">COUNTIF(CAL!U:AF,B487)</f>
        <v>3</v>
      </c>
      <c r="I487" s="22" t="n">
        <v>12</v>
      </c>
      <c r="J487" s="20"/>
    </row>
    <row r="488" customFormat="false" ht="15.75" hidden="false" customHeight="true" outlineLevel="0" collapsed="false">
      <c r="B488" s="19" t="n">
        <v>2321</v>
      </c>
      <c r="C488" s="20" t="s">
        <v>1485</v>
      </c>
      <c r="D488" s="20" t="s">
        <v>60</v>
      </c>
      <c r="E488" s="21" t="s">
        <v>1486</v>
      </c>
      <c r="F488" s="21" t="n">
        <v>36741</v>
      </c>
      <c r="G488" s="22" t="s">
        <v>471</v>
      </c>
      <c r="H488" s="23" t="n">
        <f aca="false">COUNTIF(CAL!U:AF,B488)</f>
        <v>3</v>
      </c>
      <c r="I488" s="22" t="n">
        <v>12</v>
      </c>
      <c r="J488" s="20"/>
    </row>
    <row r="489" customFormat="false" ht="15.75" hidden="false" customHeight="true" outlineLevel="0" collapsed="false">
      <c r="B489" s="19" t="n">
        <v>1195</v>
      </c>
      <c r="C489" s="20" t="s">
        <v>1487</v>
      </c>
      <c r="D489" s="20" t="s">
        <v>223</v>
      </c>
      <c r="E489" s="21" t="s">
        <v>1488</v>
      </c>
      <c r="F489" s="21" t="n">
        <v>36200</v>
      </c>
      <c r="G489" s="22" t="s">
        <v>471</v>
      </c>
      <c r="H489" s="23" t="n">
        <f aca="false">COUNTIF(CAL!U:AF,B489)</f>
        <v>3</v>
      </c>
      <c r="I489" s="22" t="n">
        <v>12</v>
      </c>
      <c r="J489" s="20"/>
    </row>
    <row r="490" customFormat="false" ht="15.75" hidden="false" customHeight="true" outlineLevel="0" collapsed="false">
      <c r="B490" s="19" t="n">
        <v>3266</v>
      </c>
      <c r="C490" s="20" t="s">
        <v>1489</v>
      </c>
      <c r="D490" s="20" t="s">
        <v>368</v>
      </c>
      <c r="E490" s="21" t="s">
        <v>1490</v>
      </c>
      <c r="F490" s="21" t="n">
        <v>33388</v>
      </c>
      <c r="G490" s="22" t="s">
        <v>471</v>
      </c>
      <c r="H490" s="23" t="n">
        <f aca="false">COUNTIF(CAL!U:AF,B490)</f>
        <v>3</v>
      </c>
      <c r="I490" s="22" t="n">
        <v>12</v>
      </c>
      <c r="J490" s="20"/>
    </row>
    <row r="491" customFormat="false" ht="15.75" hidden="false" customHeight="true" outlineLevel="0" collapsed="false">
      <c r="B491" s="19" t="n">
        <v>2794</v>
      </c>
      <c r="C491" s="20" t="s">
        <v>1491</v>
      </c>
      <c r="D491" s="20" t="s">
        <v>418</v>
      </c>
      <c r="E491" s="21" t="s">
        <v>1492</v>
      </c>
      <c r="F491" s="21" t="n">
        <v>33596</v>
      </c>
      <c r="G491" s="22" t="s">
        <v>471</v>
      </c>
      <c r="H491" s="23" t="n">
        <f aca="false">COUNTIF(CAL!U:AF,B491)</f>
        <v>3</v>
      </c>
      <c r="I491" s="22" t="n">
        <v>12</v>
      </c>
      <c r="J491" s="20" t="s">
        <v>1493</v>
      </c>
    </row>
    <row r="492" customFormat="false" ht="15.75" hidden="false" customHeight="true" outlineLevel="0" collapsed="false">
      <c r="B492" s="19" t="n">
        <v>2238</v>
      </c>
      <c r="C492" s="20" t="s">
        <v>1494</v>
      </c>
      <c r="D492" s="20" t="s">
        <v>68</v>
      </c>
      <c r="E492" s="21" t="s">
        <v>1495</v>
      </c>
      <c r="F492" s="21" t="n">
        <v>37287</v>
      </c>
      <c r="G492" s="22" t="s">
        <v>471</v>
      </c>
      <c r="H492" s="23" t="n">
        <f aca="false">COUNTIF(CAL!U:AF,B492)</f>
        <v>3</v>
      </c>
      <c r="I492" s="22" t="n">
        <v>12</v>
      </c>
      <c r="J492" s="20"/>
    </row>
    <row r="493" customFormat="false" ht="15.75" hidden="false" customHeight="true" outlineLevel="0" collapsed="false">
      <c r="B493" s="19" t="n">
        <v>2811</v>
      </c>
      <c r="C493" s="20" t="s">
        <v>1496</v>
      </c>
      <c r="D493" s="20" t="s">
        <v>295</v>
      </c>
      <c r="E493" s="21" t="s">
        <v>1497</v>
      </c>
      <c r="F493" s="21" t="n">
        <v>29786</v>
      </c>
      <c r="G493" s="22" t="s">
        <v>471</v>
      </c>
      <c r="H493" s="23" t="n">
        <f aca="false">COUNTIF(CAL!U:AF,B493)</f>
        <v>3</v>
      </c>
      <c r="I493" s="22" t="n">
        <v>12</v>
      </c>
      <c r="J493" s="20"/>
    </row>
    <row r="494" customFormat="false" ht="15.75" hidden="false" customHeight="true" outlineLevel="0" collapsed="false">
      <c r="B494" s="19" t="n">
        <v>1118</v>
      </c>
      <c r="C494" s="20" t="s">
        <v>1498</v>
      </c>
      <c r="D494" s="20" t="s">
        <v>136</v>
      </c>
      <c r="E494" s="21" t="s">
        <v>1499</v>
      </c>
      <c r="F494" s="21" t="n">
        <v>36810</v>
      </c>
      <c r="G494" s="22" t="s">
        <v>471</v>
      </c>
      <c r="H494" s="23" t="n">
        <f aca="false">COUNTIF(CAL!U:AF,B494)</f>
        <v>3</v>
      </c>
      <c r="I494" s="22" t="n">
        <v>12</v>
      </c>
      <c r="J494" s="20"/>
    </row>
    <row r="495" customFormat="false" ht="15.75" hidden="false" customHeight="true" outlineLevel="0" collapsed="false">
      <c r="B495" s="19" t="n">
        <v>1480</v>
      </c>
      <c r="C495" s="20" t="s">
        <v>1500</v>
      </c>
      <c r="D495" s="20" t="s">
        <v>251</v>
      </c>
      <c r="E495" s="24" t="s">
        <v>1501</v>
      </c>
      <c r="F495" s="21" t="n">
        <v>37155</v>
      </c>
      <c r="G495" s="22" t="s">
        <v>471</v>
      </c>
      <c r="H495" s="23" t="n">
        <f aca="false">COUNTIF(CAL!U:AF,B495)</f>
        <v>3</v>
      </c>
      <c r="I495" s="22" t="n">
        <v>12</v>
      </c>
      <c r="J495" s="20"/>
    </row>
    <row r="496" customFormat="false" ht="15.75" hidden="false" customHeight="true" outlineLevel="0" collapsed="false">
      <c r="B496" s="19" t="n">
        <v>1142</v>
      </c>
      <c r="C496" s="20" t="s">
        <v>1502</v>
      </c>
      <c r="D496" s="20" t="s">
        <v>113</v>
      </c>
      <c r="E496" s="21" t="s">
        <v>1503</v>
      </c>
      <c r="F496" s="21" t="n">
        <v>33724</v>
      </c>
      <c r="G496" s="22" t="s">
        <v>471</v>
      </c>
      <c r="H496" s="23" t="n">
        <f aca="false">COUNTIF(CAL!U:AF,B496)</f>
        <v>3</v>
      </c>
      <c r="I496" s="22" t="n">
        <v>12</v>
      </c>
      <c r="J496" s="20" t="s">
        <v>1504</v>
      </c>
    </row>
    <row r="497" customFormat="false" ht="15.75" hidden="false" customHeight="true" outlineLevel="0" collapsed="false">
      <c r="B497" s="19" t="n">
        <v>1013</v>
      </c>
      <c r="C497" s="20" t="s">
        <v>1505</v>
      </c>
      <c r="D497" s="20" t="s">
        <v>76</v>
      </c>
      <c r="E497" s="24" t="s">
        <v>1506</v>
      </c>
      <c r="F497" s="21" t="n">
        <v>36479</v>
      </c>
      <c r="G497" s="22" t="s">
        <v>471</v>
      </c>
      <c r="H497" s="23" t="n">
        <f aca="false">COUNTIF(CAL!U:AF,B497)</f>
        <v>3</v>
      </c>
      <c r="I497" s="22" t="n">
        <v>12</v>
      </c>
      <c r="J497" s="20" t="s">
        <v>1507</v>
      </c>
    </row>
    <row r="498" customFormat="false" ht="15.75" hidden="false" customHeight="true" outlineLevel="0" collapsed="false">
      <c r="B498" s="19" t="n">
        <v>2069</v>
      </c>
      <c r="C498" s="20" t="s">
        <v>1505</v>
      </c>
      <c r="D498" s="20" t="s">
        <v>59</v>
      </c>
      <c r="E498" s="21" t="s">
        <v>1508</v>
      </c>
      <c r="F498" s="21" t="n">
        <v>34086</v>
      </c>
      <c r="G498" s="22" t="s">
        <v>471</v>
      </c>
      <c r="H498" s="23" t="n">
        <f aca="false">COUNTIF(CAL!U:AF,B498)</f>
        <v>3</v>
      </c>
      <c r="I498" s="22" t="n">
        <v>12</v>
      </c>
      <c r="J498" s="20"/>
    </row>
    <row r="499" customFormat="false" ht="15.75" hidden="false" customHeight="true" outlineLevel="0" collapsed="false">
      <c r="B499" s="19" t="n">
        <v>2189</v>
      </c>
      <c r="C499" s="20" t="s">
        <v>1509</v>
      </c>
      <c r="D499" s="20" t="s">
        <v>54</v>
      </c>
      <c r="E499" s="21" t="s">
        <v>1510</v>
      </c>
      <c r="F499" s="21" t="n">
        <v>32903</v>
      </c>
      <c r="G499" s="22" t="s">
        <v>471</v>
      </c>
      <c r="H499" s="23" t="n">
        <f aca="false">COUNTIF(CAL!U:AF,B499)</f>
        <v>3</v>
      </c>
      <c r="I499" s="22" t="n">
        <v>12</v>
      </c>
      <c r="J499" s="20"/>
    </row>
    <row r="500" customFormat="false" ht="15.75" hidden="false" customHeight="true" outlineLevel="0" collapsed="false">
      <c r="B500" s="19" t="n">
        <v>2930</v>
      </c>
      <c r="C500" s="20" t="s">
        <v>1511</v>
      </c>
      <c r="D500" s="20" t="s">
        <v>93</v>
      </c>
      <c r="E500" s="21" t="s">
        <v>1512</v>
      </c>
      <c r="F500" s="21" t="n">
        <v>36740</v>
      </c>
      <c r="G500" s="22" t="s">
        <v>471</v>
      </c>
      <c r="H500" s="23" t="n">
        <f aca="false">COUNTIF(CAL!U:AF,B500)</f>
        <v>3</v>
      </c>
      <c r="I500" s="22" t="n">
        <v>12</v>
      </c>
      <c r="J500" s="20"/>
    </row>
    <row r="501" customFormat="false" ht="15.75" hidden="false" customHeight="true" outlineLevel="0" collapsed="false">
      <c r="B501" s="19" t="n">
        <v>1438</v>
      </c>
      <c r="C501" s="20" t="s">
        <v>1513</v>
      </c>
      <c r="D501" s="20" t="s">
        <v>189</v>
      </c>
      <c r="E501" s="21" t="s">
        <v>1514</v>
      </c>
      <c r="F501" s="21" t="n">
        <v>36769</v>
      </c>
      <c r="G501" s="22" t="s">
        <v>471</v>
      </c>
      <c r="H501" s="23" t="n">
        <f aca="false">COUNTIF(CAL!U:AF,B501)</f>
        <v>3</v>
      </c>
      <c r="I501" s="22" t="n">
        <v>12</v>
      </c>
      <c r="J501" s="20"/>
    </row>
    <row r="502" customFormat="false" ht="15.75" hidden="false" customHeight="true" outlineLevel="0" collapsed="false">
      <c r="B502" s="19" t="n">
        <v>1024</v>
      </c>
      <c r="C502" s="20" t="s">
        <v>1515</v>
      </c>
      <c r="D502" s="20" t="s">
        <v>53</v>
      </c>
      <c r="E502" s="24" t="s">
        <v>1516</v>
      </c>
      <c r="F502" s="21" t="n">
        <v>37852</v>
      </c>
      <c r="G502" s="22" t="s">
        <v>471</v>
      </c>
      <c r="H502" s="23" t="n">
        <f aca="false">COUNTIF(CAL!U:AF,B502)</f>
        <v>3</v>
      </c>
      <c r="I502" s="22" t="n">
        <v>12</v>
      </c>
      <c r="J502" s="20"/>
    </row>
    <row r="503" customFormat="false" ht="15.75" hidden="false" customHeight="true" outlineLevel="0" collapsed="false">
      <c r="B503" s="19" t="n">
        <v>2599</v>
      </c>
      <c r="C503" s="20" t="s">
        <v>1517</v>
      </c>
      <c r="D503" s="20" t="s">
        <v>311</v>
      </c>
      <c r="E503" s="21" t="s">
        <v>1518</v>
      </c>
      <c r="F503" s="21" t="n">
        <v>36362</v>
      </c>
      <c r="G503" s="22" t="s">
        <v>471</v>
      </c>
      <c r="H503" s="23" t="n">
        <f aca="false">COUNTIF(CAL!U:AF,B503)</f>
        <v>3</v>
      </c>
      <c r="I503" s="22" t="n">
        <v>13</v>
      </c>
      <c r="J503" s="20"/>
    </row>
    <row r="504" customFormat="false" ht="15.75" hidden="false" customHeight="true" outlineLevel="0" collapsed="false">
      <c r="B504" s="19" t="n">
        <v>1665</v>
      </c>
      <c r="C504" s="20" t="s">
        <v>1519</v>
      </c>
      <c r="D504" s="20" t="s">
        <v>134</v>
      </c>
      <c r="E504" s="21" t="s">
        <v>1520</v>
      </c>
      <c r="F504" s="21" t="n">
        <v>37077</v>
      </c>
      <c r="G504" s="22" t="s">
        <v>471</v>
      </c>
      <c r="H504" s="23" t="n">
        <f aca="false">COUNTIF(CAL!U:AF,B504)</f>
        <v>3</v>
      </c>
      <c r="I504" s="22" t="n">
        <v>13</v>
      </c>
      <c r="J504" s="20"/>
    </row>
    <row r="505" customFormat="false" ht="15.75" hidden="false" customHeight="true" outlineLevel="0" collapsed="false">
      <c r="B505" s="19" t="n">
        <v>3505</v>
      </c>
      <c r="C505" s="20" t="s">
        <v>1521</v>
      </c>
      <c r="D505" s="20" t="s">
        <v>366</v>
      </c>
      <c r="E505" s="21" t="s">
        <v>1522</v>
      </c>
      <c r="F505" s="21" t="n">
        <v>36652</v>
      </c>
      <c r="G505" s="22" t="s">
        <v>471</v>
      </c>
      <c r="H505" s="23" t="n">
        <f aca="false">COUNTIF(CAL!U:AF,B505)</f>
        <v>3</v>
      </c>
      <c r="I505" s="22" t="n">
        <v>13</v>
      </c>
      <c r="J505" s="20"/>
    </row>
    <row r="506" customFormat="false" ht="15.75" hidden="false" customHeight="true" outlineLevel="0" collapsed="false">
      <c r="B506" s="19" t="n">
        <v>1597</v>
      </c>
      <c r="C506" s="20" t="s">
        <v>1523</v>
      </c>
      <c r="D506" s="20" t="s">
        <v>54</v>
      </c>
      <c r="E506" s="21" t="s">
        <v>1523</v>
      </c>
      <c r="F506" s="21" t="n">
        <v>34599</v>
      </c>
      <c r="G506" s="22" t="s">
        <v>471</v>
      </c>
      <c r="H506" s="23" t="n">
        <f aca="false">COUNTIF(CAL!U:AF,B506)</f>
        <v>3</v>
      </c>
      <c r="I506" s="22" t="n">
        <v>13</v>
      </c>
      <c r="J506" s="20"/>
    </row>
    <row r="507" customFormat="false" ht="15.75" hidden="false" customHeight="true" outlineLevel="0" collapsed="false">
      <c r="B507" s="19" t="n">
        <v>1683</v>
      </c>
      <c r="C507" s="20" t="s">
        <v>1524</v>
      </c>
      <c r="D507" s="20" t="s">
        <v>274</v>
      </c>
      <c r="E507" s="21" t="s">
        <v>1525</v>
      </c>
      <c r="F507" s="21" t="n">
        <v>34711</v>
      </c>
      <c r="G507" s="22" t="s">
        <v>471</v>
      </c>
      <c r="H507" s="23" t="n">
        <f aca="false">COUNTIF(CAL!U:AF,B507)</f>
        <v>3</v>
      </c>
      <c r="I507" s="22" t="n">
        <v>13</v>
      </c>
      <c r="J507" s="20"/>
    </row>
    <row r="508" customFormat="false" ht="15.75" hidden="false" customHeight="true" outlineLevel="0" collapsed="false">
      <c r="B508" s="19" t="n">
        <v>1277</v>
      </c>
      <c r="C508" s="20" t="s">
        <v>1526</v>
      </c>
      <c r="D508" s="20" t="s">
        <v>109</v>
      </c>
      <c r="E508" s="21" t="s">
        <v>1527</v>
      </c>
      <c r="F508" s="21" t="n">
        <v>37024</v>
      </c>
      <c r="G508" s="22" t="s">
        <v>471</v>
      </c>
      <c r="H508" s="23" t="n">
        <f aca="false">COUNTIF(CAL!U:AF,B508)</f>
        <v>3</v>
      </c>
      <c r="I508" s="22" t="n">
        <v>13</v>
      </c>
      <c r="J508" s="20"/>
    </row>
    <row r="509" customFormat="false" ht="15.75" hidden="false" customHeight="true" outlineLevel="0" collapsed="false">
      <c r="B509" s="19" t="n">
        <v>1460</v>
      </c>
      <c r="C509" s="20" t="s">
        <v>1528</v>
      </c>
      <c r="D509" s="20" t="s">
        <v>85</v>
      </c>
      <c r="E509" s="21" t="s">
        <v>1529</v>
      </c>
      <c r="F509" s="21" t="n">
        <v>35125</v>
      </c>
      <c r="G509" s="22" t="s">
        <v>471</v>
      </c>
      <c r="H509" s="23" t="n">
        <f aca="false">COUNTIF(CAL!U:AF,B509)</f>
        <v>3</v>
      </c>
      <c r="I509" s="22" t="n">
        <v>13</v>
      </c>
      <c r="J509" s="20"/>
    </row>
    <row r="510" customFormat="false" ht="15.75" hidden="false" customHeight="true" outlineLevel="0" collapsed="false">
      <c r="B510" s="19" t="n">
        <v>1736</v>
      </c>
      <c r="C510" s="20" t="s">
        <v>1530</v>
      </c>
      <c r="D510" s="20" t="s">
        <v>58</v>
      </c>
      <c r="E510" s="21" t="s">
        <v>1531</v>
      </c>
      <c r="F510" s="21" t="n">
        <v>36735</v>
      </c>
      <c r="G510" s="22" t="s">
        <v>471</v>
      </c>
      <c r="H510" s="23" t="n">
        <f aca="false">COUNTIF(CAL!U:AF,B510)</f>
        <v>3</v>
      </c>
      <c r="I510" s="22" t="n">
        <v>13</v>
      </c>
      <c r="J510" s="20"/>
    </row>
    <row r="511" customFormat="false" ht="15.75" hidden="false" customHeight="true" outlineLevel="0" collapsed="false">
      <c r="B511" s="19" t="n">
        <v>2085</v>
      </c>
      <c r="C511" s="20" t="s">
        <v>1532</v>
      </c>
      <c r="D511" s="20" t="s">
        <v>418</v>
      </c>
      <c r="E511" s="24" t="s">
        <v>1533</v>
      </c>
      <c r="F511" s="21" t="n">
        <v>36131</v>
      </c>
      <c r="G511" s="22" t="s">
        <v>471</v>
      </c>
      <c r="H511" s="23" t="n">
        <f aca="false">COUNTIF(CAL!U:AF,B511)</f>
        <v>3</v>
      </c>
      <c r="I511" s="22" t="n">
        <v>13</v>
      </c>
      <c r="J511" s="20" t="s">
        <v>1493</v>
      </c>
    </row>
    <row r="512" customFormat="false" ht="15.75" hidden="false" customHeight="true" outlineLevel="0" collapsed="false">
      <c r="B512" s="19" t="n">
        <v>1186</v>
      </c>
      <c r="C512" s="20" t="s">
        <v>1534</v>
      </c>
      <c r="D512" s="20" t="s">
        <v>193</v>
      </c>
      <c r="E512" s="21" t="s">
        <v>1535</v>
      </c>
      <c r="F512" s="21" t="n">
        <v>36052</v>
      </c>
      <c r="G512" s="22" t="s">
        <v>471</v>
      </c>
      <c r="H512" s="23" t="n">
        <f aca="false">COUNTIF(CAL!U:AF,B512)</f>
        <v>3</v>
      </c>
      <c r="I512" s="22" t="n">
        <v>13</v>
      </c>
      <c r="J512" s="20"/>
    </row>
    <row r="513" customFormat="false" ht="15.75" hidden="false" customHeight="true" outlineLevel="0" collapsed="false">
      <c r="B513" s="19" t="n">
        <v>1378</v>
      </c>
      <c r="C513" s="20" t="s">
        <v>1536</v>
      </c>
      <c r="D513" s="20" t="s">
        <v>38</v>
      </c>
      <c r="E513" s="21" t="s">
        <v>1537</v>
      </c>
      <c r="F513" s="21" t="n">
        <v>34425</v>
      </c>
      <c r="G513" s="22" t="s">
        <v>1017</v>
      </c>
      <c r="H513" s="23" t="n">
        <f aca="false">COUNTIF(CAL!U:AF,B513)</f>
        <v>3</v>
      </c>
      <c r="I513" s="22" t="n">
        <v>13</v>
      </c>
      <c r="J513" s="20" t="s">
        <v>1538</v>
      </c>
    </row>
    <row r="514" customFormat="false" ht="15.75" hidden="false" customHeight="true" outlineLevel="0" collapsed="false">
      <c r="B514" s="19" t="n">
        <v>1667</v>
      </c>
      <c r="C514" s="20" t="s">
        <v>1539</v>
      </c>
      <c r="D514" s="20" t="s">
        <v>134</v>
      </c>
      <c r="E514" s="21" t="s">
        <v>1540</v>
      </c>
      <c r="F514" s="21" t="n">
        <v>37494</v>
      </c>
      <c r="G514" s="22" t="s">
        <v>471</v>
      </c>
      <c r="H514" s="23" t="n">
        <f aca="false">COUNTIF(CAL!U:AF,B514)</f>
        <v>3</v>
      </c>
      <c r="I514" s="22" t="n">
        <v>13</v>
      </c>
      <c r="J514" s="20"/>
    </row>
    <row r="515" customFormat="false" ht="15.75" hidden="false" customHeight="true" outlineLevel="0" collapsed="false">
      <c r="B515" s="19" t="n">
        <v>3374</v>
      </c>
      <c r="C515" s="20" t="s">
        <v>1541</v>
      </c>
      <c r="D515" s="20" t="s">
        <v>365</v>
      </c>
      <c r="E515" s="21" t="s">
        <v>1542</v>
      </c>
      <c r="F515" s="21" t="n">
        <v>37990</v>
      </c>
      <c r="G515" s="22" t="s">
        <v>471</v>
      </c>
      <c r="H515" s="23" t="n">
        <f aca="false">COUNTIF(CAL!U:AF,B515)</f>
        <v>3</v>
      </c>
      <c r="I515" s="22" t="n">
        <v>13</v>
      </c>
      <c r="J515" s="20"/>
    </row>
    <row r="516" customFormat="false" ht="15.75" hidden="false" customHeight="true" outlineLevel="0" collapsed="false">
      <c r="B516" s="19" t="n">
        <v>1463</v>
      </c>
      <c r="C516" s="20" t="s">
        <v>1543</v>
      </c>
      <c r="D516" s="20" t="s">
        <v>274</v>
      </c>
      <c r="E516" s="21" t="s">
        <v>1544</v>
      </c>
      <c r="F516" s="21" t="n">
        <v>37686</v>
      </c>
      <c r="G516" s="22" t="s">
        <v>471</v>
      </c>
      <c r="H516" s="23" t="n">
        <f aca="false">COUNTIF(CAL!U:AF,B516)</f>
        <v>3</v>
      </c>
      <c r="I516" s="22" t="n">
        <v>13</v>
      </c>
      <c r="J516" s="20"/>
    </row>
    <row r="517" customFormat="false" ht="15.75" hidden="false" customHeight="true" outlineLevel="0" collapsed="false">
      <c r="B517" s="19" t="n">
        <v>1907</v>
      </c>
      <c r="C517" s="20" t="s">
        <v>1545</v>
      </c>
      <c r="D517" s="20" t="s">
        <v>131</v>
      </c>
      <c r="E517" s="21" t="s">
        <v>1546</v>
      </c>
      <c r="F517" s="21" t="n">
        <v>37622</v>
      </c>
      <c r="G517" s="22" t="s">
        <v>471</v>
      </c>
      <c r="H517" s="23" t="n">
        <f aca="false">COUNTIF(CAL!U:AF,B517)</f>
        <v>3</v>
      </c>
      <c r="I517" s="22" t="n">
        <v>13</v>
      </c>
      <c r="J517" s="20"/>
    </row>
    <row r="518" customFormat="false" ht="15.75" hidden="false" customHeight="true" outlineLevel="0" collapsed="false">
      <c r="B518" s="19" t="n">
        <v>1896</v>
      </c>
      <c r="C518" s="20" t="s">
        <v>1547</v>
      </c>
      <c r="D518" s="20" t="s">
        <v>58</v>
      </c>
      <c r="E518" s="21" t="s">
        <v>1548</v>
      </c>
      <c r="F518" s="21" t="n">
        <v>37926</v>
      </c>
      <c r="G518" s="22" t="s">
        <v>471</v>
      </c>
      <c r="H518" s="23" t="n">
        <f aca="false">COUNTIF(CAL!U:AF,B518)</f>
        <v>3</v>
      </c>
      <c r="I518" s="22" t="n">
        <v>13</v>
      </c>
      <c r="J518" s="20"/>
    </row>
    <row r="519" customFormat="false" ht="15.75" hidden="false" customHeight="true" outlineLevel="0" collapsed="false">
      <c r="B519" s="19" t="n">
        <v>1624</v>
      </c>
      <c r="C519" s="20" t="s">
        <v>1549</v>
      </c>
      <c r="D519" s="20" t="s">
        <v>155</v>
      </c>
      <c r="E519" s="21" t="s">
        <v>1550</v>
      </c>
      <c r="F519" s="21" t="n">
        <v>35317</v>
      </c>
      <c r="G519" s="22" t="s">
        <v>471</v>
      </c>
      <c r="H519" s="23" t="n">
        <f aca="false">COUNTIF(CAL!U:AF,B519)</f>
        <v>3</v>
      </c>
      <c r="I519" s="22" t="n">
        <v>13</v>
      </c>
      <c r="J519" s="20"/>
    </row>
    <row r="520" customFormat="false" ht="15.75" hidden="false" customHeight="true" outlineLevel="0" collapsed="false">
      <c r="B520" s="19" t="n">
        <v>1660</v>
      </c>
      <c r="C520" s="20" t="s">
        <v>1551</v>
      </c>
      <c r="D520" s="20" t="s">
        <v>38</v>
      </c>
      <c r="E520" s="21" t="s">
        <v>1552</v>
      </c>
      <c r="F520" s="21" t="n">
        <v>37708</v>
      </c>
      <c r="G520" s="22" t="s">
        <v>471</v>
      </c>
      <c r="H520" s="23" t="n">
        <f aca="false">COUNTIF(CAL!U:AF,B520)</f>
        <v>3</v>
      </c>
      <c r="I520" s="22" t="n">
        <v>13</v>
      </c>
      <c r="J520" s="20"/>
    </row>
    <row r="521" customFormat="false" ht="15.75" hidden="false" customHeight="true" outlineLevel="0" collapsed="false">
      <c r="B521" s="19" t="n">
        <v>1859</v>
      </c>
      <c r="C521" s="20" t="s">
        <v>1553</v>
      </c>
      <c r="D521" s="20" t="s">
        <v>182</v>
      </c>
      <c r="E521" s="21" t="s">
        <v>1554</v>
      </c>
      <c r="F521" s="21" t="n">
        <v>36721</v>
      </c>
      <c r="G521" s="22" t="s">
        <v>471</v>
      </c>
      <c r="H521" s="23" t="n">
        <f aca="false">COUNTIF(CAL!U:AF,B521)</f>
        <v>3</v>
      </c>
      <c r="I521" s="22" t="n">
        <v>13</v>
      </c>
      <c r="J521" s="20" t="s">
        <v>1555</v>
      </c>
    </row>
    <row r="522" customFormat="false" ht="15.75" hidden="false" customHeight="true" outlineLevel="0" collapsed="false">
      <c r="B522" s="19" t="n">
        <v>1976</v>
      </c>
      <c r="C522" s="20" t="s">
        <v>1556</v>
      </c>
      <c r="D522" s="20" t="s">
        <v>266</v>
      </c>
      <c r="E522" s="21" t="s">
        <v>1557</v>
      </c>
      <c r="F522" s="21" t="n">
        <v>35549</v>
      </c>
      <c r="G522" s="22" t="s">
        <v>471</v>
      </c>
      <c r="H522" s="23" t="n">
        <f aca="false">COUNTIF(CAL!U:AF,B522)</f>
        <v>3</v>
      </c>
      <c r="I522" s="22" t="n">
        <v>13</v>
      </c>
      <c r="J522" s="20"/>
    </row>
    <row r="523" customFormat="false" ht="15.75" hidden="false" customHeight="true" outlineLevel="0" collapsed="false">
      <c r="B523" s="19" t="n">
        <v>2279</v>
      </c>
      <c r="C523" s="20" t="s">
        <v>1558</v>
      </c>
      <c r="D523" s="20" t="s">
        <v>267</v>
      </c>
      <c r="E523" s="24" t="s">
        <v>1559</v>
      </c>
      <c r="F523" s="21" t="n">
        <v>35910</v>
      </c>
      <c r="G523" s="22" t="s">
        <v>471</v>
      </c>
      <c r="H523" s="23" t="n">
        <f aca="false">COUNTIF(CAL!U:AF,B523)</f>
        <v>3</v>
      </c>
      <c r="I523" s="22" t="n">
        <v>14</v>
      </c>
      <c r="J523" s="20"/>
    </row>
    <row r="524" customFormat="false" ht="15.75" hidden="false" customHeight="true" outlineLevel="0" collapsed="false">
      <c r="B524" s="19" t="n">
        <v>3056</v>
      </c>
      <c r="C524" s="20" t="s">
        <v>1560</v>
      </c>
      <c r="D524" s="20" t="s">
        <v>114</v>
      </c>
      <c r="E524" s="21" t="s">
        <v>1561</v>
      </c>
      <c r="F524" s="21" t="n">
        <v>38114</v>
      </c>
      <c r="G524" s="22" t="s">
        <v>471</v>
      </c>
      <c r="H524" s="23" t="n">
        <f aca="false">COUNTIF(CAL!U:AF,B524)</f>
        <v>3</v>
      </c>
      <c r="I524" s="22" t="n">
        <v>14</v>
      </c>
      <c r="J524" s="20" t="s">
        <v>1562</v>
      </c>
    </row>
    <row r="525" customFormat="false" ht="15.75" hidden="false" customHeight="true" outlineLevel="0" collapsed="false">
      <c r="B525" s="19" t="n">
        <v>2087</v>
      </c>
      <c r="C525" s="20" t="s">
        <v>1563</v>
      </c>
      <c r="D525" s="20" t="s">
        <v>197</v>
      </c>
      <c r="E525" s="24" t="s">
        <v>1564</v>
      </c>
      <c r="F525" s="21" t="n">
        <v>36590</v>
      </c>
      <c r="G525" s="22" t="s">
        <v>481</v>
      </c>
      <c r="H525" s="23" t="n">
        <f aca="false">COUNTIF(CAL!U:AF,B525)</f>
        <v>3</v>
      </c>
      <c r="I525" s="22" t="n">
        <v>14</v>
      </c>
      <c r="J525" s="20"/>
    </row>
    <row r="526" customFormat="false" ht="15.75" hidden="false" customHeight="true" outlineLevel="0" collapsed="false">
      <c r="B526" s="19" t="n">
        <v>2490</v>
      </c>
      <c r="C526" s="20" t="s">
        <v>1565</v>
      </c>
      <c r="D526" s="20" t="s">
        <v>304</v>
      </c>
      <c r="E526" s="21" t="s">
        <v>1566</v>
      </c>
      <c r="F526" s="21" t="n">
        <v>34185</v>
      </c>
      <c r="G526" s="22" t="s">
        <v>471</v>
      </c>
      <c r="H526" s="23" t="n">
        <f aca="false">COUNTIF(CAL!U:AF,B526)</f>
        <v>3</v>
      </c>
      <c r="I526" s="22" t="n">
        <v>14</v>
      </c>
      <c r="J526" s="20"/>
    </row>
    <row r="527" customFormat="false" ht="15.75" hidden="false" customHeight="true" outlineLevel="0" collapsed="false">
      <c r="B527" s="19" t="n">
        <v>3471</v>
      </c>
      <c r="C527" s="20" t="s">
        <v>1567</v>
      </c>
      <c r="D527" s="20" t="s">
        <v>76</v>
      </c>
      <c r="E527" s="21" t="s">
        <v>1568</v>
      </c>
      <c r="F527" s="21" t="n">
        <v>34651</v>
      </c>
      <c r="G527" s="22" t="s">
        <v>471</v>
      </c>
      <c r="H527" s="23" t="n">
        <f aca="false">COUNTIF(CAL!U:AF,B527)</f>
        <v>3</v>
      </c>
      <c r="I527" s="22" t="n">
        <v>14</v>
      </c>
      <c r="J527" s="20"/>
    </row>
    <row r="528" customFormat="false" ht="15.75" hidden="false" customHeight="true" outlineLevel="0" collapsed="false">
      <c r="B528" s="19" t="n">
        <v>2223</v>
      </c>
      <c r="C528" s="20" t="s">
        <v>1569</v>
      </c>
      <c r="D528" s="20" t="s">
        <v>292</v>
      </c>
      <c r="E528" s="21" t="s">
        <v>1570</v>
      </c>
      <c r="F528" s="21" t="n">
        <v>37443</v>
      </c>
      <c r="G528" s="22" t="s">
        <v>471</v>
      </c>
      <c r="H528" s="23" t="n">
        <f aca="false">COUNTIF(CAL!U:AF,B528)</f>
        <v>3</v>
      </c>
      <c r="I528" s="22" t="n">
        <v>14</v>
      </c>
      <c r="J528" s="20"/>
    </row>
    <row r="529" customFormat="false" ht="15.75" hidden="false" customHeight="true" outlineLevel="0" collapsed="false">
      <c r="B529" s="19" t="n">
        <v>3496</v>
      </c>
      <c r="C529" s="20" t="s">
        <v>1571</v>
      </c>
      <c r="D529" s="20" t="s">
        <v>235</v>
      </c>
      <c r="E529" s="21" t="s">
        <v>1572</v>
      </c>
      <c r="F529" s="21" t="n">
        <v>35795</v>
      </c>
      <c r="G529" s="22" t="s">
        <v>471</v>
      </c>
      <c r="H529" s="23" t="n">
        <f aca="false">COUNTIF(CAL!U:AF,B529)</f>
        <v>3</v>
      </c>
      <c r="I529" s="22" t="n">
        <v>14</v>
      </c>
      <c r="J529" s="20"/>
    </row>
    <row r="530" customFormat="false" ht="15.75" hidden="false" customHeight="true" outlineLevel="0" collapsed="false">
      <c r="B530" s="19" t="n">
        <v>2805</v>
      </c>
      <c r="C530" s="20" t="s">
        <v>1573</v>
      </c>
      <c r="D530" s="20" t="s">
        <v>304</v>
      </c>
      <c r="E530" s="21" t="s">
        <v>1573</v>
      </c>
      <c r="F530" s="21" t="n">
        <v>34913</v>
      </c>
      <c r="G530" s="22" t="s">
        <v>471</v>
      </c>
      <c r="H530" s="23" t="n">
        <f aca="false">COUNTIF(CAL!U:AF,B530)</f>
        <v>3</v>
      </c>
      <c r="I530" s="22" t="n">
        <v>14</v>
      </c>
      <c r="J530" s="20"/>
    </row>
    <row r="531" customFormat="false" ht="15.75" hidden="false" customHeight="true" outlineLevel="0" collapsed="false">
      <c r="B531" s="19" t="n">
        <v>2188</v>
      </c>
      <c r="C531" s="20" t="s">
        <v>1574</v>
      </c>
      <c r="D531" s="20" t="s">
        <v>93</v>
      </c>
      <c r="E531" s="21" t="s">
        <v>1575</v>
      </c>
      <c r="F531" s="21" t="n">
        <v>35310</v>
      </c>
      <c r="G531" s="22" t="s">
        <v>471</v>
      </c>
      <c r="H531" s="23" t="n">
        <f aca="false">COUNTIF(CAL!U:AF,B531)</f>
        <v>3</v>
      </c>
      <c r="I531" s="22" t="n">
        <v>14</v>
      </c>
      <c r="J531" s="20"/>
    </row>
    <row r="532" customFormat="false" ht="15.75" hidden="false" customHeight="true" outlineLevel="0" collapsed="false">
      <c r="B532" s="19" t="n">
        <v>1960</v>
      </c>
      <c r="C532" s="20" t="s">
        <v>1576</v>
      </c>
      <c r="D532" s="20" t="s">
        <v>255</v>
      </c>
      <c r="E532" s="24" t="s">
        <v>1577</v>
      </c>
      <c r="F532" s="21" t="n">
        <v>34485</v>
      </c>
      <c r="G532" s="22" t="s">
        <v>481</v>
      </c>
      <c r="H532" s="23" t="n">
        <f aca="false">COUNTIF(CAL!U:AF,B532)</f>
        <v>3</v>
      </c>
      <c r="I532" s="22" t="n">
        <v>14</v>
      </c>
      <c r="J532" s="20"/>
    </row>
    <row r="533" customFormat="false" ht="15.75" hidden="false" customHeight="true" outlineLevel="0" collapsed="false">
      <c r="B533" s="19" t="n">
        <v>3087</v>
      </c>
      <c r="C533" s="20" t="s">
        <v>1578</v>
      </c>
      <c r="D533" s="20" t="s">
        <v>261</v>
      </c>
      <c r="E533" s="21" t="s">
        <v>1579</v>
      </c>
      <c r="F533" s="21" t="n">
        <v>34392</v>
      </c>
      <c r="G533" s="22" t="s">
        <v>471</v>
      </c>
      <c r="H533" s="23" t="n">
        <f aca="false">COUNTIF(CAL!U:AF,B533)</f>
        <v>3</v>
      </c>
      <c r="I533" s="22" t="n">
        <v>14</v>
      </c>
      <c r="J533" s="20"/>
    </row>
    <row r="534" customFormat="false" ht="15.75" hidden="false" customHeight="true" outlineLevel="0" collapsed="false">
      <c r="B534" s="19" t="n">
        <v>2462</v>
      </c>
      <c r="C534" s="20" t="s">
        <v>1580</v>
      </c>
      <c r="D534" s="20" t="s">
        <v>373</v>
      </c>
      <c r="E534" s="21" t="s">
        <v>1581</v>
      </c>
      <c r="F534" s="21" t="n">
        <v>37790</v>
      </c>
      <c r="G534" s="22" t="s">
        <v>471</v>
      </c>
      <c r="H534" s="23" t="n">
        <f aca="false">COUNTIF(CAL!U:AF,B534)</f>
        <v>3</v>
      </c>
      <c r="I534" s="22" t="n">
        <v>14</v>
      </c>
      <c r="J534" s="20"/>
    </row>
    <row r="535" customFormat="false" ht="15.75" hidden="false" customHeight="true" outlineLevel="0" collapsed="false">
      <c r="B535" s="19" t="n">
        <v>1862</v>
      </c>
      <c r="C535" s="20" t="s">
        <v>1582</v>
      </c>
      <c r="D535" s="20" t="s">
        <v>268</v>
      </c>
      <c r="E535" s="21" t="s">
        <v>1583</v>
      </c>
      <c r="F535" s="21" t="n">
        <v>35503</v>
      </c>
      <c r="G535" s="22" t="s">
        <v>1017</v>
      </c>
      <c r="H535" s="23" t="n">
        <f aca="false">COUNTIF(CAL!U:AF,B535)</f>
        <v>3</v>
      </c>
      <c r="I535" s="22" t="n">
        <v>14</v>
      </c>
      <c r="J535" s="20"/>
    </row>
    <row r="536" customFormat="false" ht="15.75" hidden="false" customHeight="true" outlineLevel="0" collapsed="false">
      <c r="B536" s="19" t="n">
        <v>2464</v>
      </c>
      <c r="C536" s="20" t="s">
        <v>1345</v>
      </c>
      <c r="D536" s="20" t="s">
        <v>372</v>
      </c>
      <c r="E536" s="21" t="s">
        <v>1584</v>
      </c>
      <c r="F536" s="21" t="n">
        <v>37753</v>
      </c>
      <c r="G536" s="22" t="s">
        <v>471</v>
      </c>
      <c r="H536" s="23" t="n">
        <f aca="false">COUNTIF(CAL!U:AF,B536)</f>
        <v>3</v>
      </c>
      <c r="I536" s="22" t="n">
        <v>14</v>
      </c>
      <c r="J536" s="20"/>
    </row>
    <row r="537" customFormat="false" ht="15.75" hidden="false" customHeight="true" outlineLevel="0" collapsed="false">
      <c r="B537" s="19" t="n">
        <v>1101</v>
      </c>
      <c r="C537" s="20" t="s">
        <v>1585</v>
      </c>
      <c r="D537" s="20" t="s">
        <v>217</v>
      </c>
      <c r="E537" s="21" t="s">
        <v>1586</v>
      </c>
      <c r="F537" s="21" t="n">
        <v>33867</v>
      </c>
      <c r="G537" s="22" t="s">
        <v>471</v>
      </c>
      <c r="H537" s="23" t="n">
        <f aca="false">COUNTIF(CAL!U:AF,B537)</f>
        <v>3</v>
      </c>
      <c r="I537" s="22" t="n">
        <v>14</v>
      </c>
      <c r="J537" s="20" t="s">
        <v>1587</v>
      </c>
    </row>
    <row r="538" customFormat="false" ht="15.75" hidden="false" customHeight="true" outlineLevel="0" collapsed="false">
      <c r="B538" s="19" t="n">
        <v>2974</v>
      </c>
      <c r="C538" s="20" t="s">
        <v>1588</v>
      </c>
      <c r="D538" s="20" t="s">
        <v>243</v>
      </c>
      <c r="E538" s="21" t="s">
        <v>1589</v>
      </c>
      <c r="F538" s="21" t="n">
        <v>37985</v>
      </c>
      <c r="G538" s="22" t="s">
        <v>471</v>
      </c>
      <c r="H538" s="23" t="n">
        <f aca="false">COUNTIF(CAL!U:AF,B538)</f>
        <v>3</v>
      </c>
      <c r="I538" s="22" t="n">
        <v>14</v>
      </c>
      <c r="J538" s="20"/>
    </row>
    <row r="539" customFormat="false" ht="15.75" hidden="false" customHeight="true" outlineLevel="0" collapsed="false">
      <c r="B539" s="19" t="n">
        <v>1852</v>
      </c>
      <c r="C539" s="20" t="s">
        <v>1590</v>
      </c>
      <c r="D539" s="20" t="s">
        <v>334</v>
      </c>
      <c r="E539" s="21" t="s">
        <v>1591</v>
      </c>
      <c r="F539" s="21" t="n">
        <v>37557</v>
      </c>
      <c r="G539" s="22" t="s">
        <v>471</v>
      </c>
      <c r="H539" s="23" t="n">
        <f aca="false">COUNTIF(CAL!U:AF,B539)</f>
        <v>3</v>
      </c>
      <c r="I539" s="22" t="n">
        <v>14</v>
      </c>
      <c r="J539" s="20"/>
    </row>
    <row r="540" customFormat="false" ht="15.75" hidden="false" customHeight="true" outlineLevel="0" collapsed="false">
      <c r="B540" s="19" t="n">
        <v>1802</v>
      </c>
      <c r="C540" s="20" t="s">
        <v>1592</v>
      </c>
      <c r="D540" s="20" t="s">
        <v>384</v>
      </c>
      <c r="E540" s="21" t="s">
        <v>1593</v>
      </c>
      <c r="F540" s="21" t="n">
        <v>33951</v>
      </c>
      <c r="G540" s="22" t="s">
        <v>471</v>
      </c>
      <c r="H540" s="23" t="n">
        <f aca="false">COUNTIF(CAL!U:AF,B540)</f>
        <v>3</v>
      </c>
      <c r="I540" s="22" t="n">
        <v>14</v>
      </c>
      <c r="J540" s="20" t="s">
        <v>1594</v>
      </c>
    </row>
    <row r="541" customFormat="false" ht="15.75" hidden="false" customHeight="true" outlineLevel="0" collapsed="false">
      <c r="B541" s="19" t="n">
        <v>2038</v>
      </c>
      <c r="C541" s="20" t="s">
        <v>1480</v>
      </c>
      <c r="D541" s="20" t="s">
        <v>165</v>
      </c>
      <c r="E541" s="21" t="s">
        <v>1595</v>
      </c>
      <c r="F541" s="21" t="n">
        <v>35144</v>
      </c>
      <c r="G541" s="22" t="s">
        <v>471</v>
      </c>
      <c r="H541" s="23" t="n">
        <f aca="false">COUNTIF(CAL!U:AF,B541)</f>
        <v>3</v>
      </c>
      <c r="I541" s="22" t="n">
        <v>15</v>
      </c>
      <c r="J541" s="20"/>
    </row>
    <row r="542" customFormat="false" ht="15.75" hidden="false" customHeight="true" outlineLevel="0" collapsed="false">
      <c r="B542" s="19" t="n">
        <v>1129</v>
      </c>
      <c r="C542" s="20" t="s">
        <v>889</v>
      </c>
      <c r="D542" s="20" t="s">
        <v>164</v>
      </c>
      <c r="E542" s="21" t="s">
        <v>1596</v>
      </c>
      <c r="F542" s="21" t="n">
        <v>33689</v>
      </c>
      <c r="G542" s="22" t="s">
        <v>471</v>
      </c>
      <c r="H542" s="23" t="n">
        <f aca="false">COUNTIF(CAL!U:AF,B542)</f>
        <v>3</v>
      </c>
      <c r="I542" s="22" t="n">
        <v>15</v>
      </c>
      <c r="J542" s="20"/>
    </row>
    <row r="543" customFormat="false" ht="15.75" hidden="false" customHeight="true" outlineLevel="0" collapsed="false">
      <c r="B543" s="19" t="n">
        <v>1659</v>
      </c>
      <c r="C543" s="20" t="s">
        <v>1070</v>
      </c>
      <c r="D543" s="20" t="s">
        <v>57</v>
      </c>
      <c r="E543" s="24" t="s">
        <v>1597</v>
      </c>
      <c r="F543" s="21" t="n">
        <v>34779</v>
      </c>
      <c r="G543" s="22" t="s">
        <v>471</v>
      </c>
      <c r="H543" s="23" t="n">
        <f aca="false">COUNTIF(CAL!U:AF,B543)</f>
        <v>3</v>
      </c>
      <c r="I543" s="22" t="n">
        <v>15</v>
      </c>
      <c r="J543" s="20"/>
    </row>
    <row r="544" customFormat="false" ht="15.75" hidden="false" customHeight="true" outlineLevel="0" collapsed="false">
      <c r="B544" s="19" t="n">
        <v>1882</v>
      </c>
      <c r="C544" s="20" t="s">
        <v>1598</v>
      </c>
      <c r="D544" s="20" t="s">
        <v>107</v>
      </c>
      <c r="E544" s="21" t="s">
        <v>1599</v>
      </c>
      <c r="F544" s="21" t="n">
        <v>37312</v>
      </c>
      <c r="G544" s="22" t="s">
        <v>471</v>
      </c>
      <c r="H544" s="23" t="n">
        <f aca="false">COUNTIF(CAL!U:AF,B544)</f>
        <v>3</v>
      </c>
      <c r="I544" s="22" t="n">
        <v>15</v>
      </c>
      <c r="J544" s="20"/>
    </row>
    <row r="545" customFormat="false" ht="15.75" hidden="false" customHeight="true" outlineLevel="0" collapsed="false">
      <c r="B545" s="19" t="n">
        <v>1428</v>
      </c>
      <c r="C545" s="20" t="s">
        <v>1600</v>
      </c>
      <c r="D545" s="20" t="s">
        <v>93</v>
      </c>
      <c r="E545" s="21" t="s">
        <v>1601</v>
      </c>
      <c r="F545" s="21" t="n">
        <v>37713</v>
      </c>
      <c r="G545" s="22" t="s">
        <v>471</v>
      </c>
      <c r="H545" s="23" t="n">
        <f aca="false">COUNTIF(CAL!U:AF,B545)</f>
        <v>3</v>
      </c>
      <c r="I545" s="22" t="n">
        <v>15</v>
      </c>
      <c r="J545" s="20"/>
    </row>
    <row r="546" customFormat="false" ht="15.75" hidden="false" customHeight="true" outlineLevel="0" collapsed="false">
      <c r="B546" s="19" t="n">
        <v>3058</v>
      </c>
      <c r="C546" s="20" t="s">
        <v>1602</v>
      </c>
      <c r="D546" s="20" t="s">
        <v>246</v>
      </c>
      <c r="E546" s="21" t="s">
        <v>1603</v>
      </c>
      <c r="F546" s="21" t="n">
        <v>34755</v>
      </c>
      <c r="G546" s="22" t="s">
        <v>471</v>
      </c>
      <c r="H546" s="23" t="n">
        <f aca="false">COUNTIF(CAL!U:AF,B546)</f>
        <v>3</v>
      </c>
      <c r="I546" s="22" t="n">
        <v>15</v>
      </c>
      <c r="J546" s="20"/>
    </row>
    <row r="547" customFormat="false" ht="15.75" hidden="false" customHeight="true" outlineLevel="0" collapsed="false">
      <c r="B547" s="19" t="n">
        <v>2505</v>
      </c>
      <c r="C547" s="20" t="s">
        <v>1604</v>
      </c>
      <c r="D547" s="20" t="s">
        <v>302</v>
      </c>
      <c r="E547" s="21" t="s">
        <v>1605</v>
      </c>
      <c r="F547" s="21" t="n">
        <v>35713</v>
      </c>
      <c r="G547" s="22" t="s">
        <v>471</v>
      </c>
      <c r="H547" s="23" t="n">
        <f aca="false">COUNTIF(CAL!U:AF,B547)</f>
        <v>3</v>
      </c>
      <c r="I547" s="22" t="n">
        <v>15</v>
      </c>
      <c r="J547" s="20"/>
    </row>
    <row r="548" customFormat="false" ht="15.75" hidden="false" customHeight="true" outlineLevel="0" collapsed="false">
      <c r="B548" s="19" t="n">
        <v>1374</v>
      </c>
      <c r="C548" s="20" t="s">
        <v>1606</v>
      </c>
      <c r="D548" s="20" t="s">
        <v>182</v>
      </c>
      <c r="E548" s="21" t="s">
        <v>1607</v>
      </c>
      <c r="F548" s="21" t="n">
        <v>35096</v>
      </c>
      <c r="G548" s="22" t="s">
        <v>481</v>
      </c>
      <c r="H548" s="23" t="n">
        <f aca="false">COUNTIF(CAL!U:AF,B548)</f>
        <v>3</v>
      </c>
      <c r="I548" s="22" t="n">
        <v>15</v>
      </c>
      <c r="J548" s="20"/>
    </row>
    <row r="549" customFormat="false" ht="15.75" hidden="false" customHeight="true" outlineLevel="0" collapsed="false">
      <c r="B549" s="19" t="n">
        <v>2163</v>
      </c>
      <c r="C549" s="20" t="s">
        <v>1608</v>
      </c>
      <c r="D549" s="20" t="s">
        <v>310</v>
      </c>
      <c r="E549" s="24" t="s">
        <v>1609</v>
      </c>
      <c r="F549" s="21" t="n">
        <v>38177</v>
      </c>
      <c r="G549" s="22" t="s">
        <v>661</v>
      </c>
      <c r="H549" s="23" t="n">
        <f aca="false">COUNTIF(CAL!U:AF,B549)</f>
        <v>3</v>
      </c>
      <c r="I549" s="22" t="n">
        <v>15</v>
      </c>
      <c r="J549" s="20"/>
    </row>
    <row r="550" customFormat="false" ht="15.75" hidden="false" customHeight="true" outlineLevel="0" collapsed="false">
      <c r="B550" s="19" t="n">
        <v>2674</v>
      </c>
      <c r="C550" s="20" t="s">
        <v>1610</v>
      </c>
      <c r="D550" s="20" t="s">
        <v>199</v>
      </c>
      <c r="E550" s="21" t="s">
        <v>1611</v>
      </c>
      <c r="F550" s="21" t="n">
        <v>35501</v>
      </c>
      <c r="G550" s="22" t="s">
        <v>471</v>
      </c>
      <c r="H550" s="23" t="n">
        <f aca="false">COUNTIF(CAL!U:AF,B550)</f>
        <v>3</v>
      </c>
      <c r="I550" s="22" t="n">
        <v>15</v>
      </c>
      <c r="J550" s="20"/>
    </row>
    <row r="551" customFormat="false" ht="15.75" hidden="false" customHeight="true" outlineLevel="0" collapsed="false">
      <c r="B551" s="19" t="n">
        <v>2022</v>
      </c>
      <c r="C551" s="20" t="s">
        <v>1612</v>
      </c>
      <c r="D551" s="20" t="s">
        <v>251</v>
      </c>
      <c r="E551" s="21" t="s">
        <v>1613</v>
      </c>
      <c r="F551" s="21" t="n">
        <v>33124</v>
      </c>
      <c r="G551" s="22" t="s">
        <v>471</v>
      </c>
      <c r="H551" s="23" t="n">
        <f aca="false">COUNTIF(CAL!U:AF,B551)</f>
        <v>3</v>
      </c>
      <c r="I551" s="22" t="n">
        <v>15</v>
      </c>
      <c r="J551" s="20"/>
    </row>
    <row r="552" customFormat="false" ht="15.75" hidden="false" customHeight="true" outlineLevel="0" collapsed="false">
      <c r="B552" s="19" t="n">
        <v>3405</v>
      </c>
      <c r="C552" s="20" t="s">
        <v>1614</v>
      </c>
      <c r="D552" s="20" t="s">
        <v>93</v>
      </c>
      <c r="E552" s="21" t="s">
        <v>1615</v>
      </c>
      <c r="F552" s="21" t="n">
        <v>36921</v>
      </c>
      <c r="G552" s="22" t="s">
        <v>471</v>
      </c>
      <c r="H552" s="23" t="n">
        <f aca="false">COUNTIF(CAL!U:AF,B552)</f>
        <v>3</v>
      </c>
      <c r="I552" s="22" t="n">
        <v>15</v>
      </c>
      <c r="J552" s="20"/>
    </row>
    <row r="553" customFormat="false" ht="15.75" hidden="false" customHeight="true" outlineLevel="0" collapsed="false">
      <c r="B553" s="19" t="n">
        <v>1498</v>
      </c>
      <c r="C553" s="20" t="s">
        <v>1616</v>
      </c>
      <c r="D553" s="20" t="s">
        <v>165</v>
      </c>
      <c r="E553" s="21" t="s">
        <v>1617</v>
      </c>
      <c r="F553" s="21" t="n">
        <v>36538</v>
      </c>
      <c r="G553" s="22" t="s">
        <v>471</v>
      </c>
      <c r="H553" s="23" t="n">
        <f aca="false">COUNTIF(CAL!U:AF,B553)</f>
        <v>3</v>
      </c>
      <c r="I553" s="22" t="n">
        <v>15</v>
      </c>
      <c r="J553" s="20"/>
    </row>
    <row r="554" customFormat="false" ht="15.75" hidden="false" customHeight="true" outlineLevel="0" collapsed="false">
      <c r="B554" s="19" t="n">
        <v>1696</v>
      </c>
      <c r="C554" s="20" t="s">
        <v>1618</v>
      </c>
      <c r="D554" s="20" t="s">
        <v>302</v>
      </c>
      <c r="E554" s="21" t="s">
        <v>1619</v>
      </c>
      <c r="F554" s="21" t="n">
        <v>33071</v>
      </c>
      <c r="G554" s="22" t="s">
        <v>471</v>
      </c>
      <c r="H554" s="23" t="n">
        <f aca="false">COUNTIF(CAL!U:AF,B554)</f>
        <v>3</v>
      </c>
      <c r="I554" s="22" t="n">
        <v>15</v>
      </c>
      <c r="J554" s="20"/>
    </row>
    <row r="555" customFormat="false" ht="15.75" hidden="false" customHeight="true" outlineLevel="0" collapsed="false">
      <c r="B555" s="19" t="n">
        <v>3240</v>
      </c>
      <c r="C555" s="20" t="s">
        <v>1620</v>
      </c>
      <c r="D555" s="20" t="s">
        <v>238</v>
      </c>
      <c r="E555" s="21" t="s">
        <v>1621</v>
      </c>
      <c r="F555" s="21" t="n">
        <v>37126</v>
      </c>
      <c r="G555" s="22" t="s">
        <v>471</v>
      </c>
      <c r="H555" s="23" t="n">
        <f aca="false">COUNTIF(CAL!U:AF,B555)</f>
        <v>3</v>
      </c>
      <c r="I555" s="22" t="n">
        <v>16</v>
      </c>
      <c r="J555" s="20"/>
    </row>
    <row r="556" customFormat="false" ht="15.75" hidden="false" customHeight="true" outlineLevel="0" collapsed="false">
      <c r="B556" s="19" t="n">
        <v>1355</v>
      </c>
      <c r="C556" s="20" t="s">
        <v>1622</v>
      </c>
      <c r="D556" s="20" t="s">
        <v>217</v>
      </c>
      <c r="E556" s="21" t="s">
        <v>1623</v>
      </c>
      <c r="F556" s="21" t="n">
        <v>36430</v>
      </c>
      <c r="G556" s="22" t="s">
        <v>471</v>
      </c>
      <c r="H556" s="23" t="n">
        <f aca="false">COUNTIF(CAL!U:AF,B556)</f>
        <v>3</v>
      </c>
      <c r="I556" s="22" t="n">
        <v>16</v>
      </c>
      <c r="J556" s="20" t="s">
        <v>1624</v>
      </c>
    </row>
    <row r="557" customFormat="false" ht="15.75" hidden="false" customHeight="true" outlineLevel="0" collapsed="false">
      <c r="B557" s="19" t="n">
        <v>2822</v>
      </c>
      <c r="C557" s="20" t="s">
        <v>1625</v>
      </c>
      <c r="D557" s="20" t="s">
        <v>164</v>
      </c>
      <c r="E557" s="21" t="s">
        <v>1626</v>
      </c>
      <c r="F557" s="21" t="n">
        <v>37680</v>
      </c>
      <c r="G557" s="22" t="s">
        <v>471</v>
      </c>
      <c r="H557" s="23" t="n">
        <f aca="false">COUNTIF(CAL!U:AF,B557)</f>
        <v>3</v>
      </c>
      <c r="I557" s="22" t="n">
        <v>16</v>
      </c>
      <c r="J557" s="20"/>
    </row>
    <row r="558" customFormat="false" ht="15.75" hidden="false" customHeight="true" outlineLevel="0" collapsed="false">
      <c r="B558" s="19" t="n">
        <v>1644</v>
      </c>
      <c r="C558" s="20" t="s">
        <v>1627</v>
      </c>
      <c r="D558" s="20" t="s">
        <v>48</v>
      </c>
      <c r="E558" s="21" t="s">
        <v>1628</v>
      </c>
      <c r="F558" s="21" t="n">
        <v>37106</v>
      </c>
      <c r="G558" s="22" t="s">
        <v>471</v>
      </c>
      <c r="H558" s="23" t="n">
        <f aca="false">COUNTIF(CAL!U:AF,B558)</f>
        <v>3</v>
      </c>
      <c r="I558" s="22" t="n">
        <v>16</v>
      </c>
      <c r="J558" s="20"/>
    </row>
    <row r="559" customFormat="false" ht="15.75" hidden="false" customHeight="true" outlineLevel="0" collapsed="false">
      <c r="B559" s="19" t="n">
        <v>2370</v>
      </c>
      <c r="C559" s="20" t="s">
        <v>1629</v>
      </c>
      <c r="D559" s="20" t="s">
        <v>235</v>
      </c>
      <c r="E559" s="21" t="s">
        <v>1630</v>
      </c>
      <c r="F559" s="21" t="n">
        <v>33829</v>
      </c>
      <c r="G559" s="22" t="s">
        <v>471</v>
      </c>
      <c r="H559" s="23" t="n">
        <f aca="false">COUNTIF(CAL!U:AF,B559)</f>
        <v>3</v>
      </c>
      <c r="I559" s="22" t="n">
        <v>16</v>
      </c>
      <c r="J559" s="20"/>
    </row>
    <row r="560" customFormat="false" ht="15.75" hidden="false" customHeight="true" outlineLevel="0" collapsed="false">
      <c r="B560" s="19" t="n">
        <v>1332</v>
      </c>
      <c r="C560" s="20" t="s">
        <v>1631</v>
      </c>
      <c r="D560" s="20" t="s">
        <v>165</v>
      </c>
      <c r="E560" s="21" t="s">
        <v>1632</v>
      </c>
      <c r="F560" s="21" t="n">
        <v>35782</v>
      </c>
      <c r="G560" s="22" t="s">
        <v>471</v>
      </c>
      <c r="H560" s="23" t="n">
        <f aca="false">COUNTIF(CAL!U:AF,B560)</f>
        <v>3</v>
      </c>
      <c r="I560" s="22" t="n">
        <v>16</v>
      </c>
      <c r="J560" s="20"/>
    </row>
    <row r="561" customFormat="false" ht="15.75" hidden="false" customHeight="true" outlineLevel="0" collapsed="false">
      <c r="B561" s="19" t="n">
        <v>1070</v>
      </c>
      <c r="C561" s="20" t="s">
        <v>1633</v>
      </c>
      <c r="D561" s="20" t="s">
        <v>48</v>
      </c>
      <c r="E561" s="21" t="s">
        <v>1634</v>
      </c>
      <c r="F561" s="21" t="n">
        <v>36366</v>
      </c>
      <c r="G561" s="22" t="s">
        <v>471</v>
      </c>
      <c r="H561" s="23" t="n">
        <f aca="false">COUNTIF(CAL!U:AF,B561)</f>
        <v>3</v>
      </c>
      <c r="I561" s="22" t="n">
        <v>16</v>
      </c>
      <c r="J561" s="20"/>
    </row>
    <row r="562" customFormat="false" ht="15.75" hidden="false" customHeight="true" outlineLevel="0" collapsed="false">
      <c r="B562" s="19" t="n">
        <v>1351</v>
      </c>
      <c r="C562" s="20" t="s">
        <v>1635</v>
      </c>
      <c r="D562" s="20" t="s">
        <v>76</v>
      </c>
      <c r="E562" s="21" t="s">
        <v>1636</v>
      </c>
      <c r="F562" s="21" t="n">
        <v>35590</v>
      </c>
      <c r="G562" s="22" t="s">
        <v>471</v>
      </c>
      <c r="H562" s="23" t="n">
        <f aca="false">COUNTIF(CAL!U:AF,B562)</f>
        <v>3</v>
      </c>
      <c r="I562" s="22" t="n">
        <v>17</v>
      </c>
      <c r="J562" s="20"/>
    </row>
    <row r="563" customFormat="false" ht="15.75" hidden="false" customHeight="true" outlineLevel="0" collapsed="false">
      <c r="B563" s="19" t="n">
        <v>1875</v>
      </c>
      <c r="C563" s="20" t="s">
        <v>1637</v>
      </c>
      <c r="D563" s="20" t="s">
        <v>339</v>
      </c>
      <c r="E563" s="21" t="s">
        <v>1638</v>
      </c>
      <c r="F563" s="21" t="n">
        <v>34541</v>
      </c>
      <c r="G563" s="22" t="s">
        <v>471</v>
      </c>
      <c r="H563" s="23" t="n">
        <f aca="false">COUNTIF(CAL!U:AF,B563)</f>
        <v>3</v>
      </c>
      <c r="I563" s="22" t="n">
        <v>17</v>
      </c>
      <c r="J563" s="20" t="s">
        <v>1639</v>
      </c>
    </row>
    <row r="564" customFormat="false" ht="15.75" hidden="false" customHeight="true" outlineLevel="0" collapsed="false">
      <c r="B564" s="19" t="n">
        <v>1702</v>
      </c>
      <c r="C564" s="20" t="s">
        <v>1640</v>
      </c>
      <c r="D564" s="20" t="s">
        <v>167</v>
      </c>
      <c r="E564" s="21" t="s">
        <v>1640</v>
      </c>
      <c r="F564" s="21" t="n">
        <v>34591</v>
      </c>
      <c r="G564" s="22" t="s">
        <v>471</v>
      </c>
      <c r="H564" s="23" t="n">
        <f aca="false">COUNTIF(CAL!U:AF,B564)</f>
        <v>3</v>
      </c>
      <c r="I564" s="22" t="n">
        <v>17</v>
      </c>
      <c r="J564" s="20"/>
    </row>
    <row r="565" customFormat="false" ht="15.75" hidden="false" customHeight="true" outlineLevel="0" collapsed="false">
      <c r="B565" s="19" t="n">
        <v>2275</v>
      </c>
      <c r="C565" s="20" t="s">
        <v>1202</v>
      </c>
      <c r="D565" s="20" t="s">
        <v>163</v>
      </c>
      <c r="E565" s="24" t="s">
        <v>1641</v>
      </c>
      <c r="F565" s="21" t="n">
        <v>37064</v>
      </c>
      <c r="G565" s="22" t="s">
        <v>471</v>
      </c>
      <c r="H565" s="23" t="n">
        <f aca="false">COUNTIF(CAL!U:AF,B565)</f>
        <v>3</v>
      </c>
      <c r="I565" s="22" t="n">
        <v>17</v>
      </c>
      <c r="J565" s="20"/>
    </row>
    <row r="566" customFormat="false" ht="15.75" hidden="false" customHeight="true" outlineLevel="0" collapsed="false">
      <c r="B566" s="19" t="n">
        <v>1133</v>
      </c>
      <c r="C566" s="20" t="s">
        <v>1642</v>
      </c>
      <c r="D566" s="20" t="s">
        <v>228</v>
      </c>
      <c r="E566" s="21" t="s">
        <v>1643</v>
      </c>
      <c r="F566" s="21" t="n">
        <v>38888</v>
      </c>
      <c r="G566" s="22" t="s">
        <v>471</v>
      </c>
      <c r="H566" s="23" t="n">
        <f aca="false">COUNTIF(CAL!U:AF,B566)</f>
        <v>3</v>
      </c>
      <c r="I566" s="22" t="n">
        <v>18</v>
      </c>
      <c r="J566" s="20"/>
    </row>
    <row r="567" customFormat="false" ht="15.75" hidden="false" customHeight="true" outlineLevel="0" collapsed="false">
      <c r="B567" s="19" t="n">
        <v>1528</v>
      </c>
      <c r="C567" s="20" t="s">
        <v>1130</v>
      </c>
      <c r="D567" s="20" t="s">
        <v>187</v>
      </c>
      <c r="E567" s="21" t="s">
        <v>1644</v>
      </c>
      <c r="F567" s="21" t="n">
        <v>38480</v>
      </c>
      <c r="G567" s="22" t="s">
        <v>471</v>
      </c>
      <c r="H567" s="23" t="n">
        <f aca="false">COUNTIF(CAL!U:AF,B567)</f>
        <v>3</v>
      </c>
      <c r="I567" s="22" t="n">
        <v>18</v>
      </c>
      <c r="J567" s="20"/>
    </row>
    <row r="568" customFormat="false" ht="15.75" hidden="false" customHeight="true" outlineLevel="0" collapsed="false">
      <c r="B568" s="19" t="n">
        <v>3464</v>
      </c>
      <c r="C568" s="20" t="s">
        <v>1645</v>
      </c>
      <c r="D568" s="20" t="s">
        <v>279</v>
      </c>
      <c r="E568" s="24" t="s">
        <v>1646</v>
      </c>
      <c r="F568" s="21" t="n">
        <v>35814</v>
      </c>
      <c r="G568" s="22" t="s">
        <v>471</v>
      </c>
      <c r="H568" s="23" t="n">
        <f aca="false">COUNTIF(CAL!U:AF,B568)</f>
        <v>3</v>
      </c>
      <c r="I568" s="22" t="n">
        <v>18</v>
      </c>
      <c r="J568" s="20"/>
    </row>
    <row r="569" customFormat="false" ht="15.75" hidden="false" customHeight="true" outlineLevel="0" collapsed="false">
      <c r="B569" s="19" t="n">
        <v>1223</v>
      </c>
      <c r="C569" s="20" t="s">
        <v>526</v>
      </c>
      <c r="D569" s="20" t="s">
        <v>159</v>
      </c>
      <c r="E569" s="21" t="s">
        <v>1647</v>
      </c>
      <c r="F569" s="21" t="n">
        <v>36914</v>
      </c>
      <c r="G569" s="22" t="s">
        <v>471</v>
      </c>
      <c r="H569" s="23" t="n">
        <f aca="false">COUNTIF(CAL!U:AF,B569)</f>
        <v>3</v>
      </c>
      <c r="I569" s="22" t="n">
        <v>18</v>
      </c>
      <c r="J569" s="20"/>
    </row>
    <row r="570" customFormat="false" ht="15.75" hidden="false" customHeight="true" outlineLevel="0" collapsed="false">
      <c r="B570" s="19" t="n">
        <v>2058</v>
      </c>
      <c r="C570" s="20" t="s">
        <v>1648</v>
      </c>
      <c r="D570" s="20" t="s">
        <v>267</v>
      </c>
      <c r="E570" s="21" t="s">
        <v>1649</v>
      </c>
      <c r="F570" s="21" t="n">
        <v>37818</v>
      </c>
      <c r="G570" s="22" t="s">
        <v>471</v>
      </c>
      <c r="H570" s="23" t="n">
        <f aca="false">COUNTIF(CAL!U:AF,B570)</f>
        <v>3</v>
      </c>
      <c r="I570" s="22" t="n">
        <v>18</v>
      </c>
      <c r="J570" s="20"/>
    </row>
    <row r="571" customFormat="false" ht="15.75" hidden="false" customHeight="true" outlineLevel="0" collapsed="false">
      <c r="B571" s="19" t="n">
        <v>1881</v>
      </c>
      <c r="C571" s="20" t="s">
        <v>1650</v>
      </c>
      <c r="D571" s="20" t="s">
        <v>238</v>
      </c>
      <c r="E571" s="21" t="s">
        <v>1650</v>
      </c>
      <c r="F571" s="21" t="n">
        <v>36972</v>
      </c>
      <c r="G571" s="22" t="s">
        <v>471</v>
      </c>
      <c r="H571" s="23" t="n">
        <f aca="false">COUNTIF(CAL!U:AF,B571)</f>
        <v>3</v>
      </c>
      <c r="I571" s="22" t="n">
        <v>18</v>
      </c>
      <c r="J571" s="20" t="s">
        <v>1651</v>
      </c>
    </row>
    <row r="572" customFormat="false" ht="15.75" hidden="false" customHeight="true" outlineLevel="0" collapsed="false">
      <c r="B572" s="19" t="n">
        <v>2276</v>
      </c>
      <c r="C572" s="20" t="s">
        <v>1652</v>
      </c>
      <c r="D572" s="20" t="s">
        <v>163</v>
      </c>
      <c r="E572" s="24" t="s">
        <v>1653</v>
      </c>
      <c r="F572" s="21" t="n">
        <v>36403</v>
      </c>
      <c r="G572" s="22" t="s">
        <v>884</v>
      </c>
      <c r="H572" s="23" t="n">
        <f aca="false">COUNTIF(CAL!U:AF,B572)</f>
        <v>3</v>
      </c>
      <c r="I572" s="22" t="n">
        <v>19</v>
      </c>
      <c r="J572" s="20"/>
    </row>
    <row r="573" customFormat="false" ht="15.75" hidden="false" customHeight="true" outlineLevel="0" collapsed="false">
      <c r="B573" s="19" t="n">
        <v>2523</v>
      </c>
      <c r="C573" s="20" t="s">
        <v>1654</v>
      </c>
      <c r="D573" s="20" t="s">
        <v>235</v>
      </c>
      <c r="E573" s="21" t="s">
        <v>1655</v>
      </c>
      <c r="F573" s="21" t="n">
        <v>37083</v>
      </c>
      <c r="G573" s="22" t="s">
        <v>884</v>
      </c>
      <c r="H573" s="23" t="n">
        <f aca="false">COUNTIF(CAL!U:AF,B573)</f>
        <v>3</v>
      </c>
      <c r="I573" s="22" t="n">
        <v>20</v>
      </c>
      <c r="J573" s="20"/>
    </row>
    <row r="574" customFormat="false" ht="15.75" hidden="false" customHeight="true" outlineLevel="0" collapsed="false">
      <c r="B574" s="19" t="n">
        <v>3451</v>
      </c>
      <c r="C574" s="20" t="s">
        <v>1656</v>
      </c>
      <c r="D574" s="20" t="s">
        <v>428</v>
      </c>
      <c r="E574" s="21" t="s">
        <v>1657</v>
      </c>
      <c r="F574" s="21" t="n">
        <v>36796</v>
      </c>
      <c r="G574" s="22" t="s">
        <v>471</v>
      </c>
      <c r="H574" s="23" t="n">
        <f aca="false">COUNTIF(CAL!U:AF,B574)</f>
        <v>2</v>
      </c>
      <c r="I574" s="22" t="n">
        <v>1</v>
      </c>
      <c r="J574" s="20"/>
    </row>
    <row r="575" customFormat="false" ht="15.75" hidden="false" customHeight="true" outlineLevel="0" collapsed="false">
      <c r="B575" s="19" t="n">
        <v>3520</v>
      </c>
      <c r="C575" s="20" t="s">
        <v>1658</v>
      </c>
      <c r="D575" s="20" t="s">
        <v>433</v>
      </c>
      <c r="E575" s="24" t="s">
        <v>1659</v>
      </c>
      <c r="F575" s="21" t="n">
        <v>35086</v>
      </c>
      <c r="G575" s="22" t="s">
        <v>471</v>
      </c>
      <c r="H575" s="23" t="n">
        <f aca="false">COUNTIF(CAL!U:AF,B575)</f>
        <v>2</v>
      </c>
      <c r="I575" s="22" t="n">
        <v>1</v>
      </c>
      <c r="J575" s="20"/>
    </row>
    <row r="576" customFormat="false" ht="15.75" hidden="false" customHeight="true" outlineLevel="0" collapsed="false">
      <c r="B576" s="19" t="n">
        <v>1203</v>
      </c>
      <c r="C576" s="20" t="s">
        <v>1228</v>
      </c>
      <c r="D576" s="20" t="s">
        <v>204</v>
      </c>
      <c r="E576" s="21" t="s">
        <v>1660</v>
      </c>
      <c r="F576" s="21" t="n">
        <v>33379</v>
      </c>
      <c r="G576" s="22" t="s">
        <v>471</v>
      </c>
      <c r="H576" s="23" t="n">
        <f aca="false">COUNTIF(CAL!U:AF,B576)</f>
        <v>2</v>
      </c>
      <c r="I576" s="22" t="n">
        <v>1</v>
      </c>
      <c r="J576" s="20"/>
    </row>
    <row r="577" customFormat="false" ht="15.75" hidden="false" customHeight="true" outlineLevel="0" collapsed="false">
      <c r="B577" s="19" t="n">
        <v>3108</v>
      </c>
      <c r="C577" s="20" t="s">
        <v>1661</v>
      </c>
      <c r="D577" s="20" t="s">
        <v>361</v>
      </c>
      <c r="E577" s="21" t="s">
        <v>1662</v>
      </c>
      <c r="F577" s="21" t="n">
        <v>38037</v>
      </c>
      <c r="G577" s="22" t="s">
        <v>471</v>
      </c>
      <c r="H577" s="23" t="n">
        <f aca="false">COUNTIF(CAL!U:AF,B577)</f>
        <v>2</v>
      </c>
      <c r="I577" s="22" t="n">
        <v>1</v>
      </c>
      <c r="J577" s="20"/>
    </row>
    <row r="578" customFormat="false" ht="15.75" hidden="false" customHeight="true" outlineLevel="0" collapsed="false">
      <c r="B578" s="19" t="n">
        <v>1901</v>
      </c>
      <c r="C578" s="20" t="s">
        <v>1663</v>
      </c>
      <c r="D578" s="20" t="s">
        <v>202</v>
      </c>
      <c r="E578" s="21" t="s">
        <v>1664</v>
      </c>
      <c r="F578" s="21" t="n">
        <v>37003</v>
      </c>
      <c r="G578" s="22" t="s">
        <v>471</v>
      </c>
      <c r="H578" s="23" t="n">
        <f aca="false">COUNTIF(CAL!U:AF,B578)</f>
        <v>2</v>
      </c>
      <c r="I578" s="22" t="n">
        <v>1</v>
      </c>
      <c r="J578" s="20"/>
    </row>
    <row r="579" customFormat="false" ht="15.75" hidden="false" customHeight="true" outlineLevel="0" collapsed="false">
      <c r="B579" s="19" t="n">
        <v>1002</v>
      </c>
      <c r="C579" s="20" t="s">
        <v>1665</v>
      </c>
      <c r="D579" s="20" t="s">
        <v>35</v>
      </c>
      <c r="E579" s="24" t="s">
        <v>1666</v>
      </c>
      <c r="F579" s="21" t="n">
        <v>34223</v>
      </c>
      <c r="G579" s="22" t="s">
        <v>471</v>
      </c>
      <c r="H579" s="23" t="n">
        <f aca="false">COUNTIF(CAL!U:AF,B579)</f>
        <v>2</v>
      </c>
      <c r="I579" s="22" t="n">
        <v>1</v>
      </c>
      <c r="J579" s="20"/>
    </row>
    <row r="580" customFormat="false" ht="15.75" hidden="false" customHeight="true" outlineLevel="0" collapsed="false">
      <c r="B580" s="19" t="n">
        <v>1364</v>
      </c>
      <c r="C580" s="20" t="s">
        <v>1667</v>
      </c>
      <c r="D580" s="20" t="s">
        <v>268</v>
      </c>
      <c r="E580" s="21" t="s">
        <v>1668</v>
      </c>
      <c r="F580" s="21" t="n">
        <v>38932</v>
      </c>
      <c r="G580" s="22" t="s">
        <v>471</v>
      </c>
      <c r="H580" s="23" t="n">
        <f aca="false">COUNTIF(CAL!U:AF,B580)</f>
        <v>2</v>
      </c>
      <c r="I580" s="22" t="n">
        <v>1</v>
      </c>
      <c r="J580" s="20"/>
    </row>
    <row r="581" customFormat="false" ht="15.75" hidden="false" customHeight="true" outlineLevel="0" collapsed="false">
      <c r="B581" s="19" t="n">
        <v>1206</v>
      </c>
      <c r="C581" s="20" t="s">
        <v>1669</v>
      </c>
      <c r="D581" s="20" t="s">
        <v>206</v>
      </c>
      <c r="E581" s="21" t="s">
        <v>1670</v>
      </c>
      <c r="F581" s="21" t="n">
        <v>33196</v>
      </c>
      <c r="G581" s="22" t="s">
        <v>471</v>
      </c>
      <c r="H581" s="23" t="n">
        <f aca="false">COUNTIF(CAL!U:AF,B581)</f>
        <v>2</v>
      </c>
      <c r="I581" s="22" t="n">
        <v>2</v>
      </c>
      <c r="J581" s="20"/>
    </row>
    <row r="582" customFormat="false" ht="15.75" hidden="false" customHeight="true" outlineLevel="0" collapsed="false">
      <c r="B582" s="19" t="n">
        <v>3273</v>
      </c>
      <c r="C582" s="20" t="s">
        <v>889</v>
      </c>
      <c r="D582" s="20" t="s">
        <v>70</v>
      </c>
      <c r="E582" s="21" t="s">
        <v>1671</v>
      </c>
      <c r="F582" s="21" t="n">
        <v>31376</v>
      </c>
      <c r="G582" s="22" t="s">
        <v>471</v>
      </c>
      <c r="H582" s="23" t="n">
        <f aca="false">COUNTIF(CAL!U:AF,B582)</f>
        <v>2</v>
      </c>
      <c r="I582" s="22" t="n">
        <v>2</v>
      </c>
      <c r="J582" s="20"/>
    </row>
    <row r="583" customFormat="false" ht="15.75" hidden="false" customHeight="true" outlineLevel="0" collapsed="false">
      <c r="B583" s="19" t="n">
        <v>1447</v>
      </c>
      <c r="C583" s="20" t="s">
        <v>1672</v>
      </c>
      <c r="D583" s="20" t="s">
        <v>126</v>
      </c>
      <c r="E583" s="21" t="s">
        <v>1673</v>
      </c>
      <c r="F583" s="21" t="n">
        <v>36812</v>
      </c>
      <c r="G583" s="22" t="s">
        <v>471</v>
      </c>
      <c r="H583" s="23" t="n">
        <f aca="false">COUNTIF(CAL!U:AF,B583)</f>
        <v>2</v>
      </c>
      <c r="I583" s="22" t="n">
        <v>2</v>
      </c>
      <c r="J583" s="20"/>
    </row>
    <row r="584" customFormat="false" ht="15.75" hidden="false" customHeight="true" outlineLevel="0" collapsed="false">
      <c r="B584" s="19" t="n">
        <v>1974</v>
      </c>
      <c r="C584" s="20" t="s">
        <v>582</v>
      </c>
      <c r="D584" s="20" t="s">
        <v>189</v>
      </c>
      <c r="E584" s="21" t="s">
        <v>1674</v>
      </c>
      <c r="F584" s="21" t="n">
        <v>38012</v>
      </c>
      <c r="G584" s="22" t="s">
        <v>471</v>
      </c>
      <c r="H584" s="23" t="n">
        <f aca="false">COUNTIF(CAL!U:AF,B584)</f>
        <v>2</v>
      </c>
      <c r="I584" s="22" t="n">
        <v>2</v>
      </c>
      <c r="J584" s="20" t="s">
        <v>1675</v>
      </c>
    </row>
    <row r="585" customFormat="false" ht="15.75" hidden="false" customHeight="true" outlineLevel="0" collapsed="false">
      <c r="B585" s="19" t="n">
        <v>3216</v>
      </c>
      <c r="C585" s="20" t="s">
        <v>1091</v>
      </c>
      <c r="D585" s="20" t="s">
        <v>170</v>
      </c>
      <c r="E585" s="21" t="s">
        <v>1676</v>
      </c>
      <c r="F585" s="21" t="n">
        <v>39601</v>
      </c>
      <c r="G585" s="22" t="s">
        <v>471</v>
      </c>
      <c r="H585" s="23" t="n">
        <f aca="false">COUNTIF(CAL!U:AF,B585)</f>
        <v>2</v>
      </c>
      <c r="I585" s="22" t="n">
        <v>2</v>
      </c>
      <c r="J585" s="20"/>
    </row>
    <row r="586" customFormat="false" ht="15.75" hidden="false" customHeight="true" outlineLevel="0" collapsed="false">
      <c r="B586" s="19" t="n">
        <v>3115</v>
      </c>
      <c r="C586" s="20" t="s">
        <v>1677</v>
      </c>
      <c r="D586" s="20" t="s">
        <v>409</v>
      </c>
      <c r="E586" s="24" t="s">
        <v>1678</v>
      </c>
      <c r="F586" s="21" t="n">
        <v>34881</v>
      </c>
      <c r="G586" s="22" t="s">
        <v>471</v>
      </c>
      <c r="H586" s="23" t="n">
        <f aca="false">COUNTIF(CAL!U:AF,B586)</f>
        <v>2</v>
      </c>
      <c r="I586" s="22" t="n">
        <v>3</v>
      </c>
      <c r="J586" s="20"/>
    </row>
    <row r="587" customFormat="false" ht="15.75" hidden="false" customHeight="true" outlineLevel="0" collapsed="false">
      <c r="B587" s="19" t="n">
        <v>3227</v>
      </c>
      <c r="C587" s="20" t="s">
        <v>1679</v>
      </c>
      <c r="D587" s="20" t="s">
        <v>261</v>
      </c>
      <c r="E587" s="24" t="s">
        <v>1680</v>
      </c>
      <c r="F587" s="21" t="n">
        <v>32472</v>
      </c>
      <c r="G587" s="22" t="s">
        <v>471</v>
      </c>
      <c r="H587" s="23" t="n">
        <f aca="false">COUNTIF(CAL!U:AF,B587)</f>
        <v>2</v>
      </c>
      <c r="I587" s="22" t="n">
        <v>3</v>
      </c>
      <c r="J587" s="20"/>
    </row>
    <row r="588" customFormat="false" ht="15.75" hidden="false" customHeight="true" outlineLevel="0" collapsed="false">
      <c r="B588" s="19" t="n">
        <v>3277</v>
      </c>
      <c r="C588" s="20" t="s">
        <v>1681</v>
      </c>
      <c r="D588" s="20" t="s">
        <v>328</v>
      </c>
      <c r="E588" s="21" t="s">
        <v>1682</v>
      </c>
      <c r="F588" s="21" t="n">
        <v>38737</v>
      </c>
      <c r="G588" s="22" t="s">
        <v>471</v>
      </c>
      <c r="H588" s="23" t="n">
        <f aca="false">COUNTIF(CAL!U:AF,B588)</f>
        <v>2</v>
      </c>
      <c r="I588" s="22" t="n">
        <v>3</v>
      </c>
      <c r="J588" s="20"/>
    </row>
    <row r="589" customFormat="false" ht="15.75" hidden="false" customHeight="true" outlineLevel="0" collapsed="false">
      <c r="B589" s="19" t="n">
        <v>3048</v>
      </c>
      <c r="C589" s="20" t="s">
        <v>1683</v>
      </c>
      <c r="D589" s="20" t="s">
        <v>207</v>
      </c>
      <c r="E589" s="21" t="s">
        <v>1684</v>
      </c>
      <c r="F589" s="21" t="n">
        <v>33592</v>
      </c>
      <c r="G589" s="22" t="s">
        <v>471</v>
      </c>
      <c r="H589" s="23" t="n">
        <f aca="false">COUNTIF(CAL!U:AF,B589)</f>
        <v>2</v>
      </c>
      <c r="I589" s="22" t="n">
        <v>3</v>
      </c>
      <c r="J589" s="20"/>
    </row>
    <row r="590" customFormat="false" ht="15.75" hidden="false" customHeight="true" outlineLevel="0" collapsed="false">
      <c r="B590" s="19" t="n">
        <v>1109</v>
      </c>
      <c r="C590" s="20" t="s">
        <v>925</v>
      </c>
      <c r="D590" s="20" t="s">
        <v>85</v>
      </c>
      <c r="E590" s="21" t="s">
        <v>1685</v>
      </c>
      <c r="F590" s="21" t="n">
        <v>40105</v>
      </c>
      <c r="G590" s="22" t="s">
        <v>471</v>
      </c>
      <c r="H590" s="23" t="n">
        <f aca="false">COUNTIF(CAL!U:AF,B590)</f>
        <v>2</v>
      </c>
      <c r="I590" s="22" t="n">
        <v>3</v>
      </c>
      <c r="J590" s="20"/>
    </row>
    <row r="591" customFormat="false" ht="15.75" hidden="false" customHeight="true" outlineLevel="0" collapsed="false">
      <c r="B591" s="19" t="n">
        <v>2797</v>
      </c>
      <c r="C591" s="20" t="s">
        <v>1686</v>
      </c>
      <c r="D591" s="20" t="s">
        <v>351</v>
      </c>
      <c r="E591" s="21" t="s">
        <v>1687</v>
      </c>
      <c r="F591" s="21" t="n">
        <v>33839</v>
      </c>
      <c r="G591" s="22" t="s">
        <v>471</v>
      </c>
      <c r="H591" s="23" t="n">
        <f aca="false">COUNTIF(CAL!U:AF,B591)</f>
        <v>2</v>
      </c>
      <c r="I591" s="22" t="n">
        <v>3</v>
      </c>
      <c r="J591" s="20"/>
    </row>
    <row r="592" customFormat="false" ht="15.75" hidden="false" customHeight="true" outlineLevel="0" collapsed="false">
      <c r="B592" s="19" t="n">
        <v>2895</v>
      </c>
      <c r="C592" s="20" t="s">
        <v>1688</v>
      </c>
      <c r="D592" s="20" t="s">
        <v>393</v>
      </c>
      <c r="E592" s="21" t="s">
        <v>1689</v>
      </c>
      <c r="F592" s="21" t="n">
        <v>32330</v>
      </c>
      <c r="G592" s="22" t="s">
        <v>471</v>
      </c>
      <c r="H592" s="23" t="n">
        <f aca="false">COUNTIF(CAL!U:AF,B592)</f>
        <v>2</v>
      </c>
      <c r="I592" s="22" t="n">
        <v>3</v>
      </c>
      <c r="J592" s="20"/>
    </row>
    <row r="593" customFormat="false" ht="15.75" hidden="false" customHeight="true" outlineLevel="0" collapsed="false">
      <c r="B593" s="19" t="n">
        <v>3165</v>
      </c>
      <c r="C593" s="20" t="s">
        <v>1690</v>
      </c>
      <c r="D593" s="20" t="s">
        <v>415</v>
      </c>
      <c r="E593" s="21" t="s">
        <v>1691</v>
      </c>
      <c r="F593" s="21" t="n">
        <v>37367</v>
      </c>
      <c r="G593" s="22" t="s">
        <v>471</v>
      </c>
      <c r="H593" s="23" t="n">
        <f aca="false">COUNTIF(CAL!U:AF,B593)</f>
        <v>2</v>
      </c>
      <c r="I593" s="22" t="n">
        <v>4</v>
      </c>
      <c r="J593" s="20"/>
    </row>
    <row r="594" customFormat="false" ht="15.75" hidden="false" customHeight="true" outlineLevel="0" collapsed="false">
      <c r="B594" s="19" t="n">
        <v>1831</v>
      </c>
      <c r="C594" s="20" t="s">
        <v>1692</v>
      </c>
      <c r="D594" s="20" t="s">
        <v>329</v>
      </c>
      <c r="E594" s="21" t="s">
        <v>1693</v>
      </c>
      <c r="F594" s="21" t="n">
        <v>36630</v>
      </c>
      <c r="G594" s="22" t="s">
        <v>471</v>
      </c>
      <c r="H594" s="23" t="n">
        <f aca="false">COUNTIF(CAL!U:AF,B594)</f>
        <v>2</v>
      </c>
      <c r="I594" s="22" t="n">
        <v>4</v>
      </c>
      <c r="J594" s="20"/>
    </row>
    <row r="595" customFormat="false" ht="15.75" hidden="false" customHeight="true" outlineLevel="0" collapsed="false">
      <c r="B595" s="19" t="n">
        <v>3426</v>
      </c>
      <c r="C595" s="20" t="s">
        <v>1694</v>
      </c>
      <c r="D595" s="20" t="s">
        <v>255</v>
      </c>
      <c r="E595" s="21" t="s">
        <v>1695</v>
      </c>
      <c r="F595" s="21" t="n">
        <v>36217</v>
      </c>
      <c r="G595" s="22" t="s">
        <v>481</v>
      </c>
      <c r="H595" s="23" t="n">
        <f aca="false">COUNTIF(CAL!U:AF,B595)</f>
        <v>2</v>
      </c>
      <c r="I595" s="22" t="n">
        <v>4</v>
      </c>
      <c r="J595" s="20"/>
    </row>
    <row r="596" customFormat="false" ht="15.75" hidden="false" customHeight="true" outlineLevel="0" collapsed="false">
      <c r="B596" s="19" t="n">
        <v>3231</v>
      </c>
      <c r="C596" s="20" t="s">
        <v>1696</v>
      </c>
      <c r="D596" s="20" t="s">
        <v>326</v>
      </c>
      <c r="E596" s="21" t="s">
        <v>1697</v>
      </c>
      <c r="F596" s="21" t="n">
        <v>37292</v>
      </c>
      <c r="G596" s="22" t="s">
        <v>471</v>
      </c>
      <c r="H596" s="23" t="n">
        <f aca="false">COUNTIF(CAL!U:AF,B596)</f>
        <v>2</v>
      </c>
      <c r="I596" s="22" t="n">
        <v>4</v>
      </c>
      <c r="J596" s="20"/>
    </row>
    <row r="597" customFormat="false" ht="15.75" hidden="false" customHeight="true" outlineLevel="0" collapsed="false">
      <c r="B597" s="19" t="n">
        <v>1107</v>
      </c>
      <c r="C597" s="20" t="s">
        <v>1698</v>
      </c>
      <c r="D597" s="20" t="s">
        <v>85</v>
      </c>
      <c r="E597" s="21" t="s">
        <v>1699</v>
      </c>
      <c r="F597" s="21" t="n">
        <v>37678</v>
      </c>
      <c r="G597" s="22" t="s">
        <v>471</v>
      </c>
      <c r="H597" s="23" t="n">
        <f aca="false">COUNTIF(CAL!U:AF,B597)</f>
        <v>2</v>
      </c>
      <c r="I597" s="22" t="n">
        <v>4</v>
      </c>
      <c r="J597" s="20"/>
    </row>
    <row r="598" customFormat="false" ht="15.75" hidden="false" customHeight="true" outlineLevel="0" collapsed="false">
      <c r="B598" s="19" t="n">
        <v>3376</v>
      </c>
      <c r="C598" s="20" t="s">
        <v>1700</v>
      </c>
      <c r="D598" s="20" t="s">
        <v>410</v>
      </c>
      <c r="E598" s="21" t="s">
        <v>1701</v>
      </c>
      <c r="F598" s="21" t="n">
        <v>37032</v>
      </c>
      <c r="G598" s="22" t="s">
        <v>471</v>
      </c>
      <c r="H598" s="23" t="n">
        <f aca="false">COUNTIF(CAL!U:AF,B598)</f>
        <v>2</v>
      </c>
      <c r="I598" s="22" t="n">
        <v>4</v>
      </c>
      <c r="J598" s="20"/>
    </row>
    <row r="599" customFormat="false" ht="15.75" hidden="false" customHeight="true" outlineLevel="0" collapsed="false">
      <c r="B599" s="19" t="n">
        <v>2077</v>
      </c>
      <c r="C599" s="20" t="s">
        <v>1702</v>
      </c>
      <c r="D599" s="20" t="s">
        <v>160</v>
      </c>
      <c r="E599" s="21" t="s">
        <v>1703</v>
      </c>
      <c r="F599" s="21" t="n">
        <v>36474</v>
      </c>
      <c r="G599" s="22" t="s">
        <v>471</v>
      </c>
      <c r="H599" s="23" t="n">
        <f aca="false">COUNTIF(CAL!U:AF,B599)</f>
        <v>2</v>
      </c>
      <c r="I599" s="22" t="n">
        <v>4</v>
      </c>
      <c r="J599" s="20"/>
    </row>
    <row r="600" customFormat="false" ht="15.75" hidden="false" customHeight="true" outlineLevel="0" collapsed="false">
      <c r="B600" s="19" t="n">
        <v>2654</v>
      </c>
      <c r="C600" s="20" t="s">
        <v>1704</v>
      </c>
      <c r="D600" s="20" t="s">
        <v>391</v>
      </c>
      <c r="E600" s="21" t="s">
        <v>1705</v>
      </c>
      <c r="F600" s="21" t="n">
        <v>36341</v>
      </c>
      <c r="G600" s="22" t="s">
        <v>471</v>
      </c>
      <c r="H600" s="23" t="n">
        <f aca="false">COUNTIF(CAL!U:AF,B600)</f>
        <v>2</v>
      </c>
      <c r="I600" s="22" t="n">
        <v>4</v>
      </c>
      <c r="J600" s="20"/>
    </row>
    <row r="601" customFormat="false" ht="15.75" hidden="false" customHeight="true" outlineLevel="0" collapsed="false">
      <c r="B601" s="19" t="n">
        <v>2071</v>
      </c>
      <c r="C601" s="20" t="s">
        <v>1489</v>
      </c>
      <c r="D601" s="20" t="s">
        <v>309</v>
      </c>
      <c r="E601" s="21" t="s">
        <v>1706</v>
      </c>
      <c r="F601" s="21" t="n">
        <v>36678</v>
      </c>
      <c r="G601" s="22" t="s">
        <v>471</v>
      </c>
      <c r="H601" s="23" t="n">
        <f aca="false">COUNTIF(CAL!U:AF,B601)</f>
        <v>2</v>
      </c>
      <c r="I601" s="22" t="n">
        <v>4</v>
      </c>
      <c r="J601" s="20"/>
    </row>
    <row r="602" customFormat="false" ht="15.75" hidden="false" customHeight="true" outlineLevel="0" collapsed="false">
      <c r="B602" s="19" t="n">
        <v>1923</v>
      </c>
      <c r="C602" s="20" t="s">
        <v>1707</v>
      </c>
      <c r="D602" s="20" t="s">
        <v>111</v>
      </c>
      <c r="E602" s="21" t="s">
        <v>1708</v>
      </c>
      <c r="F602" s="21" t="n">
        <v>35970</v>
      </c>
      <c r="G602" s="22" t="s">
        <v>471</v>
      </c>
      <c r="H602" s="23" t="n">
        <f aca="false">COUNTIF(CAL!U:AF,B602)</f>
        <v>2</v>
      </c>
      <c r="I602" s="22" t="n">
        <v>4</v>
      </c>
      <c r="J602" s="20"/>
    </row>
    <row r="603" customFormat="false" ht="15.75" hidden="false" customHeight="true" outlineLevel="0" collapsed="false">
      <c r="B603" s="19" t="n">
        <v>1258</v>
      </c>
      <c r="C603" s="20" t="s">
        <v>1709</v>
      </c>
      <c r="D603" s="20" t="s">
        <v>158</v>
      </c>
      <c r="E603" s="21" t="s">
        <v>1710</v>
      </c>
      <c r="F603" s="21" t="n">
        <v>34830</v>
      </c>
      <c r="G603" s="22" t="s">
        <v>471</v>
      </c>
      <c r="H603" s="23" t="n">
        <f aca="false">COUNTIF(CAL!U:AF,B603)</f>
        <v>2</v>
      </c>
      <c r="I603" s="22" t="n">
        <v>4</v>
      </c>
      <c r="J603" s="20" t="s">
        <v>1711</v>
      </c>
    </row>
    <row r="604" customFormat="false" ht="15.75" hidden="false" customHeight="true" outlineLevel="0" collapsed="false">
      <c r="B604" s="19" t="n">
        <v>1021</v>
      </c>
      <c r="C604" s="20" t="s">
        <v>1712</v>
      </c>
      <c r="D604" s="20" t="s">
        <v>410</v>
      </c>
      <c r="E604" s="24" t="s">
        <v>1713</v>
      </c>
      <c r="F604" s="21" t="n">
        <v>35958</v>
      </c>
      <c r="G604" s="22" t="s">
        <v>471</v>
      </c>
      <c r="H604" s="23" t="n">
        <f aca="false">COUNTIF(CAL!U:AF,B604)</f>
        <v>2</v>
      </c>
      <c r="I604" s="22" t="n">
        <v>4</v>
      </c>
      <c r="J604" s="20" t="s">
        <v>1714</v>
      </c>
    </row>
    <row r="605" customFormat="false" ht="15.75" hidden="false" customHeight="true" outlineLevel="0" collapsed="false">
      <c r="B605" s="19" t="n">
        <v>2666</v>
      </c>
      <c r="C605" s="20" t="s">
        <v>1715</v>
      </c>
      <c r="D605" s="20" t="s">
        <v>268</v>
      </c>
      <c r="E605" s="21" t="s">
        <v>1716</v>
      </c>
      <c r="F605" s="21" t="n">
        <v>35451</v>
      </c>
      <c r="G605" s="22" t="s">
        <v>481</v>
      </c>
      <c r="H605" s="23" t="n">
        <f aca="false">COUNTIF(CAL!U:AF,B605)</f>
        <v>2</v>
      </c>
      <c r="I605" s="22" t="n">
        <v>4</v>
      </c>
      <c r="J605" s="20"/>
    </row>
    <row r="606" customFormat="false" ht="15.75" hidden="false" customHeight="true" outlineLevel="0" collapsed="false">
      <c r="B606" s="19" t="n">
        <v>1166</v>
      </c>
      <c r="C606" s="20" t="s">
        <v>1717</v>
      </c>
      <c r="D606" s="20" t="s">
        <v>57</v>
      </c>
      <c r="E606" s="21" t="s">
        <v>1718</v>
      </c>
      <c r="F606" s="21" t="n">
        <v>37397</v>
      </c>
      <c r="G606" s="22" t="s">
        <v>471</v>
      </c>
      <c r="H606" s="23" t="n">
        <f aca="false">COUNTIF(CAL!U:AF,B606)</f>
        <v>2</v>
      </c>
      <c r="I606" s="22" t="n">
        <v>4</v>
      </c>
      <c r="J606" s="20"/>
    </row>
    <row r="607" customFormat="false" ht="15.75" hidden="false" customHeight="true" outlineLevel="0" collapsed="false">
      <c r="B607" s="19" t="n">
        <v>3152</v>
      </c>
      <c r="C607" s="20" t="s">
        <v>1719</v>
      </c>
      <c r="D607" s="20" t="s">
        <v>388</v>
      </c>
      <c r="E607" s="21" t="s">
        <v>1720</v>
      </c>
      <c r="F607" s="21" t="n">
        <v>38677</v>
      </c>
      <c r="G607" s="22" t="s">
        <v>471</v>
      </c>
      <c r="H607" s="23" t="n">
        <f aca="false">COUNTIF(CAL!U:AF,B607)</f>
        <v>2</v>
      </c>
      <c r="I607" s="22" t="n">
        <v>5</v>
      </c>
      <c r="J607" s="20"/>
    </row>
    <row r="608" customFormat="false" ht="15.75" hidden="false" customHeight="true" outlineLevel="0" collapsed="false">
      <c r="B608" s="19" t="n">
        <v>1126</v>
      </c>
      <c r="C608" s="20" t="s">
        <v>1721</v>
      </c>
      <c r="D608" s="20" t="s">
        <v>99</v>
      </c>
      <c r="E608" s="21" t="s">
        <v>1722</v>
      </c>
      <c r="F608" s="21" t="n">
        <v>34155</v>
      </c>
      <c r="G608" s="22" t="s">
        <v>471</v>
      </c>
      <c r="H608" s="23" t="n">
        <f aca="false">COUNTIF(CAL!U:AF,B608)</f>
        <v>2</v>
      </c>
      <c r="I608" s="22" t="n">
        <v>5</v>
      </c>
      <c r="J608" s="20"/>
    </row>
    <row r="609" customFormat="false" ht="15.75" hidden="false" customHeight="true" outlineLevel="0" collapsed="false">
      <c r="B609" s="19" t="n">
        <v>3612</v>
      </c>
      <c r="C609" s="20" t="s">
        <v>1723</v>
      </c>
      <c r="D609" s="20" t="s">
        <v>131</v>
      </c>
      <c r="E609" s="21" t="s">
        <v>1724</v>
      </c>
      <c r="F609" s="21" t="n">
        <v>36802</v>
      </c>
      <c r="G609" s="22" t="s">
        <v>471</v>
      </c>
      <c r="H609" s="23" t="n">
        <f aca="false">COUNTIF(CAL!U:AF,B609)</f>
        <v>2</v>
      </c>
      <c r="I609" s="22" t="n">
        <v>5</v>
      </c>
      <c r="J609" s="20"/>
    </row>
    <row r="610" customFormat="false" ht="15.75" hidden="false" customHeight="true" outlineLevel="0" collapsed="false">
      <c r="B610" s="19" t="n">
        <v>2547</v>
      </c>
      <c r="C610" s="20" t="s">
        <v>1725</v>
      </c>
      <c r="D610" s="20" t="s">
        <v>244</v>
      </c>
      <c r="E610" s="21" t="s">
        <v>1726</v>
      </c>
      <c r="F610" s="21" t="n">
        <v>38134</v>
      </c>
      <c r="G610" s="22" t="s">
        <v>471</v>
      </c>
      <c r="H610" s="23" t="n">
        <f aca="false">COUNTIF(CAL!U:AF,B610)</f>
        <v>2</v>
      </c>
      <c r="I610" s="22" t="n">
        <v>5</v>
      </c>
      <c r="J610" s="20"/>
    </row>
    <row r="611" customFormat="false" ht="15.75" hidden="false" customHeight="true" outlineLevel="0" collapsed="false">
      <c r="B611" s="19" t="n">
        <v>1948</v>
      </c>
      <c r="C611" s="20" t="s">
        <v>1727</v>
      </c>
      <c r="D611" s="20" t="s">
        <v>99</v>
      </c>
      <c r="E611" s="21" t="s">
        <v>1728</v>
      </c>
      <c r="F611" s="21" t="n">
        <v>32928</v>
      </c>
      <c r="G611" s="22" t="s">
        <v>471</v>
      </c>
      <c r="H611" s="23" t="n">
        <f aca="false">COUNTIF(CAL!U:AF,B611)</f>
        <v>2</v>
      </c>
      <c r="I611" s="22" t="n">
        <v>5</v>
      </c>
      <c r="J611" s="20"/>
    </row>
    <row r="612" customFormat="false" ht="15.75" hidden="false" customHeight="true" outlineLevel="0" collapsed="false">
      <c r="B612" s="19" t="n">
        <v>2221</v>
      </c>
      <c r="C612" s="20" t="s">
        <v>1729</v>
      </c>
      <c r="D612" s="20" t="s">
        <v>293</v>
      </c>
      <c r="E612" s="21" t="s">
        <v>1730</v>
      </c>
      <c r="F612" s="21" t="n">
        <v>37741</v>
      </c>
      <c r="G612" s="22" t="s">
        <v>471</v>
      </c>
      <c r="H612" s="23" t="n">
        <f aca="false">COUNTIF(CAL!U:AF,B612)</f>
        <v>2</v>
      </c>
      <c r="I612" s="22" t="n">
        <v>5</v>
      </c>
      <c r="J612" s="20"/>
    </row>
    <row r="613" customFormat="false" ht="15.75" hidden="false" customHeight="true" outlineLevel="0" collapsed="false">
      <c r="B613" s="19" t="n">
        <v>3117</v>
      </c>
      <c r="C613" s="20" t="s">
        <v>1731</v>
      </c>
      <c r="D613" s="20" t="s">
        <v>409</v>
      </c>
      <c r="E613" s="24" t="s">
        <v>1732</v>
      </c>
      <c r="F613" s="21" t="n">
        <v>37302</v>
      </c>
      <c r="G613" s="22" t="s">
        <v>471</v>
      </c>
      <c r="H613" s="23" t="n">
        <f aca="false">COUNTIF(CAL!U:AF,B613)</f>
        <v>2</v>
      </c>
      <c r="I613" s="22" t="n">
        <v>5</v>
      </c>
      <c r="J613" s="20"/>
    </row>
    <row r="614" customFormat="false" ht="15.75" hidden="false" customHeight="true" outlineLevel="0" collapsed="false">
      <c r="B614" s="19" t="n">
        <v>2074</v>
      </c>
      <c r="C614" s="20" t="s">
        <v>1733</v>
      </c>
      <c r="D614" s="20" t="s">
        <v>339</v>
      </c>
      <c r="E614" s="21" t="s">
        <v>1734</v>
      </c>
      <c r="F614" s="21" t="n">
        <v>35109</v>
      </c>
      <c r="G614" s="22" t="s">
        <v>471</v>
      </c>
      <c r="H614" s="23" t="n">
        <f aca="false">COUNTIF(CAL!U:AF,B614)</f>
        <v>2</v>
      </c>
      <c r="I614" s="22" t="n">
        <v>5</v>
      </c>
      <c r="J614" s="20"/>
    </row>
    <row r="615" customFormat="false" ht="15.75" hidden="false" customHeight="true" outlineLevel="0" collapsed="false">
      <c r="B615" s="19" t="n">
        <v>2258</v>
      </c>
      <c r="C615" s="20" t="s">
        <v>1735</v>
      </c>
      <c r="D615" s="20" t="s">
        <v>250</v>
      </c>
      <c r="E615" s="21" t="s">
        <v>1736</v>
      </c>
      <c r="F615" s="21" t="n">
        <v>37010</v>
      </c>
      <c r="G615" s="22" t="s">
        <v>471</v>
      </c>
      <c r="H615" s="23" t="n">
        <f aca="false">COUNTIF(CAL!U:AF,B615)</f>
        <v>2</v>
      </c>
      <c r="I615" s="22" t="n">
        <v>5</v>
      </c>
      <c r="J615" s="20"/>
    </row>
    <row r="616" customFormat="false" ht="15.75" hidden="false" customHeight="true" outlineLevel="0" collapsed="false">
      <c r="B616" s="19" t="n">
        <v>1750</v>
      </c>
      <c r="C616" s="20" t="s">
        <v>1737</v>
      </c>
      <c r="D616" s="20" t="s">
        <v>298</v>
      </c>
      <c r="E616" s="24" t="s">
        <v>1738</v>
      </c>
      <c r="F616" s="21" t="n">
        <v>32908</v>
      </c>
      <c r="G616" s="22" t="s">
        <v>471</v>
      </c>
      <c r="H616" s="23" t="n">
        <f aca="false">COUNTIF(CAL!U:AF,B616)</f>
        <v>2</v>
      </c>
      <c r="I616" s="22" t="n">
        <v>5</v>
      </c>
      <c r="J616" s="20"/>
    </row>
    <row r="617" customFormat="false" ht="15.75" hidden="false" customHeight="true" outlineLevel="0" collapsed="false">
      <c r="B617" s="19" t="n">
        <v>3392</v>
      </c>
      <c r="C617" s="20" t="s">
        <v>1376</v>
      </c>
      <c r="D617" s="20" t="s">
        <v>352</v>
      </c>
      <c r="E617" s="21" t="s">
        <v>1739</v>
      </c>
      <c r="F617" s="21" t="n">
        <v>35462</v>
      </c>
      <c r="G617" s="22" t="s">
        <v>471</v>
      </c>
      <c r="H617" s="23" t="n">
        <f aca="false">COUNTIF(CAL!U:AF,B617)</f>
        <v>2</v>
      </c>
      <c r="I617" s="22" t="n">
        <v>5</v>
      </c>
      <c r="J617" s="20"/>
    </row>
    <row r="618" customFormat="false" ht="15.75" hidden="false" customHeight="true" outlineLevel="0" collapsed="false">
      <c r="B618" s="19" t="n">
        <v>3234</v>
      </c>
      <c r="C618" s="20" t="s">
        <v>1740</v>
      </c>
      <c r="D618" s="20" t="s">
        <v>354</v>
      </c>
      <c r="E618" s="21" t="s">
        <v>1741</v>
      </c>
      <c r="F618" s="21" t="n">
        <v>38583</v>
      </c>
      <c r="G618" s="22" t="s">
        <v>471</v>
      </c>
      <c r="H618" s="23" t="n">
        <f aca="false">COUNTIF(CAL!U:AF,B618)</f>
        <v>2</v>
      </c>
      <c r="I618" s="22" t="n">
        <v>5</v>
      </c>
      <c r="J618" s="20"/>
    </row>
    <row r="619" customFormat="false" ht="15.75" hidden="false" customHeight="true" outlineLevel="0" collapsed="false">
      <c r="B619" s="19" t="n">
        <v>3375</v>
      </c>
      <c r="C619" s="20" t="s">
        <v>1742</v>
      </c>
      <c r="D619" s="20" t="s">
        <v>410</v>
      </c>
      <c r="E619" s="21" t="s">
        <v>1743</v>
      </c>
      <c r="F619" s="21" t="n">
        <v>37428</v>
      </c>
      <c r="G619" s="22" t="s">
        <v>471</v>
      </c>
      <c r="H619" s="23" t="n">
        <f aca="false">COUNTIF(CAL!U:AF,B619)</f>
        <v>2</v>
      </c>
      <c r="I619" s="22" t="n">
        <v>5</v>
      </c>
      <c r="J619" s="20"/>
    </row>
    <row r="620" customFormat="false" ht="15.75" hidden="false" customHeight="true" outlineLevel="0" collapsed="false">
      <c r="B620" s="19" t="n">
        <v>2765</v>
      </c>
      <c r="C620" s="20" t="s">
        <v>1744</v>
      </c>
      <c r="D620" s="20" t="s">
        <v>285</v>
      </c>
      <c r="E620" s="21" t="s">
        <v>1745</v>
      </c>
      <c r="F620" s="21" t="n">
        <v>35215</v>
      </c>
      <c r="G620" s="22" t="s">
        <v>471</v>
      </c>
      <c r="H620" s="23" t="n">
        <f aca="false">COUNTIF(CAL!U:AF,B620)</f>
        <v>2</v>
      </c>
      <c r="I620" s="22" t="n">
        <v>5</v>
      </c>
      <c r="J620" s="20" t="s">
        <v>1746</v>
      </c>
    </row>
    <row r="621" customFormat="false" ht="15.75" hidden="false" customHeight="true" outlineLevel="0" collapsed="false">
      <c r="B621" s="19" t="n">
        <v>3559</v>
      </c>
      <c r="C621" s="20" t="s">
        <v>1747</v>
      </c>
      <c r="D621" s="20" t="s">
        <v>78</v>
      </c>
      <c r="E621" s="21" t="s">
        <v>1748</v>
      </c>
      <c r="F621" s="21" t="n">
        <v>38764</v>
      </c>
      <c r="G621" s="22" t="s">
        <v>471</v>
      </c>
      <c r="H621" s="23" t="n">
        <f aca="false">COUNTIF(CAL!U:AF,B621)</f>
        <v>2</v>
      </c>
      <c r="I621" s="22" t="n">
        <v>5</v>
      </c>
      <c r="J621" s="20"/>
    </row>
    <row r="622" customFormat="false" ht="15.75" hidden="false" customHeight="true" outlineLevel="0" collapsed="false">
      <c r="B622" s="19" t="n">
        <v>1767</v>
      </c>
      <c r="C622" s="20" t="s">
        <v>1749</v>
      </c>
      <c r="D622" s="20" t="s">
        <v>314</v>
      </c>
      <c r="E622" s="21" t="s">
        <v>1750</v>
      </c>
      <c r="F622" s="21" t="n">
        <v>38242</v>
      </c>
      <c r="G622" s="22" t="s">
        <v>471</v>
      </c>
      <c r="H622" s="23" t="n">
        <f aca="false">COUNTIF(CAL!U:AF,B622)</f>
        <v>2</v>
      </c>
      <c r="I622" s="22" t="n">
        <v>5</v>
      </c>
      <c r="J622" s="20"/>
    </row>
    <row r="623" customFormat="false" ht="15.75" hidden="false" customHeight="true" outlineLevel="0" collapsed="false">
      <c r="B623" s="19" t="n">
        <v>1931</v>
      </c>
      <c r="C623" s="20" t="s">
        <v>1751</v>
      </c>
      <c r="D623" s="20" t="s">
        <v>277</v>
      </c>
      <c r="E623" s="21" t="s">
        <v>1752</v>
      </c>
      <c r="F623" s="21" t="n">
        <v>34097</v>
      </c>
      <c r="G623" s="22" t="s">
        <v>471</v>
      </c>
      <c r="H623" s="23" t="n">
        <f aca="false">COUNTIF(CAL!U:AF,B623)</f>
        <v>2</v>
      </c>
      <c r="I623" s="22" t="n">
        <v>5</v>
      </c>
      <c r="J623" s="20"/>
    </row>
    <row r="624" customFormat="false" ht="15.75" hidden="false" customHeight="true" outlineLevel="0" collapsed="false">
      <c r="B624" s="19" t="n">
        <v>1056</v>
      </c>
      <c r="C624" s="20" t="s">
        <v>1753</v>
      </c>
      <c r="D624" s="20" t="s">
        <v>161</v>
      </c>
      <c r="E624" s="21" t="s">
        <v>1754</v>
      </c>
      <c r="F624" s="21" t="n">
        <v>36232</v>
      </c>
      <c r="G624" s="22" t="s">
        <v>471</v>
      </c>
      <c r="H624" s="23" t="n">
        <f aca="false">COUNTIF(CAL!U:AF,B624)</f>
        <v>2</v>
      </c>
      <c r="I624" s="22" t="n">
        <v>5</v>
      </c>
      <c r="J624" s="20"/>
    </row>
    <row r="625" customFormat="false" ht="15.75" hidden="false" customHeight="true" outlineLevel="0" collapsed="false">
      <c r="B625" s="19" t="n">
        <v>1032</v>
      </c>
      <c r="C625" s="20" t="s">
        <v>1755</v>
      </c>
      <c r="D625" s="20" t="s">
        <v>207</v>
      </c>
      <c r="E625" s="24" t="s">
        <v>1756</v>
      </c>
      <c r="F625" s="21" t="n">
        <v>39713</v>
      </c>
      <c r="G625" s="22" t="s">
        <v>471</v>
      </c>
      <c r="H625" s="23" t="n">
        <f aca="false">COUNTIF(CAL!U:AF,B625)</f>
        <v>2</v>
      </c>
      <c r="I625" s="22" t="n">
        <v>5</v>
      </c>
      <c r="J625" s="20" t="s">
        <v>1757</v>
      </c>
    </row>
    <row r="626" customFormat="false" ht="15.75" hidden="false" customHeight="true" outlineLevel="0" collapsed="false">
      <c r="B626" s="19" t="n">
        <v>3106</v>
      </c>
      <c r="C626" s="20" t="s">
        <v>1758</v>
      </c>
      <c r="D626" s="20" t="s">
        <v>310</v>
      </c>
      <c r="E626" s="21" t="s">
        <v>1759</v>
      </c>
      <c r="F626" s="21" t="n">
        <v>38615</v>
      </c>
      <c r="G626" s="22" t="s">
        <v>504</v>
      </c>
      <c r="H626" s="23" t="n">
        <f aca="false">COUNTIF(CAL!U:AF,B626)</f>
        <v>2</v>
      </c>
      <c r="I626" s="22" t="n">
        <v>5</v>
      </c>
      <c r="J626" s="20"/>
    </row>
    <row r="627" customFormat="false" ht="15.75" hidden="false" customHeight="true" outlineLevel="0" collapsed="false">
      <c r="B627" s="19" t="n">
        <v>2347</v>
      </c>
      <c r="C627" s="20" t="s">
        <v>748</v>
      </c>
      <c r="D627" s="20" t="s">
        <v>228</v>
      </c>
      <c r="E627" s="21" t="s">
        <v>1760</v>
      </c>
      <c r="F627" s="21" t="n">
        <v>38105</v>
      </c>
      <c r="G627" s="22" t="s">
        <v>471</v>
      </c>
      <c r="H627" s="23" t="n">
        <f aca="false">COUNTIF(CAL!U:AF,B627)</f>
        <v>2</v>
      </c>
      <c r="I627" s="22" t="n">
        <v>5</v>
      </c>
      <c r="J627" s="20"/>
    </row>
    <row r="628" customFormat="false" ht="15.75" hidden="false" customHeight="true" outlineLevel="0" collapsed="false">
      <c r="B628" s="19" t="n">
        <v>1705</v>
      </c>
      <c r="C628" s="20" t="s">
        <v>1761</v>
      </c>
      <c r="D628" s="20" t="s">
        <v>75</v>
      </c>
      <c r="E628" s="21" t="s">
        <v>1762</v>
      </c>
      <c r="F628" s="21" t="n">
        <v>36224</v>
      </c>
      <c r="G628" s="22" t="s">
        <v>471</v>
      </c>
      <c r="H628" s="23" t="n">
        <f aca="false">COUNTIF(CAL!U:AF,B628)</f>
        <v>2</v>
      </c>
      <c r="I628" s="22" t="n">
        <v>5</v>
      </c>
      <c r="J628" s="20"/>
    </row>
    <row r="629" customFormat="false" ht="15.75" hidden="false" customHeight="true" outlineLevel="0" collapsed="false">
      <c r="B629" s="19" t="n">
        <v>2739</v>
      </c>
      <c r="C629" s="20" t="s">
        <v>1763</v>
      </c>
      <c r="D629" s="20" t="s">
        <v>371</v>
      </c>
      <c r="E629" s="21" t="s">
        <v>1764</v>
      </c>
      <c r="F629" s="21" t="n">
        <v>37789</v>
      </c>
      <c r="G629" s="22" t="s">
        <v>471</v>
      </c>
      <c r="H629" s="23" t="n">
        <f aca="false">COUNTIF(CAL!U:AF,B629)</f>
        <v>2</v>
      </c>
      <c r="I629" s="22" t="n">
        <v>5</v>
      </c>
      <c r="J629" s="20"/>
    </row>
    <row r="630" customFormat="false" ht="15.75" hidden="false" customHeight="true" outlineLevel="0" collapsed="false">
      <c r="B630" s="19" t="n">
        <v>1452</v>
      </c>
      <c r="C630" s="20" t="s">
        <v>1072</v>
      </c>
      <c r="D630" s="20" t="s">
        <v>214</v>
      </c>
      <c r="E630" s="21" t="s">
        <v>1765</v>
      </c>
      <c r="F630" s="21" t="n">
        <v>35956</v>
      </c>
      <c r="G630" s="22" t="s">
        <v>471</v>
      </c>
      <c r="H630" s="23" t="n">
        <f aca="false">COUNTIF(CAL!U:AF,B630)</f>
        <v>2</v>
      </c>
      <c r="I630" s="22" t="n">
        <v>5</v>
      </c>
      <c r="J630" s="20"/>
    </row>
    <row r="631" customFormat="false" ht="15.75" hidden="false" customHeight="true" outlineLevel="0" collapsed="false">
      <c r="B631" s="19" t="n">
        <v>3163</v>
      </c>
      <c r="C631" s="20" t="s">
        <v>996</v>
      </c>
      <c r="D631" s="20" t="s">
        <v>413</v>
      </c>
      <c r="E631" s="24" t="s">
        <v>1766</v>
      </c>
      <c r="F631" s="21" t="n">
        <v>37838</v>
      </c>
      <c r="G631" s="22" t="s">
        <v>471</v>
      </c>
      <c r="H631" s="23" t="n">
        <f aca="false">COUNTIF(CAL!U:AF,B631)</f>
        <v>2</v>
      </c>
      <c r="I631" s="22" t="n">
        <v>5</v>
      </c>
      <c r="J631" s="20"/>
    </row>
    <row r="632" customFormat="false" ht="15.75" hidden="false" customHeight="true" outlineLevel="0" collapsed="false">
      <c r="B632" s="19" t="n">
        <v>3180</v>
      </c>
      <c r="C632" s="20" t="s">
        <v>1767</v>
      </c>
      <c r="D632" s="20" t="s">
        <v>78</v>
      </c>
      <c r="E632" s="21" t="s">
        <v>1768</v>
      </c>
      <c r="F632" s="21" t="n">
        <v>34239</v>
      </c>
      <c r="G632" s="22" t="s">
        <v>471</v>
      </c>
      <c r="H632" s="23" t="n">
        <f aca="false">COUNTIF(CAL!U:AF,B632)</f>
        <v>2</v>
      </c>
      <c r="I632" s="22" t="n">
        <v>5</v>
      </c>
      <c r="J632" s="20"/>
    </row>
    <row r="633" customFormat="false" ht="15.75" hidden="false" customHeight="true" outlineLevel="0" collapsed="false">
      <c r="B633" s="19" t="n">
        <v>2213</v>
      </c>
      <c r="C633" s="20" t="s">
        <v>1769</v>
      </c>
      <c r="D633" s="20" t="s">
        <v>298</v>
      </c>
      <c r="E633" s="21" t="s">
        <v>1770</v>
      </c>
      <c r="F633" s="21" t="n">
        <v>32351</v>
      </c>
      <c r="G633" s="22" t="s">
        <v>471</v>
      </c>
      <c r="H633" s="23" t="n">
        <f aca="false">COUNTIF(CAL!U:AF,B633)</f>
        <v>2</v>
      </c>
      <c r="I633" s="22" t="n">
        <v>5</v>
      </c>
      <c r="J633" s="20"/>
    </row>
    <row r="634" customFormat="false" ht="15.75" hidden="false" customHeight="true" outlineLevel="0" collapsed="false">
      <c r="B634" s="19" t="n">
        <v>1464</v>
      </c>
      <c r="C634" s="20" t="s">
        <v>1771</v>
      </c>
      <c r="D634" s="20" t="s">
        <v>277</v>
      </c>
      <c r="E634" s="21" t="s">
        <v>1772</v>
      </c>
      <c r="F634" s="21" t="n">
        <v>37310</v>
      </c>
      <c r="G634" s="22" t="s">
        <v>471</v>
      </c>
      <c r="H634" s="23" t="n">
        <f aca="false">COUNTIF(CAL!U:AF,B634)</f>
        <v>2</v>
      </c>
      <c r="I634" s="22" t="n">
        <v>5</v>
      </c>
      <c r="J634" s="20"/>
    </row>
    <row r="635" customFormat="false" ht="15.75" hidden="false" customHeight="true" outlineLevel="0" collapsed="false">
      <c r="B635" s="19" t="n">
        <v>2696</v>
      </c>
      <c r="C635" s="20" t="s">
        <v>1773</v>
      </c>
      <c r="D635" s="20" t="s">
        <v>284</v>
      </c>
      <c r="E635" s="21" t="s">
        <v>1774</v>
      </c>
      <c r="F635" s="21" t="n">
        <v>38142</v>
      </c>
      <c r="G635" s="22" t="s">
        <v>471</v>
      </c>
      <c r="H635" s="23" t="n">
        <f aca="false">COUNTIF(CAL!U:AF,B635)</f>
        <v>2</v>
      </c>
      <c r="I635" s="22" t="n">
        <v>5</v>
      </c>
      <c r="J635" s="20"/>
    </row>
    <row r="636" customFormat="false" ht="15.75" hidden="false" customHeight="true" outlineLevel="0" collapsed="false">
      <c r="B636" s="19" t="n">
        <v>3332</v>
      </c>
      <c r="C636" s="20" t="s">
        <v>1775</v>
      </c>
      <c r="D636" s="20" t="s">
        <v>409</v>
      </c>
      <c r="E636" s="21" t="s">
        <v>1776</v>
      </c>
      <c r="F636" s="21" t="n">
        <v>38081</v>
      </c>
      <c r="G636" s="22" t="s">
        <v>471</v>
      </c>
      <c r="H636" s="23" t="n">
        <f aca="false">COUNTIF(CAL!U:AF,B636)</f>
        <v>2</v>
      </c>
      <c r="I636" s="22" t="n">
        <v>5</v>
      </c>
      <c r="J636" s="20"/>
    </row>
    <row r="637" customFormat="false" ht="15.75" hidden="false" customHeight="true" outlineLevel="0" collapsed="false">
      <c r="B637" s="19" t="n">
        <v>3173</v>
      </c>
      <c r="C637" s="20" t="s">
        <v>1777</v>
      </c>
      <c r="D637" s="20" t="s">
        <v>392</v>
      </c>
      <c r="E637" s="21" t="s">
        <v>1778</v>
      </c>
      <c r="F637" s="21" t="n">
        <v>37704</v>
      </c>
      <c r="G637" s="22" t="s">
        <v>471</v>
      </c>
      <c r="H637" s="23" t="n">
        <f aca="false">COUNTIF(CAL!U:AF,B637)</f>
        <v>2</v>
      </c>
      <c r="I637" s="22" t="n">
        <v>5</v>
      </c>
      <c r="J637" s="20"/>
    </row>
    <row r="638" customFormat="false" ht="15.75" hidden="false" customHeight="true" outlineLevel="0" collapsed="false">
      <c r="B638" s="19" t="n">
        <v>2175</v>
      </c>
      <c r="C638" s="20" t="s">
        <v>1779</v>
      </c>
      <c r="D638" s="20" t="s">
        <v>375</v>
      </c>
      <c r="E638" s="21" t="s">
        <v>1780</v>
      </c>
      <c r="F638" s="21" t="n">
        <v>37440</v>
      </c>
      <c r="G638" s="22" t="s">
        <v>1781</v>
      </c>
      <c r="H638" s="23" t="n">
        <f aca="false">COUNTIF(CAL!U:AF,B638)</f>
        <v>2</v>
      </c>
      <c r="I638" s="22" t="n">
        <v>5</v>
      </c>
      <c r="J638" s="20"/>
    </row>
    <row r="639" customFormat="false" ht="15.75" hidden="false" customHeight="true" outlineLevel="0" collapsed="false">
      <c r="B639" s="19" t="n">
        <v>2142</v>
      </c>
      <c r="C639" s="20" t="s">
        <v>1782</v>
      </c>
      <c r="D639" s="20" t="s">
        <v>340</v>
      </c>
      <c r="E639" s="21" t="s">
        <v>1783</v>
      </c>
      <c r="F639" s="21" t="n">
        <v>35836</v>
      </c>
      <c r="G639" s="22" t="s">
        <v>471</v>
      </c>
      <c r="H639" s="23" t="n">
        <f aca="false">COUNTIF(CAL!U:AF,B639)</f>
        <v>2</v>
      </c>
      <c r="I639" s="22" t="n">
        <v>5</v>
      </c>
      <c r="J639" s="20"/>
    </row>
    <row r="640" customFormat="false" ht="15.75" hidden="false" customHeight="true" outlineLevel="0" collapsed="false">
      <c r="B640" s="19" t="n">
        <v>2857</v>
      </c>
      <c r="C640" s="20" t="s">
        <v>1784</v>
      </c>
      <c r="D640" s="20" t="s">
        <v>57</v>
      </c>
      <c r="E640" s="21" t="s">
        <v>1785</v>
      </c>
      <c r="F640" s="21" t="n">
        <v>36271</v>
      </c>
      <c r="G640" s="22" t="s">
        <v>471</v>
      </c>
      <c r="H640" s="23" t="n">
        <f aca="false">COUNTIF(CAL!U:AF,B640)</f>
        <v>2</v>
      </c>
      <c r="I640" s="22" t="n">
        <v>5</v>
      </c>
      <c r="J640" s="20"/>
    </row>
    <row r="641" customFormat="false" ht="15.75" hidden="false" customHeight="true" outlineLevel="0" collapsed="false">
      <c r="B641" s="19" t="n">
        <v>1711</v>
      </c>
      <c r="C641" s="20" t="s">
        <v>1786</v>
      </c>
      <c r="D641" s="20" t="s">
        <v>256</v>
      </c>
      <c r="E641" s="21" t="s">
        <v>1787</v>
      </c>
      <c r="F641" s="21" t="n">
        <v>37653</v>
      </c>
      <c r="G641" s="22" t="s">
        <v>471</v>
      </c>
      <c r="H641" s="23" t="n">
        <f aca="false">COUNTIF(CAL!U:AF,B641)</f>
        <v>2</v>
      </c>
      <c r="I641" s="22" t="n">
        <v>5</v>
      </c>
      <c r="J641" s="20"/>
    </row>
    <row r="642" customFormat="false" ht="15.75" hidden="false" customHeight="true" outlineLevel="0" collapsed="false">
      <c r="B642" s="19" t="n">
        <v>2899</v>
      </c>
      <c r="C642" s="20" t="s">
        <v>1788</v>
      </c>
      <c r="D642" s="20" t="s">
        <v>165</v>
      </c>
      <c r="E642" s="21" t="s">
        <v>1789</v>
      </c>
      <c r="F642" s="21" t="n">
        <v>38035</v>
      </c>
      <c r="G642" s="22" t="s">
        <v>471</v>
      </c>
      <c r="H642" s="23" t="n">
        <f aca="false">COUNTIF(CAL!U:AF,B642)</f>
        <v>2</v>
      </c>
      <c r="I642" s="22" t="n">
        <v>5</v>
      </c>
      <c r="J642" s="20"/>
    </row>
    <row r="643" customFormat="false" ht="15.75" hidden="false" customHeight="true" outlineLevel="0" collapsed="false">
      <c r="B643" s="19" t="n">
        <v>1169</v>
      </c>
      <c r="C643" s="20" t="s">
        <v>1790</v>
      </c>
      <c r="D643" s="20" t="s">
        <v>176</v>
      </c>
      <c r="E643" s="21" t="s">
        <v>1791</v>
      </c>
      <c r="F643" s="21" t="n">
        <v>39652</v>
      </c>
      <c r="G643" s="22" t="s">
        <v>471</v>
      </c>
      <c r="H643" s="23" t="n">
        <f aca="false">COUNTIF(CAL!U:AF,B643)</f>
        <v>2</v>
      </c>
      <c r="I643" s="22" t="n">
        <v>5</v>
      </c>
      <c r="J643" s="20"/>
    </row>
    <row r="644" customFormat="false" ht="15.75" hidden="false" customHeight="true" outlineLevel="0" collapsed="false">
      <c r="B644" s="19" t="n">
        <v>3091</v>
      </c>
      <c r="C644" s="20" t="s">
        <v>1792</v>
      </c>
      <c r="D644" s="20" t="s">
        <v>329</v>
      </c>
      <c r="E644" s="21" t="s">
        <v>1793</v>
      </c>
      <c r="F644" s="21" t="n">
        <v>36683</v>
      </c>
      <c r="G644" s="22" t="s">
        <v>471</v>
      </c>
      <c r="H644" s="23" t="n">
        <f aca="false">COUNTIF(CAL!U:AF,B644)</f>
        <v>2</v>
      </c>
      <c r="I644" s="22" t="n">
        <v>5</v>
      </c>
      <c r="J644" s="20"/>
    </row>
    <row r="645" customFormat="false" ht="15.75" hidden="false" customHeight="true" outlineLevel="0" collapsed="false">
      <c r="B645" s="19" t="n">
        <v>2543</v>
      </c>
      <c r="C645" s="20" t="s">
        <v>1794</v>
      </c>
      <c r="D645" s="20" t="s">
        <v>303</v>
      </c>
      <c r="E645" s="21" t="s">
        <v>1795</v>
      </c>
      <c r="F645" s="21" t="n">
        <v>34582</v>
      </c>
      <c r="G645" s="22" t="s">
        <v>471</v>
      </c>
      <c r="H645" s="23" t="n">
        <f aca="false">COUNTIF(CAL!U:AF,B645)</f>
        <v>2</v>
      </c>
      <c r="I645" s="22" t="n">
        <v>5</v>
      </c>
      <c r="J645" s="20"/>
    </row>
    <row r="646" customFormat="false" ht="15.75" hidden="false" customHeight="true" outlineLevel="0" collapsed="false">
      <c r="B646" s="19" t="n">
        <v>3420</v>
      </c>
      <c r="C646" s="20" t="s">
        <v>1796</v>
      </c>
      <c r="D646" s="20" t="s">
        <v>138</v>
      </c>
      <c r="E646" s="21" t="s">
        <v>1797</v>
      </c>
      <c r="F646" s="21" t="n">
        <v>36965</v>
      </c>
      <c r="G646" s="22" t="s">
        <v>471</v>
      </c>
      <c r="H646" s="23" t="n">
        <f aca="false">COUNTIF(CAL!U:AF,B646)</f>
        <v>2</v>
      </c>
      <c r="I646" s="22" t="n">
        <v>5</v>
      </c>
      <c r="J646" s="20"/>
    </row>
    <row r="647" customFormat="false" ht="15.75" hidden="false" customHeight="true" outlineLevel="0" collapsed="false">
      <c r="B647" s="19" t="n">
        <v>2108</v>
      </c>
      <c r="C647" s="20" t="s">
        <v>1798</v>
      </c>
      <c r="D647" s="20" t="s">
        <v>122</v>
      </c>
      <c r="E647" s="21" t="s">
        <v>1799</v>
      </c>
      <c r="F647" s="21" t="n">
        <v>33472</v>
      </c>
      <c r="G647" s="22" t="s">
        <v>471</v>
      </c>
      <c r="H647" s="23" t="n">
        <f aca="false">COUNTIF(CAL!U:AF,B647)</f>
        <v>2</v>
      </c>
      <c r="I647" s="22" t="n">
        <v>5</v>
      </c>
      <c r="J647" s="20"/>
    </row>
    <row r="648" customFormat="false" ht="15.75" hidden="false" customHeight="true" outlineLevel="0" collapsed="false">
      <c r="B648" s="19" t="n">
        <v>3385</v>
      </c>
      <c r="C648" s="20" t="s">
        <v>1800</v>
      </c>
      <c r="D648" s="20" t="s">
        <v>388</v>
      </c>
      <c r="E648" s="21" t="s">
        <v>1801</v>
      </c>
      <c r="F648" s="21" t="n">
        <v>37007</v>
      </c>
      <c r="G648" s="22" t="s">
        <v>471</v>
      </c>
      <c r="H648" s="23" t="n">
        <f aca="false">COUNTIF(CAL!U:AF,B648)</f>
        <v>2</v>
      </c>
      <c r="I648" s="22" t="n">
        <v>5</v>
      </c>
      <c r="J648" s="20"/>
    </row>
    <row r="649" customFormat="false" ht="15.75" hidden="false" customHeight="true" outlineLevel="0" collapsed="false">
      <c r="B649" s="19" t="n">
        <v>1749</v>
      </c>
      <c r="C649" s="20" t="s">
        <v>1802</v>
      </c>
      <c r="D649" s="20" t="s">
        <v>297</v>
      </c>
      <c r="E649" s="21" t="s">
        <v>1803</v>
      </c>
      <c r="F649" s="21" t="n">
        <v>37105</v>
      </c>
      <c r="G649" s="22" t="s">
        <v>471</v>
      </c>
      <c r="H649" s="23" t="n">
        <f aca="false">COUNTIF(CAL!U:AF,B649)</f>
        <v>2</v>
      </c>
      <c r="I649" s="22" t="n">
        <v>6</v>
      </c>
      <c r="J649" s="20"/>
    </row>
    <row r="650" customFormat="false" ht="15.75" hidden="false" customHeight="true" outlineLevel="0" collapsed="false">
      <c r="B650" s="19" t="n">
        <v>3536</v>
      </c>
      <c r="C650" s="20" t="s">
        <v>1804</v>
      </c>
      <c r="D650" s="20" t="s">
        <v>427</v>
      </c>
      <c r="E650" s="21" t="s">
        <v>1805</v>
      </c>
      <c r="F650" s="21" t="n">
        <v>38326</v>
      </c>
      <c r="G650" s="22" t="s">
        <v>471</v>
      </c>
      <c r="H650" s="23" t="n">
        <f aca="false">COUNTIF(CAL!U:AF,B650)</f>
        <v>2</v>
      </c>
      <c r="I650" s="22" t="n">
        <v>6</v>
      </c>
      <c r="J650" s="20"/>
    </row>
    <row r="651" customFormat="false" ht="15.75" hidden="false" customHeight="true" outlineLevel="0" collapsed="false">
      <c r="B651" s="19" t="n">
        <v>1202</v>
      </c>
      <c r="C651" s="20" t="s">
        <v>1806</v>
      </c>
      <c r="D651" s="20" t="s">
        <v>111</v>
      </c>
      <c r="E651" s="21" t="s">
        <v>1807</v>
      </c>
      <c r="F651" s="21" t="n">
        <v>35263</v>
      </c>
      <c r="G651" s="22" t="s">
        <v>471</v>
      </c>
      <c r="H651" s="23" t="n">
        <f aca="false">COUNTIF(CAL!U:AF,B651)</f>
        <v>2</v>
      </c>
      <c r="I651" s="22" t="n">
        <v>6</v>
      </c>
      <c r="J651" s="20" t="s">
        <v>1808</v>
      </c>
    </row>
    <row r="652" customFormat="false" ht="15.75" hidden="false" customHeight="true" outlineLevel="0" collapsed="false">
      <c r="B652" s="19" t="n">
        <v>2818</v>
      </c>
      <c r="C652" s="20" t="s">
        <v>1809</v>
      </c>
      <c r="D652" s="20" t="s">
        <v>282</v>
      </c>
      <c r="E652" s="21" t="s">
        <v>1810</v>
      </c>
      <c r="F652" s="21" t="n">
        <v>36195</v>
      </c>
      <c r="G652" s="22" t="s">
        <v>884</v>
      </c>
      <c r="H652" s="23" t="n">
        <f aca="false">COUNTIF(CAL!U:AF,B652)</f>
        <v>2</v>
      </c>
      <c r="I652" s="22" t="n">
        <v>6</v>
      </c>
      <c r="J652" s="20"/>
    </row>
    <row r="653" customFormat="false" ht="15.75" hidden="false" customHeight="true" outlineLevel="0" collapsed="false">
      <c r="B653" s="19" t="n">
        <v>1578</v>
      </c>
      <c r="C653" s="20" t="s">
        <v>1811</v>
      </c>
      <c r="D653" s="20" t="s">
        <v>205</v>
      </c>
      <c r="E653" s="21" t="s">
        <v>1812</v>
      </c>
      <c r="F653" s="21" t="n">
        <v>37928</v>
      </c>
      <c r="G653" s="22" t="s">
        <v>471</v>
      </c>
      <c r="H653" s="23" t="n">
        <f aca="false">COUNTIF(CAL!U:AF,B653)</f>
        <v>2</v>
      </c>
      <c r="I653" s="22" t="n">
        <v>6</v>
      </c>
      <c r="J653" s="20"/>
    </row>
    <row r="654" customFormat="false" ht="15.75" hidden="false" customHeight="true" outlineLevel="0" collapsed="false">
      <c r="B654" s="19" t="n">
        <v>3286</v>
      </c>
      <c r="C654" s="20" t="s">
        <v>1813</v>
      </c>
      <c r="D654" s="20" t="s">
        <v>125</v>
      </c>
      <c r="E654" s="21" t="s">
        <v>1814</v>
      </c>
      <c r="F654" s="21" t="n">
        <v>36921</v>
      </c>
      <c r="G654" s="22" t="s">
        <v>471</v>
      </c>
      <c r="H654" s="23" t="n">
        <f aca="false">COUNTIF(CAL!U:AF,B654)</f>
        <v>2</v>
      </c>
      <c r="I654" s="22" t="n">
        <v>6</v>
      </c>
      <c r="J654" s="20"/>
    </row>
    <row r="655" customFormat="false" ht="15.75" hidden="false" customHeight="true" outlineLevel="0" collapsed="false">
      <c r="B655" s="19" t="n">
        <v>1566</v>
      </c>
      <c r="C655" s="20" t="s">
        <v>1815</v>
      </c>
      <c r="D655" s="20" t="s">
        <v>432</v>
      </c>
      <c r="E655" s="21" t="s">
        <v>1816</v>
      </c>
      <c r="F655" s="21" t="n">
        <v>35318</v>
      </c>
      <c r="G655" s="22" t="s">
        <v>471</v>
      </c>
      <c r="H655" s="23" t="n">
        <f aca="false">COUNTIF(CAL!U:AF,B655)</f>
        <v>2</v>
      </c>
      <c r="I655" s="22" t="n">
        <v>6</v>
      </c>
      <c r="J655" s="20" t="s">
        <v>1817</v>
      </c>
    </row>
    <row r="656" customFormat="false" ht="15.75" hidden="false" customHeight="true" outlineLevel="0" collapsed="false">
      <c r="B656" s="19" t="n">
        <v>2491</v>
      </c>
      <c r="C656" s="20" t="s">
        <v>1818</v>
      </c>
      <c r="D656" s="20" t="s">
        <v>344</v>
      </c>
      <c r="E656" s="21" t="s">
        <v>1819</v>
      </c>
      <c r="F656" s="21" t="n">
        <v>36744</v>
      </c>
      <c r="G656" s="22" t="s">
        <v>471</v>
      </c>
      <c r="H656" s="23" t="n">
        <f aca="false">COUNTIF(CAL!U:AF,B656)</f>
        <v>2</v>
      </c>
      <c r="I656" s="22" t="n">
        <v>6</v>
      </c>
      <c r="J656" s="20"/>
    </row>
    <row r="657" customFormat="false" ht="15.75" hidden="false" customHeight="true" outlineLevel="0" collapsed="false">
      <c r="B657" s="19" t="n">
        <v>3109</v>
      </c>
      <c r="C657" s="20" t="s">
        <v>1820</v>
      </c>
      <c r="D657" s="20" t="s">
        <v>376</v>
      </c>
      <c r="E657" s="21" t="s">
        <v>1821</v>
      </c>
      <c r="F657" s="21" t="n">
        <v>37967</v>
      </c>
      <c r="G657" s="22" t="s">
        <v>471</v>
      </c>
      <c r="H657" s="23" t="n">
        <f aca="false">COUNTIF(CAL!U:AF,B657)</f>
        <v>2</v>
      </c>
      <c r="I657" s="22" t="n">
        <v>6</v>
      </c>
      <c r="J657" s="20"/>
    </row>
    <row r="658" customFormat="false" ht="15.75" hidden="false" customHeight="true" outlineLevel="0" collapsed="false">
      <c r="B658" s="19" t="n">
        <v>1413</v>
      </c>
      <c r="C658" s="20" t="s">
        <v>1822</v>
      </c>
      <c r="D658" s="20" t="s">
        <v>256</v>
      </c>
      <c r="E658" s="21" t="s">
        <v>1823</v>
      </c>
      <c r="F658" s="21" t="n">
        <v>37906</v>
      </c>
      <c r="G658" s="22" t="s">
        <v>471</v>
      </c>
      <c r="H658" s="23" t="n">
        <f aca="false">COUNTIF(CAL!U:AF,B658)</f>
        <v>2</v>
      </c>
      <c r="I658" s="22" t="n">
        <v>6</v>
      </c>
      <c r="J658" s="20"/>
    </row>
    <row r="659" customFormat="false" ht="15.75" hidden="false" customHeight="true" outlineLevel="0" collapsed="false">
      <c r="B659" s="19" t="n">
        <v>2144</v>
      </c>
      <c r="C659" s="20" t="s">
        <v>1824</v>
      </c>
      <c r="D659" s="20" t="s">
        <v>351</v>
      </c>
      <c r="E659" s="21" t="s">
        <v>1825</v>
      </c>
      <c r="F659" s="21" t="n">
        <v>34634</v>
      </c>
      <c r="G659" s="22" t="s">
        <v>471</v>
      </c>
      <c r="H659" s="23" t="n">
        <f aca="false">COUNTIF(CAL!U:AF,B659)</f>
        <v>2</v>
      </c>
      <c r="I659" s="22" t="n">
        <v>6</v>
      </c>
      <c r="J659" s="20"/>
    </row>
    <row r="660" customFormat="false" ht="15.75" hidden="false" customHeight="true" outlineLevel="0" collapsed="false">
      <c r="B660" s="19" t="n">
        <v>3097</v>
      </c>
      <c r="C660" s="20" t="s">
        <v>1826</v>
      </c>
      <c r="D660" s="20" t="s">
        <v>390</v>
      </c>
      <c r="E660" s="21" t="s">
        <v>1827</v>
      </c>
      <c r="F660" s="21" t="n">
        <v>38132</v>
      </c>
      <c r="G660" s="22" t="s">
        <v>471</v>
      </c>
      <c r="H660" s="23" t="n">
        <f aca="false">COUNTIF(CAL!U:AF,B660)</f>
        <v>2</v>
      </c>
      <c r="I660" s="22" t="n">
        <v>6</v>
      </c>
      <c r="J660" s="20"/>
    </row>
    <row r="661" customFormat="false" ht="15.75" hidden="false" customHeight="true" outlineLevel="0" collapsed="false">
      <c r="B661" s="19" t="n">
        <v>2789</v>
      </c>
      <c r="C661" s="20" t="s">
        <v>1828</v>
      </c>
      <c r="D661" s="20" t="s">
        <v>255</v>
      </c>
      <c r="E661" s="21" t="s">
        <v>1829</v>
      </c>
      <c r="F661" s="21" t="n">
        <v>32793</v>
      </c>
      <c r="G661" s="22" t="s">
        <v>471</v>
      </c>
      <c r="H661" s="23" t="n">
        <f aca="false">COUNTIF(CAL!U:AF,B661)</f>
        <v>2</v>
      </c>
      <c r="I661" s="22" t="n">
        <v>6</v>
      </c>
      <c r="J661" s="20"/>
    </row>
    <row r="662" customFormat="false" ht="15.75" hidden="false" customHeight="true" outlineLevel="0" collapsed="false">
      <c r="B662" s="19" t="n">
        <v>1612</v>
      </c>
      <c r="C662" s="20" t="s">
        <v>1830</v>
      </c>
      <c r="D662" s="20" t="s">
        <v>50</v>
      </c>
      <c r="E662" s="24" t="s">
        <v>1831</v>
      </c>
      <c r="F662" s="21" t="n">
        <v>34778</v>
      </c>
      <c r="G662" s="22" t="s">
        <v>471</v>
      </c>
      <c r="H662" s="23" t="n">
        <f aca="false">COUNTIF(CAL!U:AF,B662)</f>
        <v>2</v>
      </c>
      <c r="I662" s="22" t="n">
        <v>6</v>
      </c>
      <c r="J662" s="20"/>
    </row>
    <row r="663" customFormat="false" ht="15.75" hidden="false" customHeight="true" outlineLevel="0" collapsed="false">
      <c r="B663" s="19" t="n">
        <v>3328</v>
      </c>
      <c r="C663" s="20" t="s">
        <v>806</v>
      </c>
      <c r="D663" s="20" t="s">
        <v>367</v>
      </c>
      <c r="E663" s="24" t="s">
        <v>1832</v>
      </c>
      <c r="F663" s="21" t="n">
        <v>38480</v>
      </c>
      <c r="G663" s="22" t="s">
        <v>471</v>
      </c>
      <c r="H663" s="23" t="n">
        <f aca="false">COUNTIF(CAL!U:AF,B663)</f>
        <v>2</v>
      </c>
      <c r="I663" s="22" t="n">
        <v>6</v>
      </c>
      <c r="J663" s="20"/>
    </row>
    <row r="664" customFormat="false" ht="15.75" hidden="false" customHeight="true" outlineLevel="0" collapsed="false">
      <c r="B664" s="19" t="n">
        <v>2828</v>
      </c>
      <c r="C664" s="20" t="s">
        <v>725</v>
      </c>
      <c r="D664" s="20" t="s">
        <v>270</v>
      </c>
      <c r="E664" s="21" t="s">
        <v>1833</v>
      </c>
      <c r="F664" s="21" t="n">
        <v>38025</v>
      </c>
      <c r="G664" s="22" t="s">
        <v>471</v>
      </c>
      <c r="H664" s="23" t="n">
        <f aca="false">COUNTIF(CAL!U:AF,B664)</f>
        <v>2</v>
      </c>
      <c r="I664" s="22" t="n">
        <v>6</v>
      </c>
      <c r="J664" s="20"/>
    </row>
    <row r="665" customFormat="false" ht="15.75" hidden="false" customHeight="true" outlineLevel="0" collapsed="false">
      <c r="B665" s="19" t="n">
        <v>2778</v>
      </c>
      <c r="C665" s="20" t="s">
        <v>1834</v>
      </c>
      <c r="D665" s="20" t="s">
        <v>385</v>
      </c>
      <c r="E665" s="21" t="s">
        <v>1835</v>
      </c>
      <c r="F665" s="21" t="n">
        <v>38636</v>
      </c>
      <c r="G665" s="22" t="s">
        <v>471</v>
      </c>
      <c r="H665" s="23" t="n">
        <f aca="false">COUNTIF(CAL!U:AF,B665)</f>
        <v>2</v>
      </c>
      <c r="I665" s="22" t="n">
        <v>6</v>
      </c>
      <c r="J665" s="20"/>
    </row>
    <row r="666" customFormat="false" ht="15.75" hidden="false" customHeight="true" outlineLevel="0" collapsed="false">
      <c r="B666" s="19" t="n">
        <v>1822</v>
      </c>
      <c r="C666" s="20" t="s">
        <v>1836</v>
      </c>
      <c r="D666" s="20" t="s">
        <v>340</v>
      </c>
      <c r="E666" s="21" t="s">
        <v>1837</v>
      </c>
      <c r="F666" s="21" t="n">
        <v>38306</v>
      </c>
      <c r="G666" s="22" t="s">
        <v>471</v>
      </c>
      <c r="H666" s="23" t="n">
        <f aca="false">COUNTIF(CAL!U:AF,B666)</f>
        <v>2</v>
      </c>
      <c r="I666" s="22" t="n">
        <v>6</v>
      </c>
      <c r="J666" s="20"/>
    </row>
    <row r="667" customFormat="false" ht="15.75" hidden="false" customHeight="true" outlineLevel="0" collapsed="false">
      <c r="B667" s="19" t="n">
        <v>2466</v>
      </c>
      <c r="C667" s="20" t="s">
        <v>1838</v>
      </c>
      <c r="D667" s="20" t="s">
        <v>214</v>
      </c>
      <c r="E667" s="21" t="s">
        <v>1839</v>
      </c>
      <c r="F667" s="21" t="n">
        <v>36173</v>
      </c>
      <c r="G667" s="22" t="s">
        <v>471</v>
      </c>
      <c r="H667" s="23" t="n">
        <f aca="false">COUNTIF(CAL!U:AF,B667)</f>
        <v>2</v>
      </c>
      <c r="I667" s="22" t="n">
        <v>6</v>
      </c>
      <c r="J667" s="20"/>
    </row>
    <row r="668" customFormat="false" ht="15.75" hidden="false" customHeight="true" outlineLevel="0" collapsed="false">
      <c r="B668" s="19" t="n">
        <v>2634</v>
      </c>
      <c r="C668" s="20" t="s">
        <v>526</v>
      </c>
      <c r="D668" s="20" t="s">
        <v>358</v>
      </c>
      <c r="E668" s="21" t="s">
        <v>1840</v>
      </c>
      <c r="F668" s="21" t="n">
        <v>35148</v>
      </c>
      <c r="G668" s="22" t="s">
        <v>471</v>
      </c>
      <c r="H668" s="23" t="n">
        <f aca="false">COUNTIF(CAL!U:AF,B668)</f>
        <v>2</v>
      </c>
      <c r="I668" s="22" t="n">
        <v>6</v>
      </c>
      <c r="J668" s="20"/>
    </row>
    <row r="669" customFormat="false" ht="15.75" hidden="false" customHeight="true" outlineLevel="0" collapsed="false">
      <c r="B669" s="19" t="n">
        <v>3229</v>
      </c>
      <c r="C669" s="20" t="s">
        <v>1841</v>
      </c>
      <c r="D669" s="20" t="s">
        <v>306</v>
      </c>
      <c r="E669" s="21" t="s">
        <v>1842</v>
      </c>
      <c r="F669" s="21" t="n">
        <v>38341</v>
      </c>
      <c r="G669" s="22" t="s">
        <v>471</v>
      </c>
      <c r="H669" s="23" t="n">
        <f aca="false">COUNTIF(CAL!U:AF,B669)</f>
        <v>2</v>
      </c>
      <c r="I669" s="22" t="n">
        <v>6</v>
      </c>
      <c r="J669" s="20"/>
    </row>
    <row r="670" customFormat="false" ht="15.75" hidden="false" customHeight="true" outlineLevel="0" collapsed="false">
      <c r="B670" s="19" t="n">
        <v>1827</v>
      </c>
      <c r="C670" s="20" t="s">
        <v>1843</v>
      </c>
      <c r="D670" s="20" t="s">
        <v>326</v>
      </c>
      <c r="E670" s="21" t="s">
        <v>1844</v>
      </c>
      <c r="F670" s="21" t="n">
        <v>36358</v>
      </c>
      <c r="G670" s="22" t="s">
        <v>471</v>
      </c>
      <c r="H670" s="23" t="n">
        <f aca="false">COUNTIF(CAL!U:AF,B670)</f>
        <v>2</v>
      </c>
      <c r="I670" s="22" t="n">
        <v>6</v>
      </c>
      <c r="J670" s="20"/>
    </row>
    <row r="671" customFormat="false" ht="15.75" hidden="false" customHeight="true" outlineLevel="0" collapsed="false">
      <c r="B671" s="19" t="n">
        <v>2921</v>
      </c>
      <c r="C671" s="20" t="s">
        <v>1845</v>
      </c>
      <c r="D671" s="20" t="s">
        <v>207</v>
      </c>
      <c r="E671" s="21" t="s">
        <v>1846</v>
      </c>
      <c r="F671" s="21" t="n">
        <v>35218</v>
      </c>
      <c r="G671" s="22" t="s">
        <v>471</v>
      </c>
      <c r="H671" s="23" t="n">
        <f aca="false">COUNTIF(CAL!U:AF,B671)</f>
        <v>2</v>
      </c>
      <c r="I671" s="22" t="n">
        <v>6</v>
      </c>
      <c r="J671" s="20"/>
    </row>
    <row r="672" customFormat="false" ht="15.75" hidden="false" customHeight="true" outlineLevel="0" collapsed="false">
      <c r="B672" s="19" t="n">
        <v>1600</v>
      </c>
      <c r="C672" s="20" t="s">
        <v>1847</v>
      </c>
      <c r="D672" s="20" t="s">
        <v>69</v>
      </c>
      <c r="E672" s="21" t="s">
        <v>1848</v>
      </c>
      <c r="F672" s="21" t="n">
        <v>36832</v>
      </c>
      <c r="G672" s="22" t="s">
        <v>471</v>
      </c>
      <c r="H672" s="23" t="n">
        <f aca="false">COUNTIF(CAL!U:AF,B672)</f>
        <v>2</v>
      </c>
      <c r="I672" s="22" t="n">
        <v>6</v>
      </c>
      <c r="J672" s="20"/>
    </row>
    <row r="673" customFormat="false" ht="15.75" hidden="false" customHeight="true" outlineLevel="0" collapsed="false">
      <c r="B673" s="19" t="n">
        <v>1609</v>
      </c>
      <c r="C673" s="20" t="s">
        <v>1849</v>
      </c>
      <c r="D673" s="20" t="s">
        <v>65</v>
      </c>
      <c r="E673" s="21" t="s">
        <v>1850</v>
      </c>
      <c r="F673" s="21" t="n">
        <v>37374</v>
      </c>
      <c r="G673" s="22" t="s">
        <v>471</v>
      </c>
      <c r="H673" s="23" t="n">
        <f aca="false">COUNTIF(CAL!U:AF,B673)</f>
        <v>2</v>
      </c>
      <c r="I673" s="22" t="n">
        <v>6</v>
      </c>
      <c r="J673" s="20"/>
    </row>
    <row r="674" customFormat="false" ht="15.75" hidden="false" customHeight="true" outlineLevel="0" collapsed="false">
      <c r="B674" s="19" t="n">
        <v>1209</v>
      </c>
      <c r="C674" s="20" t="s">
        <v>1851</v>
      </c>
      <c r="D674" s="20" t="s">
        <v>183</v>
      </c>
      <c r="E674" s="21" t="s">
        <v>1852</v>
      </c>
      <c r="F674" s="21" t="n">
        <v>34246</v>
      </c>
      <c r="G674" s="22" t="s">
        <v>471</v>
      </c>
      <c r="H674" s="23" t="n">
        <f aca="false">COUNTIF(CAL!U:AF,B674)</f>
        <v>2</v>
      </c>
      <c r="I674" s="22" t="n">
        <v>6</v>
      </c>
      <c r="J674" s="20"/>
    </row>
    <row r="675" customFormat="false" ht="15.75" hidden="false" customHeight="true" outlineLevel="0" collapsed="false">
      <c r="B675" s="19" t="n">
        <v>1914</v>
      </c>
      <c r="C675" s="20" t="s">
        <v>1853</v>
      </c>
      <c r="D675" s="20" t="s">
        <v>215</v>
      </c>
      <c r="E675" s="21" t="s">
        <v>1854</v>
      </c>
      <c r="F675" s="21" t="n">
        <v>37833</v>
      </c>
      <c r="G675" s="22" t="s">
        <v>884</v>
      </c>
      <c r="H675" s="23" t="n">
        <f aca="false">COUNTIF(CAL!U:AF,B675)</f>
        <v>2</v>
      </c>
      <c r="I675" s="22" t="n">
        <v>6</v>
      </c>
      <c r="J675" s="20"/>
    </row>
    <row r="676" customFormat="false" ht="15.75" hidden="false" customHeight="true" outlineLevel="0" collapsed="false">
      <c r="B676" s="19" t="n">
        <v>3122</v>
      </c>
      <c r="C676" s="20" t="s">
        <v>1855</v>
      </c>
      <c r="D676" s="20" t="s">
        <v>370</v>
      </c>
      <c r="E676" s="21" t="s">
        <v>1856</v>
      </c>
      <c r="F676" s="21" t="n">
        <v>33062</v>
      </c>
      <c r="G676" s="22" t="s">
        <v>471</v>
      </c>
      <c r="H676" s="23" t="n">
        <f aca="false">COUNTIF(CAL!U:AF,B676)</f>
        <v>2</v>
      </c>
      <c r="I676" s="22" t="n">
        <v>6</v>
      </c>
      <c r="J676" s="20"/>
    </row>
    <row r="677" customFormat="false" ht="15.75" hidden="false" customHeight="true" outlineLevel="0" collapsed="false">
      <c r="B677" s="19" t="n">
        <v>2553</v>
      </c>
      <c r="C677" s="20" t="s">
        <v>1857</v>
      </c>
      <c r="D677" s="20" t="s">
        <v>326</v>
      </c>
      <c r="E677" s="21" t="s">
        <v>1858</v>
      </c>
      <c r="F677" s="21" t="n">
        <v>38118</v>
      </c>
      <c r="G677" s="22" t="s">
        <v>471</v>
      </c>
      <c r="H677" s="23" t="n">
        <f aca="false">COUNTIF(CAL!U:AF,B677)</f>
        <v>2</v>
      </c>
      <c r="I677" s="22" t="n">
        <v>6</v>
      </c>
      <c r="J677" s="20"/>
    </row>
    <row r="678" customFormat="false" ht="15.75" hidden="false" customHeight="true" outlineLevel="0" collapsed="false">
      <c r="B678" s="19" t="n">
        <v>2502</v>
      </c>
      <c r="C678" s="20" t="s">
        <v>1859</v>
      </c>
      <c r="D678" s="20" t="s">
        <v>138</v>
      </c>
      <c r="E678" s="21" t="s">
        <v>1860</v>
      </c>
      <c r="F678" s="21" t="n">
        <v>36689</v>
      </c>
      <c r="G678" s="22" t="s">
        <v>471</v>
      </c>
      <c r="H678" s="23" t="n">
        <f aca="false">COUNTIF(CAL!U:AF,B678)</f>
        <v>2</v>
      </c>
      <c r="I678" s="22" t="n">
        <v>6</v>
      </c>
      <c r="J678" s="20"/>
    </row>
    <row r="679" customFormat="false" ht="15.75" hidden="false" customHeight="true" outlineLevel="0" collapsed="false">
      <c r="B679" s="19" t="n">
        <v>3015</v>
      </c>
      <c r="C679" s="20" t="s">
        <v>1861</v>
      </c>
      <c r="D679" s="20" t="s">
        <v>155</v>
      </c>
      <c r="E679" s="21" t="s">
        <v>1862</v>
      </c>
      <c r="F679" s="21" t="n">
        <v>34401</v>
      </c>
      <c r="G679" s="22" t="s">
        <v>471</v>
      </c>
      <c r="H679" s="23" t="n">
        <f aca="false">COUNTIF(CAL!U:AF,B679)</f>
        <v>2</v>
      </c>
      <c r="I679" s="22" t="n">
        <v>6</v>
      </c>
      <c r="J679" s="20"/>
    </row>
    <row r="680" customFormat="false" ht="15.75" hidden="false" customHeight="true" outlineLevel="0" collapsed="false">
      <c r="B680" s="19" t="n">
        <v>3171</v>
      </c>
      <c r="C680" s="20" t="s">
        <v>1863</v>
      </c>
      <c r="D680" s="20" t="s">
        <v>258</v>
      </c>
      <c r="E680" s="21" t="s">
        <v>1864</v>
      </c>
      <c r="F680" s="21" t="n">
        <v>35663</v>
      </c>
      <c r="G680" s="22" t="s">
        <v>471</v>
      </c>
      <c r="H680" s="23" t="n">
        <f aca="false">COUNTIF(CAL!U:AF,B680)</f>
        <v>2</v>
      </c>
      <c r="I680" s="22" t="n">
        <v>6</v>
      </c>
      <c r="J680" s="20"/>
    </row>
    <row r="681" customFormat="false" ht="15.75" hidden="false" customHeight="true" outlineLevel="0" collapsed="false">
      <c r="B681" s="19" t="n">
        <v>2123</v>
      </c>
      <c r="C681" s="20" t="s">
        <v>1865</v>
      </c>
      <c r="D681" s="20" t="s">
        <v>111</v>
      </c>
      <c r="E681" s="21" t="s">
        <v>1866</v>
      </c>
      <c r="F681" s="21" t="n">
        <v>38319</v>
      </c>
      <c r="G681" s="22" t="s">
        <v>471</v>
      </c>
      <c r="H681" s="23" t="n">
        <f aca="false">COUNTIF(CAL!U:AF,B681)</f>
        <v>2</v>
      </c>
      <c r="I681" s="22" t="n">
        <v>6</v>
      </c>
      <c r="J681" s="20" t="s">
        <v>1867</v>
      </c>
    </row>
    <row r="682" customFormat="false" ht="15.75" hidden="false" customHeight="true" outlineLevel="0" collapsed="false">
      <c r="B682" s="19" t="n">
        <v>2983</v>
      </c>
      <c r="C682" s="20" t="s">
        <v>1868</v>
      </c>
      <c r="D682" s="20" t="s">
        <v>259</v>
      </c>
      <c r="E682" s="21" t="s">
        <v>1869</v>
      </c>
      <c r="F682" s="21" t="n">
        <v>37222</v>
      </c>
      <c r="G682" s="22" t="s">
        <v>471</v>
      </c>
      <c r="H682" s="23" t="n">
        <f aca="false">COUNTIF(CAL!U:AF,B682)</f>
        <v>2</v>
      </c>
      <c r="I682" s="22" t="n">
        <v>6</v>
      </c>
      <c r="J682" s="20"/>
    </row>
    <row r="683" customFormat="false" ht="15.75" hidden="false" customHeight="true" outlineLevel="0" collapsed="false">
      <c r="B683" s="19" t="n">
        <v>2278</v>
      </c>
      <c r="C683" s="20" t="s">
        <v>1870</v>
      </c>
      <c r="D683" s="20" t="s">
        <v>149</v>
      </c>
      <c r="E683" s="24" t="s">
        <v>1871</v>
      </c>
      <c r="F683" s="21" t="n">
        <v>36571</v>
      </c>
      <c r="G683" s="22" t="s">
        <v>471</v>
      </c>
      <c r="H683" s="23" t="n">
        <f aca="false">COUNTIF(CAL!U:AF,B683)</f>
        <v>2</v>
      </c>
      <c r="I683" s="22" t="n">
        <v>6</v>
      </c>
      <c r="J683" s="20"/>
    </row>
    <row r="684" customFormat="false" ht="15.75" hidden="false" customHeight="true" outlineLevel="0" collapsed="false">
      <c r="B684" s="19" t="n">
        <v>3445</v>
      </c>
      <c r="C684" s="20" t="s">
        <v>1872</v>
      </c>
      <c r="D684" s="20" t="s">
        <v>418</v>
      </c>
      <c r="E684" s="21" t="s">
        <v>1873</v>
      </c>
      <c r="F684" s="21" t="n">
        <v>37427</v>
      </c>
      <c r="G684" s="22" t="s">
        <v>471</v>
      </c>
      <c r="H684" s="23" t="n">
        <f aca="false">COUNTIF(CAL!U:AF,B684)</f>
        <v>2</v>
      </c>
      <c r="I684" s="22" t="n">
        <v>6</v>
      </c>
      <c r="J684" s="20"/>
    </row>
    <row r="685" customFormat="false" ht="15.75" hidden="false" customHeight="true" outlineLevel="0" collapsed="false">
      <c r="B685" s="19" t="n">
        <v>2126</v>
      </c>
      <c r="C685" s="20" t="s">
        <v>1874</v>
      </c>
      <c r="D685" s="20" t="s">
        <v>138</v>
      </c>
      <c r="E685" s="21" t="s">
        <v>1875</v>
      </c>
      <c r="F685" s="21" t="n">
        <v>35710</v>
      </c>
      <c r="G685" s="22" t="s">
        <v>471</v>
      </c>
      <c r="H685" s="23" t="n">
        <f aca="false">COUNTIF(CAL!U:AF,B685)</f>
        <v>2</v>
      </c>
      <c r="I685" s="22" t="n">
        <v>6</v>
      </c>
      <c r="J685" s="20"/>
    </row>
    <row r="686" customFormat="false" ht="15.75" hidden="false" customHeight="true" outlineLevel="0" collapsed="false">
      <c r="B686" s="19" t="n">
        <v>1601</v>
      </c>
      <c r="C686" s="20" t="s">
        <v>1876</v>
      </c>
      <c r="D686" s="20" t="s">
        <v>201</v>
      </c>
      <c r="E686" s="21" t="s">
        <v>1877</v>
      </c>
      <c r="F686" s="21" t="n">
        <v>35857</v>
      </c>
      <c r="G686" s="22" t="s">
        <v>471</v>
      </c>
      <c r="H686" s="23" t="n">
        <f aca="false">COUNTIF(CAL!U:AF,B686)</f>
        <v>2</v>
      </c>
      <c r="I686" s="22" t="n">
        <v>6</v>
      </c>
      <c r="J686" s="20" t="s">
        <v>1878</v>
      </c>
    </row>
    <row r="687" customFormat="false" ht="15.75" hidden="false" customHeight="true" outlineLevel="0" collapsed="false">
      <c r="B687" s="19" t="n">
        <v>2798</v>
      </c>
      <c r="C687" s="20" t="s">
        <v>1879</v>
      </c>
      <c r="D687" s="20" t="s">
        <v>351</v>
      </c>
      <c r="E687" s="21" t="s">
        <v>1880</v>
      </c>
      <c r="F687" s="21" t="n">
        <v>34736</v>
      </c>
      <c r="G687" s="22" t="s">
        <v>471</v>
      </c>
      <c r="H687" s="23" t="n">
        <f aca="false">COUNTIF(CAL!U:AF,B687)</f>
        <v>2</v>
      </c>
      <c r="I687" s="22" t="n">
        <v>6</v>
      </c>
      <c r="J687" s="20"/>
    </row>
    <row r="688" customFormat="false" ht="15.75" hidden="false" customHeight="true" outlineLevel="0" collapsed="false">
      <c r="B688" s="19" t="n">
        <v>2953</v>
      </c>
      <c r="C688" s="20" t="s">
        <v>1881</v>
      </c>
      <c r="D688" s="20" t="s">
        <v>300</v>
      </c>
      <c r="E688" s="21" t="s">
        <v>1882</v>
      </c>
      <c r="F688" s="21" t="n">
        <v>35765</v>
      </c>
      <c r="G688" s="22" t="s">
        <v>471</v>
      </c>
      <c r="H688" s="23" t="n">
        <f aca="false">COUNTIF(CAL!U:AF,B688)</f>
        <v>2</v>
      </c>
      <c r="I688" s="22" t="n">
        <v>6</v>
      </c>
      <c r="J688" s="20"/>
    </row>
    <row r="689" customFormat="false" ht="15.75" hidden="false" customHeight="true" outlineLevel="0" collapsed="false">
      <c r="B689" s="19" t="n">
        <v>1766</v>
      </c>
      <c r="C689" s="20" t="s">
        <v>1883</v>
      </c>
      <c r="D689" s="20" t="s">
        <v>314</v>
      </c>
      <c r="E689" s="21" t="s">
        <v>1884</v>
      </c>
      <c r="F689" s="21" t="n">
        <v>36910</v>
      </c>
      <c r="G689" s="22" t="s">
        <v>471</v>
      </c>
      <c r="H689" s="23" t="n">
        <f aca="false">COUNTIF(CAL!U:AF,B689)</f>
        <v>2</v>
      </c>
      <c r="I689" s="22" t="n">
        <v>6</v>
      </c>
      <c r="J689" s="20"/>
    </row>
    <row r="690" customFormat="false" ht="15.75" hidden="false" customHeight="true" outlineLevel="0" collapsed="false">
      <c r="B690" s="19" t="n">
        <v>1765</v>
      </c>
      <c r="C690" s="20" t="s">
        <v>1091</v>
      </c>
      <c r="D690" s="20" t="s">
        <v>313</v>
      </c>
      <c r="E690" s="21" t="s">
        <v>1885</v>
      </c>
      <c r="F690" s="21" t="n">
        <v>37295</v>
      </c>
      <c r="G690" s="22" t="s">
        <v>471</v>
      </c>
      <c r="H690" s="23" t="n">
        <f aca="false">COUNTIF(CAL!U:AF,B690)</f>
        <v>2</v>
      </c>
      <c r="I690" s="22" t="n">
        <v>6</v>
      </c>
      <c r="J690" s="20"/>
    </row>
    <row r="691" customFormat="false" ht="15.75" hidden="false" customHeight="true" outlineLevel="0" collapsed="false">
      <c r="B691" s="19" t="n">
        <v>2124</v>
      </c>
      <c r="C691" s="20" t="s">
        <v>1886</v>
      </c>
      <c r="D691" s="20" t="s">
        <v>135</v>
      </c>
      <c r="E691" s="21" t="s">
        <v>1887</v>
      </c>
      <c r="F691" s="21" t="n">
        <v>37999</v>
      </c>
      <c r="G691" s="22" t="s">
        <v>471</v>
      </c>
      <c r="H691" s="23" t="n">
        <f aca="false">COUNTIF(CAL!U:AF,B691)</f>
        <v>2</v>
      </c>
      <c r="I691" s="22" t="n">
        <v>6</v>
      </c>
      <c r="J691" s="20"/>
    </row>
    <row r="692" customFormat="false" ht="15.75" hidden="false" customHeight="true" outlineLevel="0" collapsed="false">
      <c r="B692" s="19" t="n">
        <v>2065</v>
      </c>
      <c r="C692" s="20" t="s">
        <v>1888</v>
      </c>
      <c r="D692" s="20" t="s">
        <v>177</v>
      </c>
      <c r="E692" s="21" t="s">
        <v>1889</v>
      </c>
      <c r="F692" s="21" t="n">
        <v>35595</v>
      </c>
      <c r="G692" s="22" t="s">
        <v>471</v>
      </c>
      <c r="H692" s="23" t="n">
        <f aca="false">COUNTIF(CAL!U:AF,B692)</f>
        <v>2</v>
      </c>
      <c r="I692" s="22" t="n">
        <v>6</v>
      </c>
      <c r="J692" s="20"/>
    </row>
    <row r="693" customFormat="false" ht="15.75" hidden="false" customHeight="true" outlineLevel="0" collapsed="false">
      <c r="B693" s="19" t="n">
        <v>2848</v>
      </c>
      <c r="C693" s="20" t="s">
        <v>1890</v>
      </c>
      <c r="D693" s="20" t="s">
        <v>218</v>
      </c>
      <c r="E693" s="21" t="s">
        <v>1891</v>
      </c>
      <c r="F693" s="21" t="n">
        <v>36537</v>
      </c>
      <c r="G693" s="22" t="s">
        <v>471</v>
      </c>
      <c r="H693" s="23" t="n">
        <f aca="false">COUNTIF(CAL!U:AF,B693)</f>
        <v>2</v>
      </c>
      <c r="I693" s="22" t="n">
        <v>7</v>
      </c>
      <c r="J693" s="20"/>
    </row>
    <row r="694" customFormat="false" ht="15.75" hidden="false" customHeight="true" outlineLevel="0" collapsed="false">
      <c r="B694" s="19" t="n">
        <v>1619</v>
      </c>
      <c r="C694" s="20" t="s">
        <v>1892</v>
      </c>
      <c r="D694" s="20" t="s">
        <v>60</v>
      </c>
      <c r="E694" s="21" t="s">
        <v>1893</v>
      </c>
      <c r="F694" s="21" t="n">
        <v>34832</v>
      </c>
      <c r="G694" s="22" t="s">
        <v>471</v>
      </c>
      <c r="H694" s="23" t="n">
        <f aca="false">COUNTIF(CAL!U:AF,B694)</f>
        <v>2</v>
      </c>
      <c r="I694" s="22" t="n">
        <v>7</v>
      </c>
      <c r="J694" s="20" t="s">
        <v>1894</v>
      </c>
    </row>
    <row r="695" customFormat="false" ht="15.75" hidden="false" customHeight="true" outlineLevel="0" collapsed="false">
      <c r="B695" s="19" t="n">
        <v>2697</v>
      </c>
      <c r="C695" s="20" t="s">
        <v>1895</v>
      </c>
      <c r="D695" s="20" t="s">
        <v>287</v>
      </c>
      <c r="E695" s="21" t="s">
        <v>1896</v>
      </c>
      <c r="F695" s="21" t="n">
        <v>37202</v>
      </c>
      <c r="G695" s="22" t="s">
        <v>471</v>
      </c>
      <c r="H695" s="23" t="n">
        <f aca="false">COUNTIF(CAL!U:AF,B695)</f>
        <v>2</v>
      </c>
      <c r="I695" s="22" t="n">
        <v>7</v>
      </c>
      <c r="J695" s="20"/>
    </row>
    <row r="696" customFormat="false" ht="15.75" hidden="false" customHeight="true" outlineLevel="0" collapsed="false">
      <c r="B696" s="19" t="n">
        <v>1144</v>
      </c>
      <c r="C696" s="20" t="s">
        <v>1897</v>
      </c>
      <c r="D696" s="20" t="s">
        <v>219</v>
      </c>
      <c r="E696" s="21" t="s">
        <v>1898</v>
      </c>
      <c r="F696" s="21" t="n">
        <v>37294</v>
      </c>
      <c r="G696" s="22" t="s">
        <v>471</v>
      </c>
      <c r="H696" s="23" t="n">
        <f aca="false">COUNTIF(CAL!U:AF,B696)</f>
        <v>2</v>
      </c>
      <c r="I696" s="22" t="n">
        <v>7</v>
      </c>
      <c r="J696" s="20"/>
    </row>
    <row r="697" customFormat="false" ht="15.75" hidden="false" customHeight="true" outlineLevel="0" collapsed="false">
      <c r="B697" s="19" t="n">
        <v>1805</v>
      </c>
      <c r="C697" s="20" t="s">
        <v>1899</v>
      </c>
      <c r="D697" s="20" t="s">
        <v>175</v>
      </c>
      <c r="E697" s="21" t="s">
        <v>1900</v>
      </c>
      <c r="F697" s="21" t="n">
        <v>35096</v>
      </c>
      <c r="G697" s="22" t="s">
        <v>471</v>
      </c>
      <c r="H697" s="23" t="n">
        <f aca="false">COUNTIF(CAL!U:AF,B697)</f>
        <v>2</v>
      </c>
      <c r="I697" s="22" t="n">
        <v>7</v>
      </c>
      <c r="J697" s="20"/>
    </row>
    <row r="698" customFormat="false" ht="15.75" hidden="false" customHeight="true" outlineLevel="0" collapsed="false">
      <c r="B698" s="19" t="n">
        <v>2587</v>
      </c>
      <c r="C698" s="20" t="s">
        <v>1901</v>
      </c>
      <c r="D698" s="20" t="s">
        <v>389</v>
      </c>
      <c r="E698" s="21" t="s">
        <v>1902</v>
      </c>
      <c r="F698" s="21" t="n">
        <v>36427</v>
      </c>
      <c r="G698" s="22" t="s">
        <v>471</v>
      </c>
      <c r="H698" s="23" t="n">
        <f aca="false">COUNTIF(CAL!U:AF,B698)</f>
        <v>2</v>
      </c>
      <c r="I698" s="22" t="n">
        <v>7</v>
      </c>
      <c r="J698" s="20"/>
    </row>
    <row r="699" customFormat="false" ht="15.75" hidden="false" customHeight="true" outlineLevel="0" collapsed="false">
      <c r="B699" s="19" t="n">
        <v>1524</v>
      </c>
      <c r="C699" s="20" t="s">
        <v>1903</v>
      </c>
      <c r="D699" s="20" t="s">
        <v>64</v>
      </c>
      <c r="E699" s="21" t="s">
        <v>1904</v>
      </c>
      <c r="F699" s="21" t="n">
        <v>37270</v>
      </c>
      <c r="G699" s="22" t="s">
        <v>471</v>
      </c>
      <c r="H699" s="23" t="n">
        <f aca="false">COUNTIF(CAL!U:AF,B699)</f>
        <v>2</v>
      </c>
      <c r="I699" s="22" t="n">
        <v>7</v>
      </c>
      <c r="J699" s="20"/>
    </row>
    <row r="700" customFormat="false" ht="15.75" hidden="false" customHeight="true" outlineLevel="0" collapsed="false">
      <c r="B700" s="19" t="n">
        <v>2471</v>
      </c>
      <c r="C700" s="20" t="s">
        <v>1905</v>
      </c>
      <c r="D700" s="20" t="s">
        <v>268</v>
      </c>
      <c r="E700" s="21" t="s">
        <v>1906</v>
      </c>
      <c r="F700" s="21" t="n">
        <v>36541</v>
      </c>
      <c r="G700" s="22" t="s">
        <v>471</v>
      </c>
      <c r="H700" s="23" t="n">
        <f aca="false">COUNTIF(CAL!U:AF,B700)</f>
        <v>2</v>
      </c>
      <c r="I700" s="22" t="n">
        <v>7</v>
      </c>
      <c r="J700" s="20"/>
    </row>
    <row r="701" customFormat="false" ht="15.75" hidden="false" customHeight="true" outlineLevel="0" collapsed="false">
      <c r="B701" s="19" t="n">
        <v>3134</v>
      </c>
      <c r="C701" s="20" t="s">
        <v>1907</v>
      </c>
      <c r="D701" s="20" t="s">
        <v>343</v>
      </c>
      <c r="E701" s="21" t="s">
        <v>1908</v>
      </c>
      <c r="F701" s="21" t="n">
        <v>36512</v>
      </c>
      <c r="G701" s="22" t="s">
        <v>471</v>
      </c>
      <c r="H701" s="23" t="n">
        <f aca="false">COUNTIF(CAL!U:AF,B701)</f>
        <v>2</v>
      </c>
      <c r="I701" s="22" t="n">
        <v>7</v>
      </c>
      <c r="J701" s="20"/>
    </row>
    <row r="702" customFormat="false" ht="15.75" hidden="false" customHeight="true" outlineLevel="0" collapsed="false">
      <c r="B702" s="19" t="n">
        <v>1362</v>
      </c>
      <c r="C702" s="20" t="s">
        <v>1909</v>
      </c>
      <c r="D702" s="20" t="s">
        <v>267</v>
      </c>
      <c r="E702" s="21" t="s">
        <v>1910</v>
      </c>
      <c r="F702" s="21" t="n">
        <v>39366</v>
      </c>
      <c r="G702" s="22" t="s">
        <v>471</v>
      </c>
      <c r="H702" s="23" t="n">
        <f aca="false">COUNTIF(CAL!U:AF,B702)</f>
        <v>2</v>
      </c>
      <c r="I702" s="22" t="n">
        <v>7</v>
      </c>
      <c r="J702" s="20"/>
    </row>
    <row r="703" customFormat="false" ht="15.75" hidden="false" customHeight="true" outlineLevel="0" collapsed="false">
      <c r="B703" s="19" t="n">
        <v>2550</v>
      </c>
      <c r="C703" s="20" t="s">
        <v>1911</v>
      </c>
      <c r="D703" s="20" t="s">
        <v>258</v>
      </c>
      <c r="E703" s="21" t="s">
        <v>1911</v>
      </c>
      <c r="F703" s="21" t="n">
        <v>34827</v>
      </c>
      <c r="G703" s="22" t="s">
        <v>471</v>
      </c>
      <c r="H703" s="23" t="n">
        <f aca="false">COUNTIF(CAL!U:AF,B703)</f>
        <v>2</v>
      </c>
      <c r="I703" s="22" t="n">
        <v>7</v>
      </c>
      <c r="J703" s="20"/>
    </row>
    <row r="704" customFormat="false" ht="15.75" hidden="false" customHeight="true" outlineLevel="0" collapsed="false">
      <c r="B704" s="19" t="n">
        <v>3431</v>
      </c>
      <c r="C704" s="20" t="s">
        <v>849</v>
      </c>
      <c r="D704" s="20" t="s">
        <v>325</v>
      </c>
      <c r="E704" s="21" t="s">
        <v>1912</v>
      </c>
      <c r="F704" s="21" t="n">
        <v>34989</v>
      </c>
      <c r="G704" s="22" t="s">
        <v>471</v>
      </c>
      <c r="H704" s="23" t="n">
        <f aca="false">COUNTIF(CAL!U:AF,B704)</f>
        <v>2</v>
      </c>
      <c r="I704" s="22" t="n">
        <v>7</v>
      </c>
      <c r="J704" s="20"/>
    </row>
    <row r="705" customFormat="false" ht="15.75" hidden="false" customHeight="true" outlineLevel="0" collapsed="false">
      <c r="B705" s="19" t="n">
        <v>2015</v>
      </c>
      <c r="C705" s="20" t="s">
        <v>1913</v>
      </c>
      <c r="D705" s="20" t="s">
        <v>275</v>
      </c>
      <c r="E705" s="21" t="s">
        <v>1914</v>
      </c>
      <c r="F705" s="21" t="n">
        <v>37705</v>
      </c>
      <c r="G705" s="22" t="s">
        <v>471</v>
      </c>
      <c r="H705" s="23" t="n">
        <f aca="false">COUNTIF(CAL!U:AF,B705)</f>
        <v>2</v>
      </c>
      <c r="I705" s="22" t="n">
        <v>7</v>
      </c>
      <c r="J705" s="20"/>
    </row>
    <row r="706" customFormat="false" ht="15.75" hidden="false" customHeight="true" outlineLevel="0" collapsed="false">
      <c r="B706" s="19" t="n">
        <v>1165</v>
      </c>
      <c r="C706" s="20" t="s">
        <v>1915</v>
      </c>
      <c r="D706" s="20" t="s">
        <v>54</v>
      </c>
      <c r="E706" s="21" t="s">
        <v>1916</v>
      </c>
      <c r="F706" s="21" t="n">
        <v>33966</v>
      </c>
      <c r="G706" s="22" t="s">
        <v>471</v>
      </c>
      <c r="H706" s="23" t="n">
        <f aca="false">COUNTIF(CAL!U:AF,B706)</f>
        <v>2</v>
      </c>
      <c r="I706" s="22" t="n">
        <v>7</v>
      </c>
      <c r="J706" s="20"/>
    </row>
    <row r="707" customFormat="false" ht="15.75" hidden="false" customHeight="true" outlineLevel="0" collapsed="false">
      <c r="B707" s="19" t="n">
        <v>3037</v>
      </c>
      <c r="C707" s="20" t="s">
        <v>1917</v>
      </c>
      <c r="D707" s="20" t="s">
        <v>333</v>
      </c>
      <c r="E707" s="21" t="s">
        <v>1918</v>
      </c>
      <c r="F707" s="21" t="n">
        <v>37370</v>
      </c>
      <c r="G707" s="22" t="s">
        <v>471</v>
      </c>
      <c r="H707" s="23" t="n">
        <f aca="false">COUNTIF(CAL!U:AF,B707)</f>
        <v>2</v>
      </c>
      <c r="I707" s="22" t="n">
        <v>7</v>
      </c>
      <c r="J707" s="20"/>
    </row>
    <row r="708" customFormat="false" ht="15.75" hidden="false" customHeight="true" outlineLevel="0" collapsed="false">
      <c r="B708" s="19" t="n">
        <v>3090</v>
      </c>
      <c r="C708" s="20" t="s">
        <v>1919</v>
      </c>
      <c r="D708" s="20" t="s">
        <v>326</v>
      </c>
      <c r="E708" s="21" t="s">
        <v>1920</v>
      </c>
      <c r="F708" s="21" t="n">
        <v>33684</v>
      </c>
      <c r="G708" s="22" t="s">
        <v>471</v>
      </c>
      <c r="H708" s="23" t="n">
        <f aca="false">COUNTIF(CAL!U:AF,B708)</f>
        <v>2</v>
      </c>
      <c r="I708" s="22" t="n">
        <v>7</v>
      </c>
      <c r="J708" s="20"/>
    </row>
    <row r="709" customFormat="false" ht="15.75" hidden="false" customHeight="true" outlineLevel="0" collapsed="false">
      <c r="B709" s="19" t="n">
        <v>2199</v>
      </c>
      <c r="C709" s="20" t="s">
        <v>1921</v>
      </c>
      <c r="D709" s="20" t="s">
        <v>285</v>
      </c>
      <c r="E709" s="21" t="s">
        <v>1922</v>
      </c>
      <c r="F709" s="21" t="n">
        <v>32573</v>
      </c>
      <c r="G709" s="22" t="s">
        <v>471</v>
      </c>
      <c r="H709" s="23" t="n">
        <f aca="false">COUNTIF(CAL!U:AF,B709)</f>
        <v>2</v>
      </c>
      <c r="I709" s="22" t="n">
        <v>7</v>
      </c>
      <c r="J709" s="20" t="s">
        <v>1923</v>
      </c>
    </row>
    <row r="710" customFormat="false" ht="15.75" hidden="false" customHeight="true" outlineLevel="0" collapsed="false">
      <c r="B710" s="19" t="n">
        <v>2313</v>
      </c>
      <c r="C710" s="20" t="s">
        <v>1924</v>
      </c>
      <c r="D710" s="20" t="s">
        <v>299</v>
      </c>
      <c r="E710" s="21" t="s">
        <v>1925</v>
      </c>
      <c r="F710" s="21" t="n">
        <v>34130</v>
      </c>
      <c r="G710" s="22" t="s">
        <v>471</v>
      </c>
      <c r="H710" s="23" t="n">
        <f aca="false">COUNTIF(CAL!U:AF,B710)</f>
        <v>2</v>
      </c>
      <c r="I710" s="22" t="n">
        <v>7</v>
      </c>
      <c r="J710" s="20"/>
    </row>
    <row r="711" customFormat="false" ht="15.75" hidden="false" customHeight="true" outlineLevel="0" collapsed="false">
      <c r="B711" s="19" t="n">
        <v>1580</v>
      </c>
      <c r="C711" s="20" t="s">
        <v>1926</v>
      </c>
      <c r="D711" s="20" t="s">
        <v>184</v>
      </c>
      <c r="E711" s="21" t="s">
        <v>1927</v>
      </c>
      <c r="F711" s="21" t="n">
        <v>38211</v>
      </c>
      <c r="G711" s="22" t="s">
        <v>471</v>
      </c>
      <c r="H711" s="23" t="n">
        <f aca="false">COUNTIF(CAL!U:AF,B711)</f>
        <v>2</v>
      </c>
      <c r="I711" s="22" t="n">
        <v>7</v>
      </c>
      <c r="J711" s="20"/>
    </row>
    <row r="712" customFormat="false" ht="15.75" hidden="false" customHeight="true" outlineLevel="0" collapsed="false">
      <c r="B712" s="19" t="n">
        <v>1869</v>
      </c>
      <c r="C712" s="20" t="s">
        <v>1928</v>
      </c>
      <c r="D712" s="20" t="s">
        <v>200</v>
      </c>
      <c r="E712" s="24" t="s">
        <v>1929</v>
      </c>
      <c r="F712" s="21" t="n">
        <v>37717</v>
      </c>
      <c r="G712" s="22" t="s">
        <v>661</v>
      </c>
      <c r="H712" s="23" t="n">
        <f aca="false">COUNTIF(CAL!U:AF,B712)</f>
        <v>2</v>
      </c>
      <c r="I712" s="22" t="n">
        <v>7</v>
      </c>
      <c r="J712" s="20"/>
    </row>
    <row r="713" customFormat="false" ht="15.75" hidden="false" customHeight="true" outlineLevel="0" collapsed="false">
      <c r="B713" s="19" t="n">
        <v>2861</v>
      </c>
      <c r="C713" s="20" t="s">
        <v>1930</v>
      </c>
      <c r="D713" s="20" t="s">
        <v>340</v>
      </c>
      <c r="E713" s="21" t="s">
        <v>1931</v>
      </c>
      <c r="F713" s="21" t="n">
        <v>34722</v>
      </c>
      <c r="G713" s="22" t="s">
        <v>471</v>
      </c>
      <c r="H713" s="23" t="n">
        <f aca="false">COUNTIF(CAL!U:AF,B713)</f>
        <v>2</v>
      </c>
      <c r="I713" s="22" t="n">
        <v>7</v>
      </c>
      <c r="J713" s="20"/>
    </row>
    <row r="714" customFormat="false" ht="15.75" hidden="false" customHeight="true" outlineLevel="0" collapsed="false">
      <c r="B714" s="19" t="n">
        <v>1487</v>
      </c>
      <c r="C714" s="20" t="s">
        <v>1820</v>
      </c>
      <c r="D714" s="20" t="s">
        <v>271</v>
      </c>
      <c r="E714" s="21" t="s">
        <v>1932</v>
      </c>
      <c r="F714" s="21" t="n">
        <v>32600</v>
      </c>
      <c r="G714" s="22" t="s">
        <v>471</v>
      </c>
      <c r="H714" s="23" t="n">
        <f aca="false">COUNTIF(CAL!U:AF,B714)</f>
        <v>2</v>
      </c>
      <c r="I714" s="22" t="n">
        <v>7</v>
      </c>
      <c r="J714" s="20"/>
    </row>
    <row r="715" customFormat="false" ht="15.75" hidden="false" customHeight="true" outlineLevel="0" collapsed="false">
      <c r="B715" s="19" t="n">
        <v>2443</v>
      </c>
      <c r="C715" s="20" t="s">
        <v>1933</v>
      </c>
      <c r="D715" s="20" t="s">
        <v>328</v>
      </c>
      <c r="E715" s="21" t="s">
        <v>1934</v>
      </c>
      <c r="F715" s="21" t="n">
        <v>37592</v>
      </c>
      <c r="G715" s="22" t="s">
        <v>471</v>
      </c>
      <c r="H715" s="23" t="n">
        <f aca="false">COUNTIF(CAL!U:AF,B715)</f>
        <v>2</v>
      </c>
      <c r="I715" s="22" t="n">
        <v>7</v>
      </c>
      <c r="J715" s="20"/>
    </row>
    <row r="716" customFormat="false" ht="15.75" hidden="false" customHeight="true" outlineLevel="0" collapsed="false">
      <c r="B716" s="19" t="n">
        <v>2308</v>
      </c>
      <c r="C716" s="20" t="s">
        <v>1935</v>
      </c>
      <c r="D716" s="20" t="s">
        <v>215</v>
      </c>
      <c r="E716" s="24" t="s">
        <v>1936</v>
      </c>
      <c r="F716" s="21" t="n">
        <v>34729</v>
      </c>
      <c r="G716" s="22" t="s">
        <v>471</v>
      </c>
      <c r="H716" s="23" t="n">
        <f aca="false">COUNTIF(CAL!U:AF,B716)</f>
        <v>2</v>
      </c>
      <c r="I716" s="22" t="n">
        <v>7</v>
      </c>
      <c r="J716" s="20"/>
    </row>
    <row r="717" customFormat="false" ht="15.75" hidden="false" customHeight="true" outlineLevel="0" collapsed="false">
      <c r="B717" s="19" t="n">
        <v>2546</v>
      </c>
      <c r="C717" s="20" t="s">
        <v>1937</v>
      </c>
      <c r="D717" s="20" t="s">
        <v>89</v>
      </c>
      <c r="E717" s="21" t="s">
        <v>1938</v>
      </c>
      <c r="F717" s="21" t="n">
        <v>36750</v>
      </c>
      <c r="G717" s="22" t="s">
        <v>471</v>
      </c>
      <c r="H717" s="23" t="n">
        <f aca="false">COUNTIF(CAL!U:AF,B717)</f>
        <v>2</v>
      </c>
      <c r="I717" s="22" t="n">
        <v>7</v>
      </c>
      <c r="J717" s="20"/>
    </row>
    <row r="718" customFormat="false" ht="15.75" hidden="false" customHeight="true" outlineLevel="0" collapsed="false">
      <c r="B718" s="19" t="n">
        <v>1858</v>
      </c>
      <c r="C718" s="20" t="s">
        <v>1939</v>
      </c>
      <c r="D718" s="20" t="s">
        <v>339</v>
      </c>
      <c r="E718" s="21" t="s">
        <v>1940</v>
      </c>
      <c r="F718" s="21" t="n">
        <v>36940</v>
      </c>
      <c r="G718" s="22" t="s">
        <v>471</v>
      </c>
      <c r="H718" s="23" t="n">
        <f aca="false">COUNTIF(CAL!U:AF,B718)</f>
        <v>2</v>
      </c>
      <c r="I718" s="22" t="n">
        <v>7</v>
      </c>
      <c r="J718" s="20"/>
    </row>
    <row r="719" customFormat="false" ht="15.75" hidden="false" customHeight="true" outlineLevel="0" collapsed="false">
      <c r="B719" s="19" t="n">
        <v>2333</v>
      </c>
      <c r="C719" s="20" t="s">
        <v>1941</v>
      </c>
      <c r="D719" s="20" t="s">
        <v>337</v>
      </c>
      <c r="E719" s="21" t="s">
        <v>1942</v>
      </c>
      <c r="F719" s="21" t="n">
        <v>36938</v>
      </c>
      <c r="G719" s="22" t="s">
        <v>471</v>
      </c>
      <c r="H719" s="23" t="n">
        <f aca="false">COUNTIF(CAL!U:AF,B719)</f>
        <v>2</v>
      </c>
      <c r="I719" s="22" t="n">
        <v>7</v>
      </c>
      <c r="J719" s="20"/>
    </row>
    <row r="720" customFormat="false" ht="15.75" hidden="false" customHeight="true" outlineLevel="0" collapsed="false">
      <c r="B720" s="19" t="n">
        <v>2262</v>
      </c>
      <c r="C720" s="20" t="s">
        <v>1943</v>
      </c>
      <c r="D720" s="20" t="s">
        <v>325</v>
      </c>
      <c r="E720" s="24" t="s">
        <v>1944</v>
      </c>
      <c r="F720" s="21" t="n">
        <v>39143</v>
      </c>
      <c r="G720" s="22" t="s">
        <v>471</v>
      </c>
      <c r="H720" s="23" t="n">
        <f aca="false">COUNTIF(CAL!U:AF,B720)</f>
        <v>2</v>
      </c>
      <c r="I720" s="22" t="n">
        <v>7</v>
      </c>
      <c r="J720" s="20"/>
    </row>
    <row r="721" customFormat="false" ht="15.75" hidden="false" customHeight="true" outlineLevel="0" collapsed="false">
      <c r="B721" s="19" t="n">
        <v>1937</v>
      </c>
      <c r="C721" s="20" t="s">
        <v>1945</v>
      </c>
      <c r="D721" s="20" t="s">
        <v>153</v>
      </c>
      <c r="E721" s="21" t="s">
        <v>1946</v>
      </c>
      <c r="F721" s="21" t="n">
        <v>35585</v>
      </c>
      <c r="G721" s="22" t="s">
        <v>471</v>
      </c>
      <c r="H721" s="23" t="n">
        <f aca="false">COUNTIF(CAL!U:AF,B721)</f>
        <v>2</v>
      </c>
      <c r="I721" s="22" t="n">
        <v>7</v>
      </c>
      <c r="J721" s="20"/>
    </row>
    <row r="722" customFormat="false" ht="15.75" hidden="false" customHeight="true" outlineLevel="0" collapsed="false">
      <c r="B722" s="19" t="n">
        <v>2357</v>
      </c>
      <c r="C722" s="20" t="s">
        <v>1947</v>
      </c>
      <c r="D722" s="20" t="s">
        <v>303</v>
      </c>
      <c r="E722" s="21" t="s">
        <v>1948</v>
      </c>
      <c r="F722" s="21" t="n">
        <v>35391</v>
      </c>
      <c r="G722" s="22" t="s">
        <v>471</v>
      </c>
      <c r="H722" s="23" t="n">
        <f aca="false">COUNTIF(CAL!U:AF,B722)</f>
        <v>2</v>
      </c>
      <c r="I722" s="22" t="n">
        <v>7</v>
      </c>
      <c r="J722" s="20"/>
    </row>
    <row r="723" customFormat="false" ht="15.75" hidden="false" customHeight="true" outlineLevel="0" collapsed="false">
      <c r="B723" s="19" t="n">
        <v>1015</v>
      </c>
      <c r="C723" s="20" t="s">
        <v>1949</v>
      </c>
      <c r="D723" s="20" t="s">
        <v>50</v>
      </c>
      <c r="E723" s="24" t="s">
        <v>1950</v>
      </c>
      <c r="F723" s="21" t="n">
        <v>36714</v>
      </c>
      <c r="G723" s="22" t="s">
        <v>471</v>
      </c>
      <c r="H723" s="23" t="n">
        <f aca="false">COUNTIF(CAL!U:AF,B723)</f>
        <v>2</v>
      </c>
      <c r="I723" s="22" t="n">
        <v>7</v>
      </c>
      <c r="J723" s="20"/>
    </row>
    <row r="724" customFormat="false" ht="15.75" hidden="false" customHeight="true" outlineLevel="0" collapsed="false">
      <c r="B724" s="19" t="n">
        <v>1675</v>
      </c>
      <c r="C724" s="20" t="s">
        <v>1951</v>
      </c>
      <c r="D724" s="20" t="s">
        <v>83</v>
      </c>
      <c r="E724" s="21" t="s">
        <v>1952</v>
      </c>
      <c r="F724" s="21" t="n">
        <v>35248</v>
      </c>
      <c r="G724" s="22" t="s">
        <v>471</v>
      </c>
      <c r="H724" s="23" t="n">
        <f aca="false">COUNTIF(CAL!U:AF,B724)</f>
        <v>2</v>
      </c>
      <c r="I724" s="22" t="n">
        <v>7</v>
      </c>
      <c r="J724" s="20"/>
    </row>
    <row r="725" customFormat="false" ht="15.75" hidden="false" customHeight="true" outlineLevel="0" collapsed="false">
      <c r="B725" s="19" t="n">
        <v>3521</v>
      </c>
      <c r="C725" s="20" t="s">
        <v>1953</v>
      </c>
      <c r="D725" s="20" t="s">
        <v>433</v>
      </c>
      <c r="E725" s="24" t="s">
        <v>1954</v>
      </c>
      <c r="F725" s="21" t="n">
        <v>35433</v>
      </c>
      <c r="G725" s="22" t="s">
        <v>471</v>
      </c>
      <c r="H725" s="23" t="n">
        <f aca="false">COUNTIF(CAL!U:AF,B725)</f>
        <v>2</v>
      </c>
      <c r="I725" s="22" t="n">
        <v>7</v>
      </c>
      <c r="J725" s="20"/>
    </row>
    <row r="726" customFormat="false" ht="15.75" hidden="false" customHeight="true" outlineLevel="0" collapsed="false">
      <c r="B726" s="19" t="n">
        <v>2838</v>
      </c>
      <c r="C726" s="20" t="s">
        <v>1955</v>
      </c>
      <c r="D726" s="20" t="s">
        <v>390</v>
      </c>
      <c r="E726" s="21" t="s">
        <v>1956</v>
      </c>
      <c r="F726" s="21" t="n">
        <v>36959</v>
      </c>
      <c r="G726" s="22" t="s">
        <v>471</v>
      </c>
      <c r="H726" s="23" t="n">
        <f aca="false">COUNTIF(CAL!U:AF,B726)</f>
        <v>2</v>
      </c>
      <c r="I726" s="22" t="n">
        <v>7</v>
      </c>
      <c r="J726" s="20"/>
    </row>
    <row r="727" customFormat="false" ht="15.75" hidden="false" customHeight="true" outlineLevel="0" collapsed="false">
      <c r="B727" s="19" t="n">
        <v>2141</v>
      </c>
      <c r="C727" s="20" t="s">
        <v>1957</v>
      </c>
      <c r="D727" s="20" t="s">
        <v>287</v>
      </c>
      <c r="E727" s="21" t="s">
        <v>1958</v>
      </c>
      <c r="F727" s="21" t="n">
        <v>37291</v>
      </c>
      <c r="G727" s="22" t="s">
        <v>471</v>
      </c>
      <c r="H727" s="23" t="n">
        <f aca="false">COUNTIF(CAL!U:AF,B727)</f>
        <v>2</v>
      </c>
      <c r="I727" s="22" t="n">
        <v>7</v>
      </c>
      <c r="J727" s="20"/>
    </row>
    <row r="728" customFormat="false" ht="15.75" hidden="false" customHeight="true" outlineLevel="0" collapsed="false">
      <c r="B728" s="19" t="n">
        <v>1915</v>
      </c>
      <c r="C728" s="20" t="s">
        <v>1959</v>
      </c>
      <c r="D728" s="20" t="s">
        <v>215</v>
      </c>
      <c r="E728" s="24" t="s">
        <v>1960</v>
      </c>
      <c r="F728" s="21" t="n">
        <v>38840</v>
      </c>
      <c r="G728" s="22" t="s">
        <v>471</v>
      </c>
      <c r="H728" s="23" t="n">
        <f aca="false">COUNTIF(CAL!U:AF,B728)</f>
        <v>2</v>
      </c>
      <c r="I728" s="22" t="n">
        <v>7</v>
      </c>
      <c r="J728" s="20"/>
    </row>
    <row r="729" customFormat="false" ht="15.75" hidden="false" customHeight="true" outlineLevel="0" collapsed="false">
      <c r="B729" s="19" t="n">
        <v>1442</v>
      </c>
      <c r="C729" s="20" t="s">
        <v>1961</v>
      </c>
      <c r="D729" s="20" t="s">
        <v>176</v>
      </c>
      <c r="E729" s="21" t="s">
        <v>1962</v>
      </c>
      <c r="F729" s="21" t="n">
        <v>39871</v>
      </c>
      <c r="G729" s="22" t="s">
        <v>471</v>
      </c>
      <c r="H729" s="23" t="n">
        <f aca="false">COUNTIF(CAL!U:AF,B729)</f>
        <v>2</v>
      </c>
      <c r="I729" s="22" t="n">
        <v>7</v>
      </c>
      <c r="J729" s="20"/>
    </row>
    <row r="730" customFormat="false" ht="15.75" hidden="false" customHeight="true" outlineLevel="0" collapsed="false">
      <c r="B730" s="19" t="n">
        <v>3045</v>
      </c>
      <c r="C730" s="20" t="s">
        <v>1963</v>
      </c>
      <c r="D730" s="20" t="s">
        <v>376</v>
      </c>
      <c r="E730" s="21" t="s">
        <v>1964</v>
      </c>
      <c r="F730" s="21" t="n">
        <v>37655</v>
      </c>
      <c r="G730" s="22" t="s">
        <v>471</v>
      </c>
      <c r="H730" s="23" t="n">
        <f aca="false">COUNTIF(CAL!U:AF,B730)</f>
        <v>2</v>
      </c>
      <c r="I730" s="22" t="n">
        <v>7</v>
      </c>
      <c r="J730" s="20"/>
    </row>
    <row r="731" customFormat="false" ht="15.75" hidden="false" customHeight="true" outlineLevel="0" collapsed="false">
      <c r="B731" s="19" t="n">
        <v>1589</v>
      </c>
      <c r="C731" s="20" t="s">
        <v>1965</v>
      </c>
      <c r="D731" s="20" t="s">
        <v>307</v>
      </c>
      <c r="E731" s="24" t="s">
        <v>1966</v>
      </c>
      <c r="F731" s="21" t="n">
        <v>37817</v>
      </c>
      <c r="G731" s="22" t="s">
        <v>471</v>
      </c>
      <c r="H731" s="23" t="n">
        <f aca="false">COUNTIF(CAL!U:AF,B731)</f>
        <v>2</v>
      </c>
      <c r="I731" s="22" t="n">
        <v>7</v>
      </c>
      <c r="J731" s="20"/>
    </row>
    <row r="732" customFormat="false" ht="15.75" hidden="false" customHeight="true" outlineLevel="0" collapsed="false">
      <c r="B732" s="19" t="n">
        <v>1478</v>
      </c>
      <c r="C732" s="20" t="s">
        <v>1967</v>
      </c>
      <c r="D732" s="20" t="s">
        <v>101</v>
      </c>
      <c r="E732" s="21" t="s">
        <v>1968</v>
      </c>
      <c r="F732" s="21" t="n">
        <v>35544</v>
      </c>
      <c r="G732" s="22" t="s">
        <v>471</v>
      </c>
      <c r="H732" s="23" t="n">
        <f aca="false">COUNTIF(CAL!U:AF,B732)</f>
        <v>2</v>
      </c>
      <c r="I732" s="22" t="n">
        <v>7</v>
      </c>
      <c r="J732" s="20"/>
    </row>
    <row r="733" customFormat="false" ht="15.75" hidden="false" customHeight="true" outlineLevel="0" collapsed="false">
      <c r="B733" s="19" t="n">
        <v>2363</v>
      </c>
      <c r="C733" s="20" t="s">
        <v>1969</v>
      </c>
      <c r="D733" s="20" t="s">
        <v>310</v>
      </c>
      <c r="E733" s="21" t="s">
        <v>1970</v>
      </c>
      <c r="F733" s="21" t="n">
        <v>35284</v>
      </c>
      <c r="G733" s="22" t="s">
        <v>471</v>
      </c>
      <c r="H733" s="23" t="n">
        <f aca="false">COUNTIF(CAL!U:AF,B733)</f>
        <v>2</v>
      </c>
      <c r="I733" s="22" t="n">
        <v>7</v>
      </c>
      <c r="J733" s="20"/>
    </row>
    <row r="734" customFormat="false" ht="15.75" hidden="false" customHeight="true" outlineLevel="0" collapsed="false">
      <c r="B734" s="19" t="n">
        <v>1790</v>
      </c>
      <c r="C734" s="20" t="s">
        <v>1971</v>
      </c>
      <c r="D734" s="20" t="s">
        <v>113</v>
      </c>
      <c r="E734" s="21" t="s">
        <v>1972</v>
      </c>
      <c r="F734" s="21" t="n">
        <v>36959</v>
      </c>
      <c r="G734" s="22" t="s">
        <v>471</v>
      </c>
      <c r="H734" s="23" t="n">
        <f aca="false">COUNTIF(CAL!U:AF,B734)</f>
        <v>2</v>
      </c>
      <c r="I734" s="22" t="n">
        <v>7</v>
      </c>
      <c r="J734" s="20"/>
    </row>
    <row r="735" customFormat="false" ht="15.75" hidden="false" customHeight="true" outlineLevel="0" collapsed="false">
      <c r="B735" s="19" t="n">
        <v>2133</v>
      </c>
      <c r="C735" s="20" t="s">
        <v>754</v>
      </c>
      <c r="D735" s="20" t="s">
        <v>101</v>
      </c>
      <c r="E735" s="21" t="s">
        <v>1973</v>
      </c>
      <c r="F735" s="21" t="n">
        <v>32407</v>
      </c>
      <c r="G735" s="22" t="s">
        <v>471</v>
      </c>
      <c r="H735" s="23" t="n">
        <f aca="false">COUNTIF(CAL!U:AF,B735)</f>
        <v>2</v>
      </c>
      <c r="I735" s="22" t="n">
        <v>7</v>
      </c>
      <c r="J735" s="20"/>
    </row>
    <row r="736" customFormat="false" ht="15.75" hidden="false" customHeight="true" outlineLevel="0" collapsed="false">
      <c r="B736" s="19" t="n">
        <v>2027</v>
      </c>
      <c r="C736" s="20" t="s">
        <v>1974</v>
      </c>
      <c r="D736" s="20" t="s">
        <v>280</v>
      </c>
      <c r="E736" s="21" t="s">
        <v>1975</v>
      </c>
      <c r="F736" s="21" t="n">
        <v>37501</v>
      </c>
      <c r="G736" s="22" t="s">
        <v>471</v>
      </c>
      <c r="H736" s="23" t="n">
        <f aca="false">COUNTIF(CAL!U:AF,B736)</f>
        <v>2</v>
      </c>
      <c r="I736" s="22" t="n">
        <v>7</v>
      </c>
      <c r="J736" s="20"/>
    </row>
    <row r="737" customFormat="false" ht="15.75" hidden="false" customHeight="true" outlineLevel="0" collapsed="false">
      <c r="B737" s="19" t="n">
        <v>2748</v>
      </c>
      <c r="C737" s="20" t="s">
        <v>1600</v>
      </c>
      <c r="D737" s="20" t="s">
        <v>160</v>
      </c>
      <c r="E737" s="21" t="s">
        <v>1976</v>
      </c>
      <c r="F737" s="21" t="n">
        <v>32918</v>
      </c>
      <c r="G737" s="22" t="s">
        <v>471</v>
      </c>
      <c r="H737" s="23" t="n">
        <f aca="false">COUNTIF(CAL!U:AF,B737)</f>
        <v>2</v>
      </c>
      <c r="I737" s="22" t="n">
        <v>7</v>
      </c>
      <c r="J737" s="20"/>
    </row>
    <row r="738" customFormat="false" ht="15.75" hidden="false" customHeight="true" outlineLevel="0" collapsed="false">
      <c r="B738" s="19" t="n">
        <v>1621</v>
      </c>
      <c r="C738" s="20" t="s">
        <v>1977</v>
      </c>
      <c r="D738" s="20" t="s">
        <v>232</v>
      </c>
      <c r="E738" s="21" t="s">
        <v>1978</v>
      </c>
      <c r="F738" s="21" t="n">
        <v>35781</v>
      </c>
      <c r="G738" s="22" t="s">
        <v>471</v>
      </c>
      <c r="H738" s="23" t="n">
        <f aca="false">COUNTIF(CAL!U:AF,B738)</f>
        <v>2</v>
      </c>
      <c r="I738" s="22" t="n">
        <v>7</v>
      </c>
      <c r="J738" s="20"/>
    </row>
    <row r="739" customFormat="false" ht="15.75" hidden="false" customHeight="true" outlineLevel="0" collapsed="false">
      <c r="B739" s="19" t="n">
        <v>2707</v>
      </c>
      <c r="C739" s="20" t="s">
        <v>1289</v>
      </c>
      <c r="D739" s="20" t="s">
        <v>364</v>
      </c>
      <c r="E739" s="21" t="s">
        <v>1979</v>
      </c>
      <c r="F739" s="21" t="n">
        <v>37253</v>
      </c>
      <c r="G739" s="22" t="s">
        <v>471</v>
      </c>
      <c r="H739" s="23" t="n">
        <f aca="false">COUNTIF(CAL!U:AF,B739)</f>
        <v>2</v>
      </c>
      <c r="I739" s="22" t="n">
        <v>7</v>
      </c>
      <c r="J739" s="20"/>
    </row>
    <row r="740" customFormat="false" ht="15.75" hidden="false" customHeight="true" outlineLevel="0" collapsed="false">
      <c r="B740" s="19" t="n">
        <v>1536</v>
      </c>
      <c r="C740" s="20" t="s">
        <v>1167</v>
      </c>
      <c r="D740" s="20" t="s">
        <v>88</v>
      </c>
      <c r="E740" s="21" t="s">
        <v>1980</v>
      </c>
      <c r="F740" s="21" t="n">
        <v>37836</v>
      </c>
      <c r="G740" s="22" t="s">
        <v>471</v>
      </c>
      <c r="H740" s="23" t="n">
        <f aca="false">COUNTIF(CAL!U:AF,B740)</f>
        <v>2</v>
      </c>
      <c r="I740" s="22" t="n">
        <v>7</v>
      </c>
      <c r="J740" s="20"/>
    </row>
    <row r="741" customFormat="false" ht="15.75" hidden="false" customHeight="true" outlineLevel="0" collapsed="false">
      <c r="B741" s="19" t="n">
        <v>2759</v>
      </c>
      <c r="C741" s="20" t="s">
        <v>1981</v>
      </c>
      <c r="D741" s="20" t="s">
        <v>143</v>
      </c>
      <c r="E741" s="21" t="s">
        <v>1982</v>
      </c>
      <c r="F741" s="21" t="n">
        <v>37639</v>
      </c>
      <c r="G741" s="22" t="s">
        <v>471</v>
      </c>
      <c r="H741" s="23" t="n">
        <f aca="false">COUNTIF(CAL!U:AF,B741)</f>
        <v>2</v>
      </c>
      <c r="I741" s="22" t="n">
        <v>7</v>
      </c>
      <c r="J741" s="20"/>
    </row>
    <row r="742" customFormat="false" ht="15.75" hidden="false" customHeight="true" outlineLevel="0" collapsed="false">
      <c r="B742" s="19" t="n">
        <v>1105</v>
      </c>
      <c r="C742" s="20" t="s">
        <v>1983</v>
      </c>
      <c r="D742" s="20" t="s">
        <v>32</v>
      </c>
      <c r="E742" s="21" t="s">
        <v>1984</v>
      </c>
      <c r="F742" s="21" t="n">
        <v>34255</v>
      </c>
      <c r="G742" s="22" t="s">
        <v>471</v>
      </c>
      <c r="H742" s="23" t="n">
        <f aca="false">COUNTIF(CAL!U:AF,B742)</f>
        <v>2</v>
      </c>
      <c r="I742" s="22" t="n">
        <v>7</v>
      </c>
      <c r="J742" s="20" t="s">
        <v>1985</v>
      </c>
    </row>
    <row r="743" customFormat="false" ht="15.75" hidden="false" customHeight="true" outlineLevel="0" collapsed="false">
      <c r="B743" s="19" t="n">
        <v>1613</v>
      </c>
      <c r="C743" s="20" t="s">
        <v>548</v>
      </c>
      <c r="D743" s="20" t="s">
        <v>50</v>
      </c>
      <c r="E743" s="21" t="s">
        <v>1986</v>
      </c>
      <c r="F743" s="21" t="n">
        <v>35998</v>
      </c>
      <c r="G743" s="22" t="s">
        <v>471</v>
      </c>
      <c r="H743" s="23" t="n">
        <f aca="false">COUNTIF(CAL!U:AF,B743)</f>
        <v>2</v>
      </c>
      <c r="I743" s="22" t="n">
        <v>7</v>
      </c>
      <c r="J743" s="20"/>
    </row>
    <row r="744" customFormat="false" ht="15.75" hidden="false" customHeight="true" outlineLevel="0" collapsed="false">
      <c r="B744" s="19" t="n">
        <v>1090</v>
      </c>
      <c r="C744" s="20" t="s">
        <v>1987</v>
      </c>
      <c r="D744" s="20" t="s">
        <v>133</v>
      </c>
      <c r="E744" s="21" t="s">
        <v>1988</v>
      </c>
      <c r="F744" s="21" t="n">
        <v>36944</v>
      </c>
      <c r="G744" s="22" t="s">
        <v>471</v>
      </c>
      <c r="H744" s="23" t="n">
        <f aca="false">COUNTIF(CAL!U:AF,B744)</f>
        <v>2</v>
      </c>
      <c r="I744" s="22" t="n">
        <v>7</v>
      </c>
      <c r="J744" s="20"/>
    </row>
    <row r="745" customFormat="false" ht="15.75" hidden="false" customHeight="true" outlineLevel="0" collapsed="false">
      <c r="B745" s="19" t="n">
        <v>1127</v>
      </c>
      <c r="C745" s="20" t="s">
        <v>925</v>
      </c>
      <c r="D745" s="20" t="s">
        <v>100</v>
      </c>
      <c r="E745" s="21" t="s">
        <v>1989</v>
      </c>
      <c r="F745" s="21" t="n">
        <v>33932</v>
      </c>
      <c r="G745" s="22" t="s">
        <v>471</v>
      </c>
      <c r="H745" s="23" t="n">
        <f aca="false">COUNTIF(CAL!U:AF,B745)</f>
        <v>2</v>
      </c>
      <c r="I745" s="22" t="n">
        <v>7</v>
      </c>
      <c r="J745" s="20"/>
    </row>
    <row r="746" customFormat="false" ht="15.75" hidden="false" customHeight="true" outlineLevel="0" collapsed="false">
      <c r="B746" s="19" t="n">
        <v>1228</v>
      </c>
      <c r="C746" s="20" t="s">
        <v>1990</v>
      </c>
      <c r="D746" s="20" t="s">
        <v>71</v>
      </c>
      <c r="E746" s="21" t="s">
        <v>1991</v>
      </c>
      <c r="F746" s="21" t="n">
        <v>34561</v>
      </c>
      <c r="G746" s="22" t="s">
        <v>471</v>
      </c>
      <c r="H746" s="23" t="n">
        <f aca="false">COUNTIF(CAL!U:AF,B746)</f>
        <v>2</v>
      </c>
      <c r="I746" s="22" t="n">
        <v>7</v>
      </c>
      <c r="J746" s="20"/>
    </row>
    <row r="747" customFormat="false" ht="15.75" hidden="false" customHeight="true" outlineLevel="0" collapsed="false">
      <c r="B747" s="19" t="n">
        <v>2636</v>
      </c>
      <c r="C747" s="20" t="s">
        <v>1992</v>
      </c>
      <c r="D747" s="20" t="s">
        <v>110</v>
      </c>
      <c r="E747" s="21" t="s">
        <v>1993</v>
      </c>
      <c r="F747" s="21" t="n">
        <v>37142</v>
      </c>
      <c r="G747" s="22" t="s">
        <v>471</v>
      </c>
      <c r="H747" s="23" t="n">
        <f aca="false">COUNTIF(CAL!U:AF,B747)</f>
        <v>2</v>
      </c>
      <c r="I747" s="22" t="n">
        <v>7</v>
      </c>
      <c r="J747" s="20" t="s">
        <v>1994</v>
      </c>
    </row>
    <row r="748" customFormat="false" ht="15.75" hidden="false" customHeight="true" outlineLevel="0" collapsed="false">
      <c r="B748" s="19" t="n">
        <v>2011</v>
      </c>
      <c r="C748" s="20" t="s">
        <v>1995</v>
      </c>
      <c r="D748" s="20" t="s">
        <v>86</v>
      </c>
      <c r="E748" s="21" t="s">
        <v>1996</v>
      </c>
      <c r="F748" s="21" t="n">
        <v>35325</v>
      </c>
      <c r="G748" s="22" t="s">
        <v>471</v>
      </c>
      <c r="H748" s="23" t="n">
        <f aca="false">COUNTIF(CAL!U:AF,B748)</f>
        <v>2</v>
      </c>
      <c r="I748" s="22" t="n">
        <v>7</v>
      </c>
      <c r="J748" s="20"/>
    </row>
    <row r="749" customFormat="false" ht="15.75" hidden="false" customHeight="true" outlineLevel="0" collapsed="false">
      <c r="B749" s="19" t="n">
        <v>2149</v>
      </c>
      <c r="C749" s="20" t="s">
        <v>1997</v>
      </c>
      <c r="D749" s="20" t="s">
        <v>320</v>
      </c>
      <c r="E749" s="21" t="s">
        <v>1998</v>
      </c>
      <c r="F749" s="21" t="n">
        <v>37658</v>
      </c>
      <c r="G749" s="22" t="s">
        <v>471</v>
      </c>
      <c r="H749" s="23" t="n">
        <f aca="false">COUNTIF(CAL!U:AF,B749)</f>
        <v>2</v>
      </c>
      <c r="I749" s="22" t="n">
        <v>7</v>
      </c>
      <c r="J749" s="20"/>
    </row>
    <row r="750" customFormat="false" ht="15.75" hidden="false" customHeight="true" outlineLevel="0" collapsed="false">
      <c r="B750" s="19" t="n">
        <v>1319</v>
      </c>
      <c r="C750" s="20" t="s">
        <v>1009</v>
      </c>
      <c r="D750" s="20" t="s">
        <v>141</v>
      </c>
      <c r="E750" s="21" t="s">
        <v>1999</v>
      </c>
      <c r="F750" s="21" t="n">
        <v>37774</v>
      </c>
      <c r="G750" s="22" t="s">
        <v>471</v>
      </c>
      <c r="H750" s="23" t="n">
        <f aca="false">COUNTIF(CAL!U:AF,B750)</f>
        <v>2</v>
      </c>
      <c r="I750" s="22" t="n">
        <v>7</v>
      </c>
      <c r="J750" s="20"/>
    </row>
    <row r="751" customFormat="false" ht="15.75" hidden="false" customHeight="true" outlineLevel="0" collapsed="false">
      <c r="B751" s="19" t="n">
        <v>3176</v>
      </c>
      <c r="C751" s="20" t="s">
        <v>2000</v>
      </c>
      <c r="D751" s="20" t="s">
        <v>418</v>
      </c>
      <c r="E751" s="21" t="s">
        <v>2001</v>
      </c>
      <c r="F751" s="21" t="n">
        <v>38712</v>
      </c>
      <c r="G751" s="22" t="s">
        <v>471</v>
      </c>
      <c r="H751" s="23" t="n">
        <f aca="false">COUNTIF(CAL!U:AF,B751)</f>
        <v>2</v>
      </c>
      <c r="I751" s="22" t="n">
        <v>7</v>
      </c>
      <c r="J751" s="20"/>
    </row>
    <row r="752" customFormat="false" ht="15.75" hidden="false" customHeight="true" outlineLevel="0" collapsed="false">
      <c r="B752" s="19" t="n">
        <v>1686</v>
      </c>
      <c r="C752" s="20" t="s">
        <v>2002</v>
      </c>
      <c r="D752" s="20" t="s">
        <v>153</v>
      </c>
      <c r="E752" s="21" t="s">
        <v>2003</v>
      </c>
      <c r="F752" s="21" t="n">
        <v>35703</v>
      </c>
      <c r="G752" s="22" t="s">
        <v>471</v>
      </c>
      <c r="H752" s="23" t="n">
        <f aca="false">COUNTIF(CAL!U:AF,B752)</f>
        <v>2</v>
      </c>
      <c r="I752" s="22" t="n">
        <v>7</v>
      </c>
      <c r="J752" s="20"/>
    </row>
    <row r="753" customFormat="false" ht="15.75" hidden="false" customHeight="true" outlineLevel="0" collapsed="false">
      <c r="B753" s="19" t="n">
        <v>2140</v>
      </c>
      <c r="C753" s="20" t="s">
        <v>2004</v>
      </c>
      <c r="D753" s="20" t="s">
        <v>287</v>
      </c>
      <c r="E753" s="24" t="s">
        <v>2005</v>
      </c>
      <c r="F753" s="21" t="n">
        <v>34997</v>
      </c>
      <c r="G753" s="22" t="s">
        <v>471</v>
      </c>
      <c r="H753" s="23" t="n">
        <f aca="false">COUNTIF(CAL!U:AF,B753)</f>
        <v>2</v>
      </c>
      <c r="I753" s="22" t="n">
        <v>7</v>
      </c>
      <c r="J753" s="20"/>
    </row>
    <row r="754" customFormat="false" ht="15.75" hidden="false" customHeight="true" outlineLevel="0" collapsed="false">
      <c r="B754" s="19" t="n">
        <v>2679</v>
      </c>
      <c r="C754" s="20" t="s">
        <v>1091</v>
      </c>
      <c r="D754" s="20" t="s">
        <v>182</v>
      </c>
      <c r="E754" s="21" t="s">
        <v>2006</v>
      </c>
      <c r="F754" s="21" t="n">
        <v>37004</v>
      </c>
      <c r="G754" s="22" t="s">
        <v>471</v>
      </c>
      <c r="H754" s="23" t="n">
        <f aca="false">COUNTIF(CAL!U:AF,B754)</f>
        <v>2</v>
      </c>
      <c r="I754" s="22" t="n">
        <v>7</v>
      </c>
      <c r="J754" s="20"/>
    </row>
    <row r="755" customFormat="false" ht="15.75" hidden="false" customHeight="true" outlineLevel="0" collapsed="false">
      <c r="B755" s="19" t="n">
        <v>2716</v>
      </c>
      <c r="C755" s="20" t="s">
        <v>1091</v>
      </c>
      <c r="D755" s="20" t="s">
        <v>236</v>
      </c>
      <c r="E755" s="24" t="s">
        <v>2007</v>
      </c>
      <c r="F755" s="21" t="n">
        <v>37075</v>
      </c>
      <c r="G755" s="22" t="s">
        <v>471</v>
      </c>
      <c r="H755" s="23" t="n">
        <f aca="false">COUNTIF(CAL!U:AF,B755)</f>
        <v>2</v>
      </c>
      <c r="I755" s="22" t="n">
        <v>7</v>
      </c>
      <c r="J755" s="20"/>
    </row>
    <row r="756" customFormat="false" ht="15.75" hidden="false" customHeight="true" outlineLevel="0" collapsed="false">
      <c r="B756" s="19" t="n">
        <v>1798</v>
      </c>
      <c r="C756" s="20" t="s">
        <v>1886</v>
      </c>
      <c r="D756" s="20" t="s">
        <v>84</v>
      </c>
      <c r="E756" s="21" t="s">
        <v>2008</v>
      </c>
      <c r="F756" s="21" t="n">
        <v>38082</v>
      </c>
      <c r="G756" s="22" t="s">
        <v>471</v>
      </c>
      <c r="H756" s="23" t="n">
        <f aca="false">COUNTIF(CAL!U:AF,B756)</f>
        <v>2</v>
      </c>
      <c r="I756" s="22" t="n">
        <v>7</v>
      </c>
      <c r="J756" s="20"/>
    </row>
    <row r="757" customFormat="false" ht="15.75" hidden="false" customHeight="true" outlineLevel="0" collapsed="false">
      <c r="B757" s="19" t="n">
        <v>2841</v>
      </c>
      <c r="C757" s="20" t="s">
        <v>2009</v>
      </c>
      <c r="D757" s="20" t="s">
        <v>208</v>
      </c>
      <c r="E757" s="24" t="s">
        <v>2010</v>
      </c>
      <c r="F757" s="21" t="n">
        <v>35408</v>
      </c>
      <c r="G757" s="22" t="s">
        <v>471</v>
      </c>
      <c r="H757" s="23" t="n">
        <f aca="false">COUNTIF(CAL!U:AF,B757)</f>
        <v>2</v>
      </c>
      <c r="I757" s="22" t="n">
        <v>7</v>
      </c>
      <c r="J757" s="20"/>
    </row>
    <row r="758" customFormat="false" ht="15.75" hidden="false" customHeight="true" outlineLevel="0" collapsed="false">
      <c r="B758" s="19" t="n">
        <v>2271</v>
      </c>
      <c r="C758" s="20" t="s">
        <v>2011</v>
      </c>
      <c r="D758" s="20" t="s">
        <v>303</v>
      </c>
      <c r="E758" s="24" t="s">
        <v>2012</v>
      </c>
      <c r="F758" s="21" t="n">
        <v>34667</v>
      </c>
      <c r="G758" s="22" t="s">
        <v>471</v>
      </c>
      <c r="H758" s="23" t="n">
        <f aca="false">COUNTIF(CAL!U:AF,B758)</f>
        <v>2</v>
      </c>
      <c r="I758" s="22" t="n">
        <v>8</v>
      </c>
      <c r="J758" s="20"/>
    </row>
    <row r="759" customFormat="false" ht="15.75" hidden="false" customHeight="true" outlineLevel="0" collapsed="false">
      <c r="B759" s="19" t="n">
        <v>1724</v>
      </c>
      <c r="C759" s="20" t="s">
        <v>713</v>
      </c>
      <c r="D759" s="20" t="s">
        <v>220</v>
      </c>
      <c r="E759" s="21" t="s">
        <v>2013</v>
      </c>
      <c r="F759" s="21" t="n">
        <v>36703</v>
      </c>
      <c r="G759" s="22" t="s">
        <v>471</v>
      </c>
      <c r="H759" s="23" t="n">
        <f aca="false">COUNTIF(CAL!U:AF,B759)</f>
        <v>2</v>
      </c>
      <c r="I759" s="22" t="n">
        <v>8</v>
      </c>
      <c r="J759" s="20"/>
    </row>
    <row r="760" customFormat="false" ht="15.75" hidden="false" customHeight="true" outlineLevel="0" collapsed="false">
      <c r="B760" s="19" t="n">
        <v>2450</v>
      </c>
      <c r="C760" s="20" t="s">
        <v>2014</v>
      </c>
      <c r="D760" s="20" t="s">
        <v>320</v>
      </c>
      <c r="E760" s="21" t="s">
        <v>2015</v>
      </c>
      <c r="F760" s="21" t="n">
        <v>37762</v>
      </c>
      <c r="G760" s="22" t="s">
        <v>471</v>
      </c>
      <c r="H760" s="23" t="n">
        <f aca="false">COUNTIF(CAL!U:AF,B760)</f>
        <v>2</v>
      </c>
      <c r="I760" s="22" t="n">
        <v>8</v>
      </c>
      <c r="J760" s="20"/>
    </row>
    <row r="761" customFormat="false" ht="15.75" hidden="false" customHeight="true" outlineLevel="0" collapsed="false">
      <c r="B761" s="19" t="n">
        <v>3456</v>
      </c>
      <c r="C761" s="20" t="s">
        <v>2016</v>
      </c>
      <c r="D761" s="20" t="s">
        <v>57</v>
      </c>
      <c r="E761" s="21" t="s">
        <v>2017</v>
      </c>
      <c r="F761" s="21" t="n">
        <v>35181</v>
      </c>
      <c r="G761" s="22" t="s">
        <v>1017</v>
      </c>
      <c r="H761" s="23" t="n">
        <f aca="false">COUNTIF(CAL!U:AF,B761)</f>
        <v>2</v>
      </c>
      <c r="I761" s="22" t="n">
        <v>8</v>
      </c>
      <c r="J761" s="20"/>
    </row>
    <row r="762" customFormat="false" ht="15.75" hidden="false" customHeight="true" outlineLevel="0" collapsed="false">
      <c r="B762" s="19" t="n">
        <v>1504</v>
      </c>
      <c r="C762" s="20" t="s">
        <v>2018</v>
      </c>
      <c r="D762" s="20" t="s">
        <v>228</v>
      </c>
      <c r="E762" s="21" t="s">
        <v>2019</v>
      </c>
      <c r="F762" s="21" t="n">
        <v>38403</v>
      </c>
      <c r="G762" s="22" t="s">
        <v>471</v>
      </c>
      <c r="H762" s="23" t="n">
        <f aca="false">COUNTIF(CAL!U:AF,B762)</f>
        <v>2</v>
      </c>
      <c r="I762" s="22" t="n">
        <v>8</v>
      </c>
      <c r="J762" s="20"/>
    </row>
    <row r="763" customFormat="false" ht="15.75" hidden="false" customHeight="true" outlineLevel="0" collapsed="false">
      <c r="B763" s="19" t="n">
        <v>1715</v>
      </c>
      <c r="C763" s="20" t="s">
        <v>2020</v>
      </c>
      <c r="D763" s="20" t="s">
        <v>254</v>
      </c>
      <c r="E763" s="21" t="s">
        <v>2021</v>
      </c>
      <c r="F763" s="21" t="n">
        <v>35970</v>
      </c>
      <c r="G763" s="22" t="s">
        <v>471</v>
      </c>
      <c r="H763" s="23" t="n">
        <f aca="false">COUNTIF(CAL!U:AF,B763)</f>
        <v>2</v>
      </c>
      <c r="I763" s="22" t="n">
        <v>8</v>
      </c>
      <c r="J763" s="20"/>
    </row>
    <row r="764" customFormat="false" ht="15.75" hidden="false" customHeight="true" outlineLevel="0" collapsed="false">
      <c r="B764" s="19" t="n">
        <v>1525</v>
      </c>
      <c r="C764" s="20" t="s">
        <v>1037</v>
      </c>
      <c r="D764" s="20" t="s">
        <v>186</v>
      </c>
      <c r="E764" s="24" t="s">
        <v>2022</v>
      </c>
      <c r="F764" s="21" t="n">
        <v>36931</v>
      </c>
      <c r="G764" s="22" t="s">
        <v>471</v>
      </c>
      <c r="H764" s="23" t="n">
        <f aca="false">COUNTIF(CAL!U:AF,B764)</f>
        <v>2</v>
      </c>
      <c r="I764" s="22" t="n">
        <v>8</v>
      </c>
      <c r="J764" s="20"/>
    </row>
    <row r="765" customFormat="false" ht="15.75" hidden="false" customHeight="true" outlineLevel="0" collapsed="false">
      <c r="B765" s="19" t="n">
        <v>2024</v>
      </c>
      <c r="C765" s="20" t="s">
        <v>2023</v>
      </c>
      <c r="D765" s="20" t="s">
        <v>249</v>
      </c>
      <c r="E765" s="21" t="s">
        <v>2024</v>
      </c>
      <c r="F765" s="21" t="n">
        <v>36446</v>
      </c>
      <c r="G765" s="22" t="s">
        <v>471</v>
      </c>
      <c r="H765" s="23" t="n">
        <f aca="false">COUNTIF(CAL!U:AF,B765)</f>
        <v>2</v>
      </c>
      <c r="I765" s="22" t="n">
        <v>8</v>
      </c>
      <c r="J765" s="20"/>
    </row>
    <row r="766" customFormat="false" ht="15.75" hidden="false" customHeight="true" outlineLevel="0" collapsed="false">
      <c r="B766" s="19" t="n">
        <v>1523</v>
      </c>
      <c r="C766" s="20" t="s">
        <v>2025</v>
      </c>
      <c r="D766" s="20" t="s">
        <v>125</v>
      </c>
      <c r="E766" s="21" t="s">
        <v>2026</v>
      </c>
      <c r="F766" s="21" t="n">
        <v>36725</v>
      </c>
      <c r="G766" s="22" t="s">
        <v>471</v>
      </c>
      <c r="H766" s="23" t="n">
        <f aca="false">COUNTIF(CAL!U:AF,B766)</f>
        <v>2</v>
      </c>
      <c r="I766" s="22" t="n">
        <v>8</v>
      </c>
      <c r="J766" s="20" t="s">
        <v>2027</v>
      </c>
    </row>
    <row r="767" customFormat="false" ht="15.75" hidden="false" customHeight="true" outlineLevel="0" collapsed="false">
      <c r="B767" s="19" t="n">
        <v>3384</v>
      </c>
      <c r="C767" s="20" t="s">
        <v>1257</v>
      </c>
      <c r="D767" s="20" t="s">
        <v>326</v>
      </c>
      <c r="E767" s="21" t="s">
        <v>2028</v>
      </c>
      <c r="F767" s="21" t="n">
        <v>36139</v>
      </c>
      <c r="G767" s="22" t="s">
        <v>471</v>
      </c>
      <c r="H767" s="23" t="n">
        <f aca="false">COUNTIF(CAL!U:AF,B767)</f>
        <v>2</v>
      </c>
      <c r="I767" s="22" t="n">
        <v>8</v>
      </c>
      <c r="J767" s="20"/>
    </row>
    <row r="768" customFormat="false" ht="15.75" hidden="false" customHeight="true" outlineLevel="0" collapsed="false">
      <c r="B768" s="19" t="n">
        <v>1979</v>
      </c>
      <c r="C768" s="20" t="s">
        <v>1560</v>
      </c>
      <c r="D768" s="20" t="s">
        <v>433</v>
      </c>
      <c r="E768" s="24" t="s">
        <v>2029</v>
      </c>
      <c r="F768" s="21" t="n">
        <v>35888</v>
      </c>
      <c r="G768" s="22" t="s">
        <v>471</v>
      </c>
      <c r="H768" s="23" t="n">
        <f aca="false">COUNTIF(CAL!U:AF,B768)</f>
        <v>2</v>
      </c>
      <c r="I768" s="22" t="n">
        <v>8</v>
      </c>
      <c r="J768" s="20" t="s">
        <v>2030</v>
      </c>
    </row>
    <row r="769" customFormat="false" ht="15.75" hidden="false" customHeight="true" outlineLevel="0" collapsed="false">
      <c r="B769" s="19" t="n">
        <v>2364</v>
      </c>
      <c r="C769" s="20" t="s">
        <v>1433</v>
      </c>
      <c r="D769" s="20" t="s">
        <v>144</v>
      </c>
      <c r="E769" s="21" t="s">
        <v>2031</v>
      </c>
      <c r="F769" s="21" t="n">
        <v>36812</v>
      </c>
      <c r="G769" s="22" t="s">
        <v>471</v>
      </c>
      <c r="H769" s="23" t="n">
        <f aca="false">COUNTIF(CAL!U:AF,B769)</f>
        <v>2</v>
      </c>
      <c r="I769" s="22" t="n">
        <v>8</v>
      </c>
      <c r="J769" s="20"/>
    </row>
    <row r="770" customFormat="false" ht="15.75" hidden="false" customHeight="true" outlineLevel="0" collapsed="false">
      <c r="B770" s="19" t="n">
        <v>1054</v>
      </c>
      <c r="C770" s="20" t="s">
        <v>2032</v>
      </c>
      <c r="D770" s="20" t="s">
        <v>159</v>
      </c>
      <c r="E770" s="21" t="s">
        <v>2033</v>
      </c>
      <c r="F770" s="21" t="n">
        <v>38507</v>
      </c>
      <c r="G770" s="22" t="s">
        <v>471</v>
      </c>
      <c r="H770" s="23" t="n">
        <f aca="false">COUNTIF(CAL!U:AF,B770)</f>
        <v>2</v>
      </c>
      <c r="I770" s="22" t="n">
        <v>8</v>
      </c>
      <c r="J770" s="20"/>
    </row>
    <row r="771" customFormat="false" ht="15.75" hidden="false" customHeight="true" outlineLevel="0" collapsed="false">
      <c r="B771" s="19" t="n">
        <v>2428</v>
      </c>
      <c r="C771" s="20" t="s">
        <v>1138</v>
      </c>
      <c r="D771" s="20" t="s">
        <v>227</v>
      </c>
      <c r="E771" s="21" t="s">
        <v>2034</v>
      </c>
      <c r="F771" s="21" t="n">
        <v>34226</v>
      </c>
      <c r="G771" s="22" t="s">
        <v>471</v>
      </c>
      <c r="H771" s="23" t="n">
        <f aca="false">COUNTIF(CAL!U:AF,B771)</f>
        <v>2</v>
      </c>
      <c r="I771" s="22" t="n">
        <v>8</v>
      </c>
      <c r="J771" s="20"/>
    </row>
    <row r="772" customFormat="false" ht="15.75" hidden="false" customHeight="true" outlineLevel="0" collapsed="false">
      <c r="B772" s="19" t="n">
        <v>1935</v>
      </c>
      <c r="C772" s="20" t="s">
        <v>2035</v>
      </c>
      <c r="D772" s="20" t="s">
        <v>153</v>
      </c>
      <c r="E772" s="21" t="s">
        <v>2036</v>
      </c>
      <c r="F772" s="21" t="n">
        <v>36177</v>
      </c>
      <c r="G772" s="22" t="s">
        <v>471</v>
      </c>
      <c r="H772" s="23" t="n">
        <f aca="false">COUNTIF(CAL!U:AF,B772)</f>
        <v>2</v>
      </c>
      <c r="I772" s="22" t="n">
        <v>8</v>
      </c>
      <c r="J772" s="20"/>
    </row>
    <row r="773" customFormat="false" ht="15.75" hidden="false" customHeight="true" outlineLevel="0" collapsed="false">
      <c r="B773" s="19" t="n">
        <v>1295</v>
      </c>
      <c r="C773" s="20" t="s">
        <v>2037</v>
      </c>
      <c r="D773" s="20" t="s">
        <v>73</v>
      </c>
      <c r="E773" s="21" t="s">
        <v>2038</v>
      </c>
      <c r="F773" s="21" t="n">
        <v>35863</v>
      </c>
      <c r="G773" s="22" t="s">
        <v>471</v>
      </c>
      <c r="H773" s="23" t="n">
        <f aca="false">COUNTIF(CAL!U:AF,B773)</f>
        <v>2</v>
      </c>
      <c r="I773" s="22" t="n">
        <v>8</v>
      </c>
      <c r="J773" s="20"/>
    </row>
    <row r="774" customFormat="false" ht="15.75" hidden="false" customHeight="true" outlineLevel="0" collapsed="false">
      <c r="B774" s="19" t="n">
        <v>1455</v>
      </c>
      <c r="C774" s="20" t="s">
        <v>2039</v>
      </c>
      <c r="D774" s="20" t="s">
        <v>175</v>
      </c>
      <c r="E774" s="24" t="s">
        <v>2040</v>
      </c>
      <c r="F774" s="21" t="n">
        <v>35934</v>
      </c>
      <c r="G774" s="22" t="s">
        <v>471</v>
      </c>
      <c r="H774" s="23" t="n">
        <f aca="false">COUNTIF(CAL!U:AF,B774)</f>
        <v>2</v>
      </c>
      <c r="I774" s="22" t="n">
        <v>8</v>
      </c>
      <c r="J774" s="20"/>
    </row>
    <row r="775" customFormat="false" ht="15.75" hidden="false" customHeight="true" outlineLevel="0" collapsed="false">
      <c r="B775" s="19" t="n">
        <v>2034</v>
      </c>
      <c r="C775" s="20" t="s">
        <v>2041</v>
      </c>
      <c r="D775" s="20" t="s">
        <v>228</v>
      </c>
      <c r="E775" s="21" t="s">
        <v>2042</v>
      </c>
      <c r="F775" s="21" t="n">
        <v>33203</v>
      </c>
      <c r="G775" s="22" t="s">
        <v>471</v>
      </c>
      <c r="H775" s="23" t="n">
        <f aca="false">COUNTIF(CAL!U:AF,B775)</f>
        <v>2</v>
      </c>
      <c r="I775" s="22" t="n">
        <v>8</v>
      </c>
      <c r="J775" s="20"/>
    </row>
    <row r="776" customFormat="false" ht="15.75" hidden="false" customHeight="true" outlineLevel="0" collapsed="false">
      <c r="B776" s="19" t="n">
        <v>1572</v>
      </c>
      <c r="C776" s="20" t="s">
        <v>2043</v>
      </c>
      <c r="D776" s="20" t="s">
        <v>227</v>
      </c>
      <c r="E776" s="21" t="s">
        <v>2044</v>
      </c>
      <c r="F776" s="21" t="n">
        <v>39078</v>
      </c>
      <c r="G776" s="22" t="s">
        <v>471</v>
      </c>
      <c r="H776" s="23" t="n">
        <f aca="false">COUNTIF(CAL!U:AF,B776)</f>
        <v>2</v>
      </c>
      <c r="I776" s="22" t="n">
        <v>8</v>
      </c>
      <c r="J776" s="20"/>
    </row>
    <row r="777" customFormat="false" ht="15.75" hidden="false" customHeight="true" outlineLevel="0" collapsed="false">
      <c r="B777" s="19" t="n">
        <v>1756</v>
      </c>
      <c r="C777" s="20" t="s">
        <v>1132</v>
      </c>
      <c r="D777" s="20" t="s">
        <v>252</v>
      </c>
      <c r="E777" s="21" t="s">
        <v>2045</v>
      </c>
      <c r="F777" s="21" t="n">
        <v>34078</v>
      </c>
      <c r="G777" s="22" t="s">
        <v>471</v>
      </c>
      <c r="H777" s="23" t="n">
        <f aca="false">COUNTIF(CAL!U:AF,B777)</f>
        <v>2</v>
      </c>
      <c r="I777" s="22" t="n">
        <v>8</v>
      </c>
      <c r="J777" s="20"/>
    </row>
    <row r="778" customFormat="false" ht="15.75" hidden="false" customHeight="true" outlineLevel="0" collapsed="false">
      <c r="B778" s="19" t="n">
        <v>2049</v>
      </c>
      <c r="C778" s="20" t="s">
        <v>2046</v>
      </c>
      <c r="D778" s="20" t="s">
        <v>333</v>
      </c>
      <c r="E778" s="21" t="s">
        <v>2047</v>
      </c>
      <c r="F778" s="21" t="n">
        <v>35498</v>
      </c>
      <c r="G778" s="22" t="s">
        <v>471</v>
      </c>
      <c r="H778" s="23" t="n">
        <f aca="false">COUNTIF(CAL!U:AF,B778)</f>
        <v>2</v>
      </c>
      <c r="I778" s="22" t="n">
        <v>8</v>
      </c>
      <c r="J778" s="20"/>
    </row>
    <row r="779" customFormat="false" ht="15.75" hidden="false" customHeight="true" outlineLevel="0" collapsed="false">
      <c r="B779" s="19" t="n">
        <v>3315</v>
      </c>
      <c r="C779" s="20" t="s">
        <v>2048</v>
      </c>
      <c r="D779" s="20" t="s">
        <v>109</v>
      </c>
      <c r="E779" s="21" t="s">
        <v>2049</v>
      </c>
      <c r="F779" s="21" t="n">
        <v>39504</v>
      </c>
      <c r="G779" s="22" t="s">
        <v>471</v>
      </c>
      <c r="H779" s="23" t="n">
        <f aca="false">COUNTIF(CAL!U:AF,B779)</f>
        <v>2</v>
      </c>
      <c r="I779" s="22" t="n">
        <v>8</v>
      </c>
      <c r="J779" s="20"/>
    </row>
    <row r="780" customFormat="false" ht="15.75" hidden="false" customHeight="true" outlineLevel="0" collapsed="false">
      <c r="B780" s="19" t="n">
        <v>1200</v>
      </c>
      <c r="C780" s="20" t="s">
        <v>2050</v>
      </c>
      <c r="D780" s="20" t="s">
        <v>226</v>
      </c>
      <c r="E780" s="21" t="s">
        <v>2051</v>
      </c>
      <c r="F780" s="21" t="n">
        <v>37148</v>
      </c>
      <c r="G780" s="22" t="s">
        <v>471</v>
      </c>
      <c r="H780" s="23" t="n">
        <f aca="false">COUNTIF(CAL!U:AF,B780)</f>
        <v>2</v>
      </c>
      <c r="I780" s="22" t="n">
        <v>8</v>
      </c>
      <c r="J780" s="20"/>
    </row>
    <row r="781" customFormat="false" ht="15.75" hidden="false" customHeight="true" outlineLevel="0" collapsed="false">
      <c r="B781" s="19" t="n">
        <v>2031</v>
      </c>
      <c r="C781" s="20" t="s">
        <v>2052</v>
      </c>
      <c r="D781" s="20" t="s">
        <v>320</v>
      </c>
      <c r="E781" s="21" t="s">
        <v>2053</v>
      </c>
      <c r="F781" s="21" t="n">
        <v>32929</v>
      </c>
      <c r="G781" s="22" t="s">
        <v>471</v>
      </c>
      <c r="H781" s="23" t="n">
        <f aca="false">COUNTIF(CAL!U:AF,B781)</f>
        <v>2</v>
      </c>
      <c r="I781" s="22" t="n">
        <v>8</v>
      </c>
      <c r="J781" s="20"/>
    </row>
    <row r="782" customFormat="false" ht="15.75" hidden="false" customHeight="true" outlineLevel="0" collapsed="false">
      <c r="B782" s="19" t="n">
        <v>1390</v>
      </c>
      <c r="C782" s="20" t="s">
        <v>2054</v>
      </c>
      <c r="D782" s="20" t="s">
        <v>258</v>
      </c>
      <c r="E782" s="24" t="s">
        <v>2055</v>
      </c>
      <c r="F782" s="21" t="n">
        <v>36708</v>
      </c>
      <c r="G782" s="22" t="s">
        <v>471</v>
      </c>
      <c r="H782" s="23" t="n">
        <f aca="false">COUNTIF(CAL!U:AF,B782)</f>
        <v>2</v>
      </c>
      <c r="I782" s="22" t="n">
        <v>8</v>
      </c>
      <c r="J782" s="20"/>
    </row>
    <row r="783" customFormat="false" ht="15.75" hidden="false" customHeight="true" outlineLevel="0" collapsed="false">
      <c r="B783" s="19" t="n">
        <v>2083</v>
      </c>
      <c r="C783" s="20" t="s">
        <v>2056</v>
      </c>
      <c r="D783" s="20" t="s">
        <v>143</v>
      </c>
      <c r="E783" s="24" t="s">
        <v>2057</v>
      </c>
      <c r="F783" s="21" t="n">
        <v>36960</v>
      </c>
      <c r="G783" s="22" t="s">
        <v>471</v>
      </c>
      <c r="H783" s="23" t="n">
        <f aca="false">COUNTIF(CAL!U:AF,B783)</f>
        <v>2</v>
      </c>
      <c r="I783" s="22" t="n">
        <v>8</v>
      </c>
      <c r="J783" s="20"/>
    </row>
    <row r="784" customFormat="false" ht="15.75" hidden="false" customHeight="true" outlineLevel="0" collapsed="false">
      <c r="B784" s="19" t="n">
        <v>2480</v>
      </c>
      <c r="C784" s="20" t="s">
        <v>2058</v>
      </c>
      <c r="D784" s="20" t="s">
        <v>42</v>
      </c>
      <c r="E784" s="21" t="s">
        <v>2059</v>
      </c>
      <c r="F784" s="21" t="n">
        <v>38119</v>
      </c>
      <c r="G784" s="22" t="s">
        <v>471</v>
      </c>
      <c r="H784" s="23" t="n">
        <f aca="false">COUNTIF(CAL!U:AF,B784)</f>
        <v>2</v>
      </c>
      <c r="I784" s="22" t="n">
        <v>8</v>
      </c>
      <c r="J784" s="20"/>
    </row>
    <row r="785" customFormat="false" ht="15.75" hidden="false" customHeight="true" outlineLevel="0" collapsed="false">
      <c r="B785" s="19" t="n">
        <v>1237</v>
      </c>
      <c r="C785" s="20" t="s">
        <v>2060</v>
      </c>
      <c r="D785" s="20" t="s">
        <v>161</v>
      </c>
      <c r="E785" s="21" t="s">
        <v>2061</v>
      </c>
      <c r="F785" s="21" t="n">
        <v>32281</v>
      </c>
      <c r="G785" s="22" t="s">
        <v>471</v>
      </c>
      <c r="H785" s="23" t="n">
        <f aca="false">COUNTIF(CAL!U:AF,B785)</f>
        <v>2</v>
      </c>
      <c r="I785" s="22" t="n">
        <v>8</v>
      </c>
      <c r="J785" s="20"/>
    </row>
    <row r="786" customFormat="false" ht="15.75" hidden="false" customHeight="true" outlineLevel="0" collapsed="false">
      <c r="B786" s="19" t="n">
        <v>3418</v>
      </c>
      <c r="C786" s="20" t="s">
        <v>2062</v>
      </c>
      <c r="D786" s="20" t="s">
        <v>214</v>
      </c>
      <c r="E786" s="21" t="s">
        <v>2063</v>
      </c>
      <c r="F786" s="21" t="n">
        <v>36289</v>
      </c>
      <c r="G786" s="22" t="s">
        <v>471</v>
      </c>
      <c r="H786" s="23" t="n">
        <f aca="false">COUNTIF(CAL!U:AF,B786)</f>
        <v>2</v>
      </c>
      <c r="I786" s="22" t="n">
        <v>8</v>
      </c>
      <c r="J786" s="20"/>
    </row>
    <row r="787" customFormat="false" ht="15.75" hidden="false" customHeight="true" outlineLevel="0" collapsed="false">
      <c r="B787" s="19" t="n">
        <v>1092</v>
      </c>
      <c r="C787" s="20" t="s">
        <v>2064</v>
      </c>
      <c r="D787" s="20" t="s">
        <v>134</v>
      </c>
      <c r="E787" s="21" t="s">
        <v>2065</v>
      </c>
      <c r="F787" s="21" t="n">
        <v>39149</v>
      </c>
      <c r="G787" s="22" t="s">
        <v>471</v>
      </c>
      <c r="H787" s="23" t="n">
        <f aca="false">COUNTIF(CAL!U:AF,B787)</f>
        <v>2</v>
      </c>
      <c r="I787" s="22" t="n">
        <v>8</v>
      </c>
      <c r="J787" s="20"/>
    </row>
    <row r="788" customFormat="false" ht="15.75" hidden="false" customHeight="true" outlineLevel="0" collapsed="false">
      <c r="B788" s="19" t="n">
        <v>3354</v>
      </c>
      <c r="C788" s="20" t="s">
        <v>2066</v>
      </c>
      <c r="D788" s="20" t="s">
        <v>361</v>
      </c>
      <c r="E788" s="21" t="s">
        <v>2067</v>
      </c>
      <c r="F788" s="21" t="n">
        <v>37112</v>
      </c>
      <c r="G788" s="22" t="s">
        <v>471</v>
      </c>
      <c r="H788" s="23" t="n">
        <f aca="false">COUNTIF(CAL!U:AF,B788)</f>
        <v>2</v>
      </c>
      <c r="I788" s="22" t="n">
        <v>8</v>
      </c>
      <c r="J788" s="20"/>
    </row>
    <row r="789" customFormat="false" ht="15.75" hidden="false" customHeight="true" outlineLevel="0" collapsed="false">
      <c r="B789" s="19" t="n">
        <v>1806</v>
      </c>
      <c r="C789" s="20" t="s">
        <v>2068</v>
      </c>
      <c r="D789" s="20" t="s">
        <v>173</v>
      </c>
      <c r="E789" s="21" t="s">
        <v>2069</v>
      </c>
      <c r="F789" s="21" t="n">
        <v>37721</v>
      </c>
      <c r="G789" s="22" t="s">
        <v>471</v>
      </c>
      <c r="H789" s="23" t="n">
        <f aca="false">COUNTIF(CAL!U:AF,B789)</f>
        <v>2</v>
      </c>
      <c r="I789" s="22" t="n">
        <v>8</v>
      </c>
      <c r="J789" s="20"/>
    </row>
    <row r="790" customFormat="false" ht="15.75" hidden="false" customHeight="true" outlineLevel="0" collapsed="false">
      <c r="B790" s="19" t="n">
        <v>1114</v>
      </c>
      <c r="C790" s="20" t="s">
        <v>2070</v>
      </c>
      <c r="D790" s="20" t="s">
        <v>153</v>
      </c>
      <c r="E790" s="21" t="s">
        <v>2071</v>
      </c>
      <c r="F790" s="21" t="n">
        <v>36481</v>
      </c>
      <c r="G790" s="22" t="s">
        <v>471</v>
      </c>
      <c r="H790" s="23" t="n">
        <f aca="false">COUNTIF(CAL!U:AF,B790)</f>
        <v>2</v>
      </c>
      <c r="I790" s="22" t="n">
        <v>8</v>
      </c>
      <c r="J790" s="20"/>
    </row>
    <row r="791" customFormat="false" ht="15.75" hidden="false" customHeight="true" outlineLevel="0" collapsed="false">
      <c r="B791" s="19" t="n">
        <v>2390</v>
      </c>
      <c r="C791" s="20" t="s">
        <v>2072</v>
      </c>
      <c r="D791" s="20" t="s">
        <v>329</v>
      </c>
      <c r="E791" s="21" t="s">
        <v>2073</v>
      </c>
      <c r="F791" s="21" t="n">
        <v>36856</v>
      </c>
      <c r="G791" s="22" t="s">
        <v>471</v>
      </c>
      <c r="H791" s="23" t="n">
        <f aca="false">COUNTIF(CAL!U:AF,B791)</f>
        <v>2</v>
      </c>
      <c r="I791" s="22" t="n">
        <v>8</v>
      </c>
      <c r="J791" s="20"/>
    </row>
    <row r="792" customFormat="false" ht="15.75" hidden="false" customHeight="true" outlineLevel="0" collapsed="false">
      <c r="B792" s="19" t="n">
        <v>2325</v>
      </c>
      <c r="C792" s="20" t="s">
        <v>2074</v>
      </c>
      <c r="D792" s="20" t="s">
        <v>308</v>
      </c>
      <c r="E792" s="21" t="s">
        <v>2075</v>
      </c>
      <c r="F792" s="21" t="n">
        <v>35053</v>
      </c>
      <c r="G792" s="22" t="s">
        <v>471</v>
      </c>
      <c r="H792" s="23" t="n">
        <f aca="false">COUNTIF(CAL!U:AF,B792)</f>
        <v>2</v>
      </c>
      <c r="I792" s="22" t="n">
        <v>8</v>
      </c>
      <c r="J792" s="20"/>
    </row>
    <row r="793" customFormat="false" ht="15.75" hidden="false" customHeight="true" outlineLevel="0" collapsed="false">
      <c r="B793" s="19" t="n">
        <v>2958</v>
      </c>
      <c r="C793" s="20" t="s">
        <v>1578</v>
      </c>
      <c r="D793" s="20" t="s">
        <v>204</v>
      </c>
      <c r="E793" s="21" t="s">
        <v>2076</v>
      </c>
      <c r="F793" s="21" t="n">
        <v>36593</v>
      </c>
      <c r="G793" s="22" t="s">
        <v>471</v>
      </c>
      <c r="H793" s="23" t="n">
        <f aca="false">COUNTIF(CAL!U:AF,B793)</f>
        <v>2</v>
      </c>
      <c r="I793" s="22" t="n">
        <v>8</v>
      </c>
      <c r="J793" s="20"/>
    </row>
    <row r="794" customFormat="false" ht="15.75" hidden="false" customHeight="true" outlineLevel="0" collapsed="false">
      <c r="B794" s="19" t="n">
        <v>1368</v>
      </c>
      <c r="C794" s="20" t="s">
        <v>921</v>
      </c>
      <c r="D794" s="20" t="s">
        <v>269</v>
      </c>
      <c r="E794" s="24" t="s">
        <v>2077</v>
      </c>
      <c r="F794" s="21" t="n">
        <v>32318</v>
      </c>
      <c r="G794" s="22" t="s">
        <v>471</v>
      </c>
      <c r="H794" s="23" t="n">
        <f aca="false">COUNTIF(CAL!U:AF,B794)</f>
        <v>2</v>
      </c>
      <c r="I794" s="22" t="n">
        <v>8</v>
      </c>
      <c r="J794" s="20"/>
    </row>
    <row r="795" customFormat="false" ht="15.75" hidden="false" customHeight="true" outlineLevel="0" collapsed="false">
      <c r="B795" s="19" t="n">
        <v>1069</v>
      </c>
      <c r="C795" s="20" t="s">
        <v>2078</v>
      </c>
      <c r="D795" s="20" t="s">
        <v>119</v>
      </c>
      <c r="E795" s="21" t="s">
        <v>2079</v>
      </c>
      <c r="F795" s="21" t="n">
        <v>33605</v>
      </c>
      <c r="G795" s="22" t="s">
        <v>471</v>
      </c>
      <c r="H795" s="23" t="n">
        <f aca="false">COUNTIF(CAL!U:AF,B795)</f>
        <v>2</v>
      </c>
      <c r="I795" s="22" t="n">
        <v>8</v>
      </c>
      <c r="J795" s="20"/>
    </row>
    <row r="796" customFormat="false" ht="15.75" hidden="false" customHeight="true" outlineLevel="0" collapsed="false">
      <c r="B796" s="19" t="n">
        <v>1470</v>
      </c>
      <c r="C796" s="20" t="s">
        <v>2080</v>
      </c>
      <c r="D796" s="20" t="s">
        <v>223</v>
      </c>
      <c r="E796" s="24" t="s">
        <v>2081</v>
      </c>
      <c r="F796" s="21" t="n">
        <v>35433</v>
      </c>
      <c r="G796" s="22" t="s">
        <v>471</v>
      </c>
      <c r="H796" s="23" t="n">
        <f aca="false">COUNTIF(CAL!U:AF,B796)</f>
        <v>2</v>
      </c>
      <c r="I796" s="22" t="n">
        <v>8</v>
      </c>
      <c r="J796" s="20"/>
    </row>
    <row r="797" customFormat="false" ht="15.75" hidden="false" customHeight="true" outlineLevel="0" collapsed="false">
      <c r="B797" s="19" t="n">
        <v>2435</v>
      </c>
      <c r="C797" s="20" t="s">
        <v>2082</v>
      </c>
      <c r="D797" s="20" t="s">
        <v>184</v>
      </c>
      <c r="E797" s="21" t="s">
        <v>2083</v>
      </c>
      <c r="F797" s="21" t="n">
        <v>34810</v>
      </c>
      <c r="G797" s="22" t="s">
        <v>471</v>
      </c>
      <c r="H797" s="23" t="n">
        <f aca="false">COUNTIF(CAL!U:AF,B797)</f>
        <v>2</v>
      </c>
      <c r="I797" s="22" t="n">
        <v>8</v>
      </c>
      <c r="J797" s="20"/>
    </row>
    <row r="798" customFormat="false" ht="15.75" hidden="false" customHeight="true" outlineLevel="0" collapsed="false">
      <c r="B798" s="19" t="n">
        <v>3260</v>
      </c>
      <c r="C798" s="20" t="s">
        <v>2084</v>
      </c>
      <c r="D798" s="20" t="s">
        <v>372</v>
      </c>
      <c r="E798" s="24" t="s">
        <v>2085</v>
      </c>
      <c r="F798" s="21" t="n">
        <v>38379</v>
      </c>
      <c r="G798" s="22" t="s">
        <v>471</v>
      </c>
      <c r="H798" s="23" t="n">
        <f aca="false">COUNTIF(CAL!U:AF,B798)</f>
        <v>2</v>
      </c>
      <c r="I798" s="22" t="n">
        <v>8</v>
      </c>
      <c r="J798" s="20"/>
    </row>
    <row r="799" customFormat="false" ht="15.75" hidden="false" customHeight="true" outlineLevel="0" collapsed="false">
      <c r="B799" s="19" t="n">
        <v>1227</v>
      </c>
      <c r="C799" s="20" t="s">
        <v>2086</v>
      </c>
      <c r="D799" s="20" t="s">
        <v>43</v>
      </c>
      <c r="E799" s="21" t="s">
        <v>2087</v>
      </c>
      <c r="F799" s="21" t="n">
        <v>35879</v>
      </c>
      <c r="G799" s="22" t="s">
        <v>471</v>
      </c>
      <c r="H799" s="23" t="n">
        <f aca="false">COUNTIF(CAL!U:AF,B799)</f>
        <v>2</v>
      </c>
      <c r="I799" s="22" t="n">
        <v>8</v>
      </c>
      <c r="J799" s="20" t="s">
        <v>2088</v>
      </c>
    </row>
    <row r="800" customFormat="false" ht="15.75" hidden="false" customHeight="true" outlineLevel="0" collapsed="false">
      <c r="B800" s="19" t="n">
        <v>1297</v>
      </c>
      <c r="C800" s="20" t="s">
        <v>2089</v>
      </c>
      <c r="D800" s="20" t="s">
        <v>134</v>
      </c>
      <c r="E800" s="21" t="s">
        <v>2090</v>
      </c>
      <c r="F800" s="21" t="n">
        <v>38758</v>
      </c>
      <c r="G800" s="22" t="s">
        <v>471</v>
      </c>
      <c r="H800" s="23" t="n">
        <f aca="false">COUNTIF(CAL!U:AF,B800)</f>
        <v>2</v>
      </c>
      <c r="I800" s="22" t="n">
        <v>8</v>
      </c>
      <c r="J800" s="20"/>
    </row>
    <row r="801" customFormat="false" ht="15.75" hidden="false" customHeight="true" outlineLevel="0" collapsed="false">
      <c r="B801" s="19" t="n">
        <v>2006</v>
      </c>
      <c r="C801" s="20" t="s">
        <v>2091</v>
      </c>
      <c r="D801" s="20" t="s">
        <v>195</v>
      </c>
      <c r="E801" s="21" t="s">
        <v>2092</v>
      </c>
      <c r="F801" s="21" t="n">
        <v>34382</v>
      </c>
      <c r="G801" s="22" t="s">
        <v>471</v>
      </c>
      <c r="H801" s="23" t="n">
        <f aca="false">COUNTIF(CAL!U:AF,B801)</f>
        <v>2</v>
      </c>
      <c r="I801" s="22" t="n">
        <v>8</v>
      </c>
      <c r="J801" s="20"/>
    </row>
    <row r="802" customFormat="false" ht="15.75" hidden="false" customHeight="true" outlineLevel="0" collapsed="false">
      <c r="B802" s="19" t="n">
        <v>1946</v>
      </c>
      <c r="C802" s="20" t="s">
        <v>2093</v>
      </c>
      <c r="D802" s="20" t="s">
        <v>98</v>
      </c>
      <c r="E802" s="21" t="s">
        <v>2094</v>
      </c>
      <c r="F802" s="21" t="n">
        <v>35773</v>
      </c>
      <c r="G802" s="22" t="s">
        <v>471</v>
      </c>
      <c r="H802" s="23" t="n">
        <f aca="false">COUNTIF(CAL!U:AF,B802)</f>
        <v>2</v>
      </c>
      <c r="I802" s="22" t="n">
        <v>8</v>
      </c>
      <c r="J802" s="20"/>
    </row>
    <row r="803" customFormat="false" ht="15.75" hidden="false" customHeight="true" outlineLevel="0" collapsed="false">
      <c r="B803" s="19" t="n">
        <v>1261</v>
      </c>
      <c r="C803" s="20" t="s">
        <v>2095</v>
      </c>
      <c r="D803" s="20" t="s">
        <v>117</v>
      </c>
      <c r="E803" s="21" t="s">
        <v>2096</v>
      </c>
      <c r="F803" s="21" t="n">
        <v>36376</v>
      </c>
      <c r="G803" s="22" t="s">
        <v>471</v>
      </c>
      <c r="H803" s="23" t="n">
        <f aca="false">COUNTIF(CAL!U:AF,B803)</f>
        <v>2</v>
      </c>
      <c r="I803" s="22" t="n">
        <v>8</v>
      </c>
      <c r="J803" s="20"/>
    </row>
    <row r="804" customFormat="false" ht="15.75" hidden="false" customHeight="true" outlineLevel="0" collapsed="false">
      <c r="B804" s="19" t="n">
        <v>2358</v>
      </c>
      <c r="C804" s="20" t="s">
        <v>2097</v>
      </c>
      <c r="D804" s="20" t="s">
        <v>303</v>
      </c>
      <c r="E804" s="21" t="s">
        <v>2098</v>
      </c>
      <c r="F804" s="21" t="n">
        <v>37294</v>
      </c>
      <c r="G804" s="22" t="s">
        <v>1017</v>
      </c>
      <c r="H804" s="23" t="n">
        <f aca="false">COUNTIF(CAL!U:AF,B804)</f>
        <v>2</v>
      </c>
      <c r="I804" s="22" t="n">
        <v>8</v>
      </c>
      <c r="J804" s="20"/>
    </row>
    <row r="805" customFormat="false" ht="15.75" hidden="false" customHeight="true" outlineLevel="0" collapsed="false">
      <c r="B805" s="19" t="n">
        <v>1315</v>
      </c>
      <c r="C805" s="20" t="s">
        <v>2099</v>
      </c>
      <c r="D805" s="20" t="s">
        <v>215</v>
      </c>
      <c r="E805" s="24" t="s">
        <v>2100</v>
      </c>
      <c r="F805" s="21" t="n">
        <v>37302</v>
      </c>
      <c r="G805" s="22" t="s">
        <v>471</v>
      </c>
      <c r="H805" s="23" t="n">
        <f aca="false">COUNTIF(CAL!U:AF,B805)</f>
        <v>2</v>
      </c>
      <c r="I805" s="22" t="n">
        <v>8</v>
      </c>
      <c r="J805" s="20"/>
    </row>
    <row r="806" customFormat="false" ht="15.75" hidden="false" customHeight="true" outlineLevel="0" collapsed="false">
      <c r="B806" s="19" t="n">
        <v>1813</v>
      </c>
      <c r="C806" s="20" t="s">
        <v>925</v>
      </c>
      <c r="D806" s="20" t="s">
        <v>136</v>
      </c>
      <c r="E806" s="21" t="s">
        <v>2101</v>
      </c>
      <c r="F806" s="21" t="n">
        <v>36923</v>
      </c>
      <c r="G806" s="22" t="s">
        <v>471</v>
      </c>
      <c r="H806" s="23" t="n">
        <f aca="false">COUNTIF(CAL!U:AF,B806)</f>
        <v>2</v>
      </c>
      <c r="I806" s="22" t="n">
        <v>8</v>
      </c>
      <c r="J806" s="20"/>
    </row>
    <row r="807" customFormat="false" ht="15.75" hidden="false" customHeight="true" outlineLevel="0" collapsed="false">
      <c r="B807" s="19" t="n">
        <v>2836</v>
      </c>
      <c r="C807" s="20" t="s">
        <v>1459</v>
      </c>
      <c r="D807" s="20" t="s">
        <v>343</v>
      </c>
      <c r="E807" s="21" t="s">
        <v>2102</v>
      </c>
      <c r="F807" s="21" t="n">
        <v>39393</v>
      </c>
      <c r="G807" s="22" t="s">
        <v>471</v>
      </c>
      <c r="H807" s="23" t="n">
        <f aca="false">COUNTIF(CAL!U:AF,B807)</f>
        <v>2</v>
      </c>
      <c r="I807" s="22" t="n">
        <v>8</v>
      </c>
      <c r="J807" s="20"/>
    </row>
    <row r="808" customFormat="false" ht="15.75" hidden="false" customHeight="true" outlineLevel="0" collapsed="false">
      <c r="B808" s="19" t="n">
        <v>1242</v>
      </c>
      <c r="C808" s="20" t="s">
        <v>2103</v>
      </c>
      <c r="D808" s="20" t="s">
        <v>151</v>
      </c>
      <c r="E808" s="21" t="s">
        <v>2104</v>
      </c>
      <c r="F808" s="21" t="n">
        <v>36122</v>
      </c>
      <c r="G808" s="22" t="s">
        <v>471</v>
      </c>
      <c r="H808" s="23" t="n">
        <f aca="false">COUNTIF(CAL!U:AF,B808)</f>
        <v>2</v>
      </c>
      <c r="I808" s="22" t="n">
        <v>8</v>
      </c>
      <c r="J808" s="20" t="s">
        <v>2105</v>
      </c>
    </row>
    <row r="809" customFormat="false" ht="15.75" hidden="false" customHeight="true" outlineLevel="0" collapsed="false">
      <c r="B809" s="19" t="n">
        <v>1175</v>
      </c>
      <c r="C809" s="20" t="s">
        <v>2106</v>
      </c>
      <c r="D809" s="20" t="s">
        <v>201</v>
      </c>
      <c r="E809" s="21" t="s">
        <v>2107</v>
      </c>
      <c r="F809" s="21" t="n">
        <v>32892</v>
      </c>
      <c r="G809" s="22" t="s">
        <v>471</v>
      </c>
      <c r="H809" s="23" t="n">
        <f aca="false">COUNTIF(CAL!U:AF,B809)</f>
        <v>2</v>
      </c>
      <c r="I809" s="22" t="n">
        <v>8</v>
      </c>
      <c r="J809" s="20"/>
    </row>
    <row r="810" customFormat="false" ht="15.75" hidden="false" customHeight="true" outlineLevel="0" collapsed="false">
      <c r="B810" s="19" t="n">
        <v>1794</v>
      </c>
      <c r="C810" s="20" t="s">
        <v>2108</v>
      </c>
      <c r="D810" s="20" t="s">
        <v>67</v>
      </c>
      <c r="E810" s="21" t="s">
        <v>2109</v>
      </c>
      <c r="F810" s="21" t="n">
        <v>38465</v>
      </c>
      <c r="G810" s="22" t="s">
        <v>471</v>
      </c>
      <c r="H810" s="23" t="n">
        <f aca="false">COUNTIF(CAL!U:AF,B810)</f>
        <v>2</v>
      </c>
      <c r="I810" s="22" t="n">
        <v>8</v>
      </c>
      <c r="J810" s="20"/>
    </row>
    <row r="811" customFormat="false" ht="15.75" hidden="false" customHeight="true" outlineLevel="0" collapsed="false">
      <c r="B811" s="19" t="n">
        <v>1289</v>
      </c>
      <c r="C811" s="20" t="s">
        <v>2110</v>
      </c>
      <c r="D811" s="20" t="s">
        <v>2111</v>
      </c>
      <c r="E811" s="24" t="s">
        <v>2112</v>
      </c>
      <c r="F811" s="21" t="n">
        <v>35068</v>
      </c>
      <c r="G811" s="22" t="s">
        <v>471</v>
      </c>
      <c r="H811" s="23" t="n">
        <f aca="false">COUNTIF(CAL!U:AF,B811)</f>
        <v>2</v>
      </c>
      <c r="I811" s="22" t="n">
        <v>8</v>
      </c>
      <c r="J811" s="20" t="s">
        <v>2113</v>
      </c>
    </row>
    <row r="812" customFormat="false" ht="15.75" hidden="false" customHeight="true" outlineLevel="0" collapsed="false">
      <c r="B812" s="19" t="n">
        <v>2655</v>
      </c>
      <c r="C812" s="20" t="s">
        <v>2114</v>
      </c>
      <c r="D812" s="20" t="s">
        <v>184</v>
      </c>
      <c r="E812" s="21" t="s">
        <v>2115</v>
      </c>
      <c r="F812" s="21" t="n">
        <v>34280</v>
      </c>
      <c r="G812" s="22" t="s">
        <v>471</v>
      </c>
      <c r="H812" s="23" t="n">
        <f aca="false">COUNTIF(CAL!U:AF,B812)</f>
        <v>2</v>
      </c>
      <c r="I812" s="22" t="n">
        <v>8</v>
      </c>
      <c r="J812" s="20"/>
    </row>
    <row r="813" customFormat="false" ht="15.75" hidden="false" customHeight="true" outlineLevel="0" collapsed="false">
      <c r="B813" s="19" t="n">
        <v>2326</v>
      </c>
      <c r="C813" s="20" t="s">
        <v>655</v>
      </c>
      <c r="D813" s="20" t="s">
        <v>315</v>
      </c>
      <c r="E813" s="21" t="s">
        <v>2116</v>
      </c>
      <c r="F813" s="21" t="n">
        <v>34144</v>
      </c>
      <c r="G813" s="22" t="s">
        <v>471</v>
      </c>
      <c r="H813" s="23" t="n">
        <f aca="false">COUNTIF(CAL!U:AF,B813)</f>
        <v>2</v>
      </c>
      <c r="I813" s="22" t="n">
        <v>8</v>
      </c>
      <c r="J813" s="20"/>
    </row>
    <row r="814" customFormat="false" ht="15.75" hidden="false" customHeight="true" outlineLevel="0" collapsed="false">
      <c r="B814" s="19" t="n">
        <v>1897</v>
      </c>
      <c r="C814" s="20" t="s">
        <v>2117</v>
      </c>
      <c r="D814" s="20" t="s">
        <v>58</v>
      </c>
      <c r="E814" s="21" t="s">
        <v>2118</v>
      </c>
      <c r="F814" s="21" t="n">
        <v>38160</v>
      </c>
      <c r="G814" s="22" t="s">
        <v>471</v>
      </c>
      <c r="H814" s="23" t="n">
        <f aca="false">COUNTIF(CAL!U:AF,B814)</f>
        <v>2</v>
      </c>
      <c r="I814" s="22" t="n">
        <v>8</v>
      </c>
      <c r="J814" s="20"/>
    </row>
    <row r="815" customFormat="false" ht="15.75" hidden="false" customHeight="true" outlineLevel="0" collapsed="false">
      <c r="B815" s="19" t="n">
        <v>3110</v>
      </c>
      <c r="C815" s="20" t="s">
        <v>2119</v>
      </c>
      <c r="D815" s="20" t="s">
        <v>369</v>
      </c>
      <c r="E815" s="21" t="s">
        <v>2120</v>
      </c>
      <c r="F815" s="21" t="n">
        <v>38420</v>
      </c>
      <c r="G815" s="22" t="s">
        <v>471</v>
      </c>
      <c r="H815" s="23" t="n">
        <f aca="false">COUNTIF(CAL!U:AF,B815)</f>
        <v>2</v>
      </c>
      <c r="I815" s="22" t="n">
        <v>8</v>
      </c>
      <c r="J815" s="20"/>
    </row>
    <row r="816" customFormat="false" ht="15.75" hidden="false" customHeight="true" outlineLevel="0" collapsed="false">
      <c r="B816" s="19" t="n">
        <v>3205</v>
      </c>
      <c r="C816" s="20" t="s">
        <v>880</v>
      </c>
      <c r="D816" s="20" t="s">
        <v>378</v>
      </c>
      <c r="E816" s="21" t="s">
        <v>2121</v>
      </c>
      <c r="F816" s="21" t="n">
        <v>38006</v>
      </c>
      <c r="G816" s="22" t="s">
        <v>471</v>
      </c>
      <c r="H816" s="23" t="n">
        <f aca="false">COUNTIF(CAL!U:AF,B816)</f>
        <v>2</v>
      </c>
      <c r="I816" s="22" t="n">
        <v>8</v>
      </c>
      <c r="J816" s="20"/>
    </row>
    <row r="817" customFormat="false" ht="15.75" hidden="false" customHeight="true" outlineLevel="0" collapsed="false">
      <c r="B817" s="19" t="n">
        <v>2597</v>
      </c>
      <c r="C817" s="20" t="s">
        <v>2122</v>
      </c>
      <c r="D817" s="20" t="s">
        <v>239</v>
      </c>
      <c r="E817" s="21" t="s">
        <v>2123</v>
      </c>
      <c r="F817" s="21" t="n">
        <v>39246</v>
      </c>
      <c r="G817" s="22" t="s">
        <v>471</v>
      </c>
      <c r="H817" s="23" t="n">
        <f aca="false">COUNTIF(CAL!U:AF,B817)</f>
        <v>2</v>
      </c>
      <c r="I817" s="22" t="n">
        <v>8</v>
      </c>
      <c r="J817" s="20"/>
    </row>
    <row r="818" customFormat="false" ht="15.75" hidden="false" customHeight="true" outlineLevel="0" collapsed="false">
      <c r="B818" s="19" t="n">
        <v>1579</v>
      </c>
      <c r="C818" s="20" t="s">
        <v>2124</v>
      </c>
      <c r="D818" s="20" t="s">
        <v>430</v>
      </c>
      <c r="E818" s="21" t="s">
        <v>2125</v>
      </c>
      <c r="F818" s="21" t="n">
        <v>34101</v>
      </c>
      <c r="G818" s="22" t="s">
        <v>471</v>
      </c>
      <c r="H818" s="23" t="n">
        <f aca="false">COUNTIF(CAL!U:AF,B818)</f>
        <v>2</v>
      </c>
      <c r="I818" s="22" t="n">
        <v>8</v>
      </c>
      <c r="J818" s="20" t="s">
        <v>2126</v>
      </c>
    </row>
    <row r="819" customFormat="false" ht="15.75" hidden="false" customHeight="true" outlineLevel="0" collapsed="false">
      <c r="B819" s="19" t="n">
        <v>3455</v>
      </c>
      <c r="C819" s="20" t="s">
        <v>2127</v>
      </c>
      <c r="D819" s="20" t="s">
        <v>116</v>
      </c>
      <c r="E819" s="21" t="s">
        <v>2128</v>
      </c>
      <c r="F819" s="21" t="n">
        <v>38466</v>
      </c>
      <c r="G819" s="22" t="s">
        <v>504</v>
      </c>
      <c r="H819" s="23" t="n">
        <f aca="false">COUNTIF(CAL!U:AF,B819)</f>
        <v>2</v>
      </c>
      <c r="I819" s="22" t="n">
        <v>8</v>
      </c>
      <c r="J819" s="20"/>
    </row>
    <row r="820" customFormat="false" ht="15.75" hidden="false" customHeight="true" outlineLevel="0" collapsed="false">
      <c r="B820" s="19" t="n">
        <v>1122</v>
      </c>
      <c r="C820" s="20" t="s">
        <v>2129</v>
      </c>
      <c r="D820" s="20" t="s">
        <v>273</v>
      </c>
      <c r="E820" s="21" t="s">
        <v>2130</v>
      </c>
      <c r="F820" s="21" t="n">
        <v>31812</v>
      </c>
      <c r="G820" s="22" t="s">
        <v>471</v>
      </c>
      <c r="H820" s="23" t="n">
        <f aca="false">COUNTIF(CAL!U:AF,B820)</f>
        <v>2</v>
      </c>
      <c r="I820" s="22" t="n">
        <v>8</v>
      </c>
      <c r="J820" s="20"/>
    </row>
    <row r="821" customFormat="false" ht="15.75" hidden="false" customHeight="true" outlineLevel="0" collapsed="false">
      <c r="B821" s="19" t="n">
        <v>1656</v>
      </c>
      <c r="C821" s="20" t="s">
        <v>2131</v>
      </c>
      <c r="D821" s="20" t="s">
        <v>108</v>
      </c>
      <c r="E821" s="21" t="s">
        <v>2132</v>
      </c>
      <c r="F821" s="21" t="n">
        <v>38480</v>
      </c>
      <c r="G821" s="22" t="s">
        <v>471</v>
      </c>
      <c r="H821" s="23" t="n">
        <f aca="false">COUNTIF(CAL!U:AF,B821)</f>
        <v>2</v>
      </c>
      <c r="I821" s="22" t="n">
        <v>8</v>
      </c>
      <c r="J821" s="20"/>
    </row>
    <row r="822" customFormat="false" ht="15.75" hidden="false" customHeight="true" outlineLevel="0" collapsed="false">
      <c r="B822" s="19" t="n">
        <v>1173</v>
      </c>
      <c r="C822" s="20" t="s">
        <v>1886</v>
      </c>
      <c r="D822" s="20" t="s">
        <v>125</v>
      </c>
      <c r="E822" s="21" t="s">
        <v>2133</v>
      </c>
      <c r="F822" s="21" t="n">
        <v>37346</v>
      </c>
      <c r="G822" s="22" t="s">
        <v>471</v>
      </c>
      <c r="H822" s="23" t="n">
        <f aca="false">COUNTIF(CAL!U:AF,B822)</f>
        <v>2</v>
      </c>
      <c r="I822" s="22" t="n">
        <v>8</v>
      </c>
      <c r="J822" s="20" t="s">
        <v>2134</v>
      </c>
    </row>
    <row r="823" customFormat="false" ht="15.75" hidden="false" customHeight="true" outlineLevel="0" collapsed="false">
      <c r="B823" s="19" t="n">
        <v>1199</v>
      </c>
      <c r="C823" s="20" t="s">
        <v>847</v>
      </c>
      <c r="D823" s="20" t="s">
        <v>225</v>
      </c>
      <c r="E823" s="21" t="s">
        <v>2135</v>
      </c>
      <c r="F823" s="21" t="n">
        <v>37659</v>
      </c>
      <c r="G823" s="22" t="s">
        <v>471</v>
      </c>
      <c r="H823" s="23" t="n">
        <f aca="false">COUNTIF(CAL!U:AF,B823)</f>
        <v>2</v>
      </c>
      <c r="I823" s="22" t="n">
        <v>9</v>
      </c>
      <c r="J823" s="20"/>
    </row>
    <row r="824" customFormat="false" ht="15.75" hidden="false" customHeight="true" outlineLevel="0" collapsed="false">
      <c r="B824" s="19" t="n">
        <v>1757</v>
      </c>
      <c r="C824" s="20" t="s">
        <v>2136</v>
      </c>
      <c r="D824" s="20" t="s">
        <v>272</v>
      </c>
      <c r="E824" s="24" t="s">
        <v>2137</v>
      </c>
      <c r="F824" s="21" t="n">
        <v>36348</v>
      </c>
      <c r="G824" s="22" t="s">
        <v>471</v>
      </c>
      <c r="H824" s="23" t="n">
        <f aca="false">COUNTIF(CAL!U:AF,B824)</f>
        <v>2</v>
      </c>
      <c r="I824" s="22" t="n">
        <v>9</v>
      </c>
      <c r="J824" s="20"/>
    </row>
    <row r="825" customFormat="false" ht="15.75" hidden="false" customHeight="true" outlineLevel="0" collapsed="false">
      <c r="B825" s="19" t="n">
        <v>1927</v>
      </c>
      <c r="C825" s="20" t="s">
        <v>2138</v>
      </c>
      <c r="D825" s="20" t="s">
        <v>275</v>
      </c>
      <c r="E825" s="24" t="s">
        <v>2139</v>
      </c>
      <c r="F825" s="21" t="n">
        <v>34887</v>
      </c>
      <c r="G825" s="22" t="s">
        <v>471</v>
      </c>
      <c r="H825" s="23" t="n">
        <f aca="false">COUNTIF(CAL!U:AF,B825)</f>
        <v>2</v>
      </c>
      <c r="I825" s="22" t="n">
        <v>9</v>
      </c>
      <c r="J825" s="20"/>
    </row>
    <row r="826" customFormat="false" ht="15.75" hidden="false" customHeight="true" outlineLevel="0" collapsed="false">
      <c r="B826" s="19" t="n">
        <v>2578</v>
      </c>
      <c r="C826" s="20" t="s">
        <v>2140</v>
      </c>
      <c r="D826" s="20" t="s">
        <v>154</v>
      </c>
      <c r="E826" s="21" t="s">
        <v>2141</v>
      </c>
      <c r="F826" s="21" t="n">
        <v>33544</v>
      </c>
      <c r="G826" s="22" t="s">
        <v>471</v>
      </c>
      <c r="H826" s="23" t="n">
        <f aca="false">COUNTIF(CAL!U:AF,B826)</f>
        <v>2</v>
      </c>
      <c r="I826" s="22" t="n">
        <v>9</v>
      </c>
      <c r="J826" s="20"/>
    </row>
    <row r="827" customFormat="false" ht="15.75" hidden="false" customHeight="true" outlineLevel="0" collapsed="false">
      <c r="B827" s="19" t="n">
        <v>3174</v>
      </c>
      <c r="C827" s="20" t="s">
        <v>2142</v>
      </c>
      <c r="D827" s="20" t="s">
        <v>56</v>
      </c>
      <c r="E827" s="24" t="s">
        <v>2143</v>
      </c>
      <c r="F827" s="21" t="n">
        <v>34471</v>
      </c>
      <c r="G827" s="22" t="s">
        <v>471</v>
      </c>
      <c r="H827" s="23" t="n">
        <f aca="false">COUNTIF(CAL!U:AF,B827)</f>
        <v>2</v>
      </c>
      <c r="I827" s="22" t="n">
        <v>9</v>
      </c>
      <c r="J827" s="20"/>
    </row>
    <row r="828" customFormat="false" ht="15.75" hidden="false" customHeight="true" outlineLevel="0" collapsed="false">
      <c r="B828" s="19" t="n">
        <v>1224</v>
      </c>
      <c r="C828" s="20" t="s">
        <v>2144</v>
      </c>
      <c r="D828" s="20" t="s">
        <v>229</v>
      </c>
      <c r="E828" s="21" t="s">
        <v>2145</v>
      </c>
      <c r="F828" s="21" t="n">
        <v>36408</v>
      </c>
      <c r="G828" s="22" t="s">
        <v>471</v>
      </c>
      <c r="H828" s="23" t="n">
        <f aca="false">COUNTIF(CAL!U:AF,B828)</f>
        <v>2</v>
      </c>
      <c r="I828" s="22" t="n">
        <v>9</v>
      </c>
      <c r="J828" s="20" t="s">
        <v>873</v>
      </c>
    </row>
    <row r="829" customFormat="false" ht="15.75" hidden="false" customHeight="true" outlineLevel="0" collapsed="false">
      <c r="B829" s="19" t="n">
        <v>1867</v>
      </c>
      <c r="C829" s="20" t="s">
        <v>2146</v>
      </c>
      <c r="D829" s="20" t="s">
        <v>197</v>
      </c>
      <c r="E829" s="21" t="s">
        <v>2147</v>
      </c>
      <c r="F829" s="21" t="n">
        <v>33855</v>
      </c>
      <c r="G829" s="22" t="s">
        <v>471</v>
      </c>
      <c r="H829" s="23" t="n">
        <f aca="false">COUNTIF(CAL!U:AF,B829)</f>
        <v>2</v>
      </c>
      <c r="I829" s="22" t="n">
        <v>9</v>
      </c>
      <c r="J829" s="20"/>
    </row>
    <row r="830" customFormat="false" ht="15.75" hidden="false" customHeight="true" outlineLevel="0" collapsed="false">
      <c r="B830" s="19" t="n">
        <v>1620</v>
      </c>
      <c r="C830" s="20" t="s">
        <v>2148</v>
      </c>
      <c r="D830" s="20" t="s">
        <v>250</v>
      </c>
      <c r="E830" s="21" t="s">
        <v>2149</v>
      </c>
      <c r="F830" s="21" t="n">
        <v>35227</v>
      </c>
      <c r="G830" s="22" t="s">
        <v>471</v>
      </c>
      <c r="H830" s="23" t="n">
        <f aca="false">COUNTIF(CAL!U:AF,B830)</f>
        <v>2</v>
      </c>
      <c r="I830" s="22" t="n">
        <v>9</v>
      </c>
      <c r="J830" s="20"/>
    </row>
    <row r="831" customFormat="false" ht="15.75" hidden="false" customHeight="true" outlineLevel="0" collapsed="false">
      <c r="B831" s="19" t="n">
        <v>1833</v>
      </c>
      <c r="C831" s="20" t="s">
        <v>1037</v>
      </c>
      <c r="D831" s="20" t="s">
        <v>316</v>
      </c>
      <c r="E831" s="24" t="s">
        <v>2150</v>
      </c>
      <c r="F831" s="21" t="n">
        <v>35354</v>
      </c>
      <c r="G831" s="22" t="s">
        <v>471</v>
      </c>
      <c r="H831" s="23" t="n">
        <f aca="false">COUNTIF(CAL!U:AF,B831)</f>
        <v>2</v>
      </c>
      <c r="I831" s="22" t="n">
        <v>9</v>
      </c>
      <c r="J831" s="20"/>
    </row>
    <row r="832" customFormat="false" ht="15.75" hidden="false" customHeight="true" outlineLevel="0" collapsed="false">
      <c r="B832" s="19" t="n">
        <v>2152</v>
      </c>
      <c r="C832" s="20" t="s">
        <v>2151</v>
      </c>
      <c r="D832" s="20" t="s">
        <v>319</v>
      </c>
      <c r="E832" s="21" t="s">
        <v>2152</v>
      </c>
      <c r="F832" s="21" t="n">
        <v>37462</v>
      </c>
      <c r="G832" s="22" t="s">
        <v>471</v>
      </c>
      <c r="H832" s="23" t="n">
        <f aca="false">COUNTIF(CAL!U:AF,B832)</f>
        <v>2</v>
      </c>
      <c r="I832" s="22" t="n">
        <v>9</v>
      </c>
      <c r="J832" s="20"/>
    </row>
    <row r="833" customFormat="false" ht="15.75" hidden="false" customHeight="true" outlineLevel="0" collapsed="false">
      <c r="B833" s="19" t="n">
        <v>2905</v>
      </c>
      <c r="C833" s="20" t="s">
        <v>629</v>
      </c>
      <c r="D833" s="20" t="s">
        <v>336</v>
      </c>
      <c r="E833" s="21" t="s">
        <v>2153</v>
      </c>
      <c r="F833" s="21" t="n">
        <v>37278</v>
      </c>
      <c r="G833" s="22" t="s">
        <v>471</v>
      </c>
      <c r="H833" s="23" t="n">
        <f aca="false">COUNTIF(CAL!U:AF,B833)</f>
        <v>2</v>
      </c>
      <c r="I833" s="22" t="n">
        <v>9</v>
      </c>
      <c r="J833" s="20"/>
    </row>
    <row r="834" customFormat="false" ht="15.75" hidden="false" customHeight="true" outlineLevel="0" collapsed="false">
      <c r="B834" s="19" t="n">
        <v>2514</v>
      </c>
      <c r="C834" s="20" t="s">
        <v>2154</v>
      </c>
      <c r="D834" s="20" t="s">
        <v>240</v>
      </c>
      <c r="E834" s="21" t="s">
        <v>2155</v>
      </c>
      <c r="F834" s="21" t="n">
        <v>32196</v>
      </c>
      <c r="G834" s="22" t="s">
        <v>471</v>
      </c>
      <c r="H834" s="23" t="n">
        <f aca="false">COUNTIF(CAL!U:AF,B834)</f>
        <v>2</v>
      </c>
      <c r="I834" s="22" t="n">
        <v>9</v>
      </c>
      <c r="J834" s="20"/>
    </row>
    <row r="835" customFormat="false" ht="15.75" hidden="false" customHeight="true" outlineLevel="0" collapsed="false">
      <c r="B835" s="19" t="n">
        <v>1842</v>
      </c>
      <c r="C835" s="20" t="s">
        <v>2156</v>
      </c>
      <c r="D835" s="20" t="s">
        <v>76</v>
      </c>
      <c r="E835" s="21" t="s">
        <v>2157</v>
      </c>
      <c r="F835" s="21" t="n">
        <v>35861</v>
      </c>
      <c r="G835" s="22" t="s">
        <v>471</v>
      </c>
      <c r="H835" s="23" t="n">
        <f aca="false">COUNTIF(CAL!U:AF,B835)</f>
        <v>2</v>
      </c>
      <c r="I835" s="22" t="n">
        <v>9</v>
      </c>
      <c r="J835" s="20"/>
    </row>
    <row r="836" customFormat="false" ht="15.75" hidden="false" customHeight="true" outlineLevel="0" collapsed="false">
      <c r="B836" s="19" t="n">
        <v>2694</v>
      </c>
      <c r="C836" s="20" t="s">
        <v>2158</v>
      </c>
      <c r="D836" s="20" t="s">
        <v>226</v>
      </c>
      <c r="E836" s="21" t="s">
        <v>2159</v>
      </c>
      <c r="F836" s="21" t="n">
        <v>34166</v>
      </c>
      <c r="G836" s="22" t="s">
        <v>471</v>
      </c>
      <c r="H836" s="23" t="n">
        <f aca="false">COUNTIF(CAL!U:AF,B836)</f>
        <v>2</v>
      </c>
      <c r="I836" s="22" t="n">
        <v>9</v>
      </c>
      <c r="J836" s="20"/>
    </row>
    <row r="837" customFormat="false" ht="15.75" hidden="false" customHeight="true" outlineLevel="0" collapsed="false">
      <c r="B837" s="19" t="n">
        <v>2773</v>
      </c>
      <c r="C837" s="20" t="s">
        <v>2160</v>
      </c>
      <c r="D837" s="20" t="s">
        <v>322</v>
      </c>
      <c r="E837" s="21" t="s">
        <v>2161</v>
      </c>
      <c r="F837" s="21" t="n">
        <v>38207</v>
      </c>
      <c r="G837" s="22" t="s">
        <v>471</v>
      </c>
      <c r="H837" s="23" t="n">
        <f aca="false">COUNTIF(CAL!U:AF,B837)</f>
        <v>2</v>
      </c>
      <c r="I837" s="22" t="n">
        <v>9</v>
      </c>
      <c r="J837" s="20"/>
    </row>
    <row r="838" customFormat="false" ht="15.75" hidden="false" customHeight="true" outlineLevel="0" collapsed="false">
      <c r="B838" s="19" t="n">
        <v>1049</v>
      </c>
      <c r="C838" s="20" t="s">
        <v>2162</v>
      </c>
      <c r="D838" s="20" t="s">
        <v>155</v>
      </c>
      <c r="E838" s="21" t="s">
        <v>2163</v>
      </c>
      <c r="F838" s="21" t="n">
        <v>36573</v>
      </c>
      <c r="G838" s="22" t="s">
        <v>471</v>
      </c>
      <c r="H838" s="23" t="n">
        <f aca="false">COUNTIF(CAL!U:AF,B838)</f>
        <v>2</v>
      </c>
      <c r="I838" s="22" t="n">
        <v>9</v>
      </c>
      <c r="J838" s="20"/>
    </row>
    <row r="839" customFormat="false" ht="15.75" hidden="false" customHeight="true" outlineLevel="0" collapsed="false">
      <c r="B839" s="19" t="n">
        <v>1181</v>
      </c>
      <c r="C839" s="20" t="s">
        <v>2164</v>
      </c>
      <c r="D839" s="20" t="s">
        <v>269</v>
      </c>
      <c r="E839" s="21" t="s">
        <v>2165</v>
      </c>
      <c r="F839" s="21" t="n">
        <v>35216</v>
      </c>
      <c r="G839" s="22" t="s">
        <v>471</v>
      </c>
      <c r="H839" s="23" t="n">
        <f aca="false">COUNTIF(CAL!U:AF,B839)</f>
        <v>2</v>
      </c>
      <c r="I839" s="22" t="n">
        <v>9</v>
      </c>
      <c r="J839" s="20" t="s">
        <v>2166</v>
      </c>
    </row>
    <row r="840" customFormat="false" ht="15.75" hidden="false" customHeight="true" outlineLevel="0" collapsed="false">
      <c r="B840" s="19" t="n">
        <v>2242</v>
      </c>
      <c r="C840" s="20" t="s">
        <v>2167</v>
      </c>
      <c r="D840" s="20" t="s">
        <v>67</v>
      </c>
      <c r="E840" s="21" t="s">
        <v>2168</v>
      </c>
      <c r="F840" s="21" t="n">
        <v>37178</v>
      </c>
      <c r="G840" s="22" t="s">
        <v>481</v>
      </c>
      <c r="H840" s="23" t="n">
        <f aca="false">COUNTIF(CAL!U:AF,B840)</f>
        <v>2</v>
      </c>
      <c r="I840" s="22" t="n">
        <v>9</v>
      </c>
      <c r="J840" s="20"/>
    </row>
    <row r="841" customFormat="false" ht="15.75" hidden="false" customHeight="true" outlineLevel="0" collapsed="false">
      <c r="B841" s="19" t="n">
        <v>3289</v>
      </c>
      <c r="C841" s="20" t="s">
        <v>2169</v>
      </c>
      <c r="D841" s="20" t="s">
        <v>325</v>
      </c>
      <c r="E841" s="24" t="s">
        <v>2170</v>
      </c>
      <c r="F841" s="21" t="n">
        <v>32293</v>
      </c>
      <c r="G841" s="22" t="s">
        <v>471</v>
      </c>
      <c r="H841" s="23" t="n">
        <f aca="false">COUNTIF(CAL!U:AF,B841)</f>
        <v>2</v>
      </c>
      <c r="I841" s="22" t="n">
        <v>9</v>
      </c>
      <c r="J841" s="20"/>
    </row>
    <row r="842" customFormat="false" ht="15.75" hidden="false" customHeight="true" outlineLevel="0" collapsed="false">
      <c r="B842" s="19" t="n">
        <v>2115</v>
      </c>
      <c r="C842" s="20" t="s">
        <v>2171</v>
      </c>
      <c r="D842" s="20" t="s">
        <v>138</v>
      </c>
      <c r="E842" s="21" t="s">
        <v>2172</v>
      </c>
      <c r="F842" s="21" t="n">
        <v>37908</v>
      </c>
      <c r="G842" s="22" t="s">
        <v>2173</v>
      </c>
      <c r="H842" s="23" t="n">
        <f aca="false">COUNTIF(CAL!U:AF,B842)</f>
        <v>2</v>
      </c>
      <c r="I842" s="22" t="n">
        <v>9</v>
      </c>
      <c r="J842" s="20" t="s">
        <v>2174</v>
      </c>
    </row>
    <row r="843" customFormat="false" ht="15.75" hidden="false" customHeight="true" outlineLevel="0" collapsed="false">
      <c r="B843" s="19" t="n">
        <v>3291</v>
      </c>
      <c r="C843" s="20" t="s">
        <v>2175</v>
      </c>
      <c r="D843" s="20" t="s">
        <v>114</v>
      </c>
      <c r="E843" s="24" t="s">
        <v>2176</v>
      </c>
      <c r="F843" s="21" t="n">
        <v>37455</v>
      </c>
      <c r="G843" s="22" t="s">
        <v>471</v>
      </c>
      <c r="H843" s="23" t="n">
        <f aca="false">COUNTIF(CAL!U:AF,B843)</f>
        <v>2</v>
      </c>
      <c r="I843" s="22" t="n">
        <v>9</v>
      </c>
      <c r="J843" s="20"/>
    </row>
    <row r="844" customFormat="false" ht="15.75" hidden="false" customHeight="true" outlineLevel="0" collapsed="false">
      <c r="B844" s="19" t="n">
        <v>1838</v>
      </c>
      <c r="C844" s="20" t="s">
        <v>2177</v>
      </c>
      <c r="D844" s="20" t="s">
        <v>319</v>
      </c>
      <c r="E844" s="21" t="s">
        <v>2178</v>
      </c>
      <c r="F844" s="21" t="n">
        <v>34855</v>
      </c>
      <c r="G844" s="22" t="s">
        <v>471</v>
      </c>
      <c r="H844" s="23" t="n">
        <f aca="false">COUNTIF(CAL!U:AF,B844)</f>
        <v>2</v>
      </c>
      <c r="I844" s="22" t="n">
        <v>9</v>
      </c>
      <c r="J844" s="20"/>
    </row>
    <row r="845" customFormat="false" ht="15.75" hidden="false" customHeight="true" outlineLevel="0" collapsed="false">
      <c r="B845" s="19" t="n">
        <v>2393</v>
      </c>
      <c r="C845" s="20" t="s">
        <v>782</v>
      </c>
      <c r="D845" s="20" t="s">
        <v>50</v>
      </c>
      <c r="E845" s="21" t="s">
        <v>2179</v>
      </c>
      <c r="F845" s="21" t="n">
        <v>37615</v>
      </c>
      <c r="G845" s="22" t="s">
        <v>471</v>
      </c>
      <c r="H845" s="23" t="n">
        <f aca="false">COUNTIF(CAL!U:AF,B845)</f>
        <v>2</v>
      </c>
      <c r="I845" s="22" t="n">
        <v>9</v>
      </c>
      <c r="J845" s="20"/>
    </row>
    <row r="846" customFormat="false" ht="15.75" hidden="false" customHeight="true" outlineLevel="0" collapsed="false">
      <c r="B846" s="19" t="n">
        <v>1978</v>
      </c>
      <c r="C846" s="20" t="s">
        <v>2180</v>
      </c>
      <c r="D846" s="20" t="s">
        <v>265</v>
      </c>
      <c r="E846" s="21" t="s">
        <v>2181</v>
      </c>
      <c r="F846" s="21" t="n">
        <v>36607</v>
      </c>
      <c r="G846" s="22" t="s">
        <v>471</v>
      </c>
      <c r="H846" s="23" t="n">
        <f aca="false">COUNTIF(CAL!U:AF,B846)</f>
        <v>2</v>
      </c>
      <c r="I846" s="22" t="n">
        <v>9</v>
      </c>
      <c r="J846" s="20"/>
    </row>
    <row r="847" customFormat="false" ht="15.75" hidden="false" customHeight="true" outlineLevel="0" collapsed="false">
      <c r="B847" s="19" t="n">
        <v>1565</v>
      </c>
      <c r="C847" s="20" t="s">
        <v>2182</v>
      </c>
      <c r="D847" s="20" t="s">
        <v>295</v>
      </c>
      <c r="E847" s="21" t="s">
        <v>2183</v>
      </c>
      <c r="F847" s="21" t="n">
        <v>37024</v>
      </c>
      <c r="G847" s="22" t="s">
        <v>471</v>
      </c>
      <c r="H847" s="23" t="n">
        <f aca="false">COUNTIF(CAL!U:AF,B847)</f>
        <v>2</v>
      </c>
      <c r="I847" s="22" t="n">
        <v>9</v>
      </c>
      <c r="J847" s="20"/>
    </row>
    <row r="848" customFormat="false" ht="15.75" hidden="false" customHeight="true" outlineLevel="0" collapsed="false">
      <c r="B848" s="19" t="n">
        <v>2911</v>
      </c>
      <c r="C848" s="20" t="s">
        <v>2184</v>
      </c>
      <c r="D848" s="20" t="s">
        <v>369</v>
      </c>
      <c r="E848" s="21" t="s">
        <v>2185</v>
      </c>
      <c r="F848" s="21" t="n">
        <v>36899</v>
      </c>
      <c r="G848" s="22" t="s">
        <v>471</v>
      </c>
      <c r="H848" s="23" t="n">
        <f aca="false">COUNTIF(CAL!U:AF,B848)</f>
        <v>2</v>
      </c>
      <c r="I848" s="22" t="n">
        <v>9</v>
      </c>
      <c r="J848" s="20"/>
    </row>
    <row r="849" customFormat="false" ht="15.75" hidden="false" customHeight="true" outlineLevel="0" collapsed="false">
      <c r="B849" s="19" t="n">
        <v>2577</v>
      </c>
      <c r="C849" s="20" t="s">
        <v>2186</v>
      </c>
      <c r="D849" s="20" t="s">
        <v>295</v>
      </c>
      <c r="E849" s="24" t="s">
        <v>2187</v>
      </c>
      <c r="F849" s="21" t="n">
        <v>32766</v>
      </c>
      <c r="G849" s="22" t="s">
        <v>471</v>
      </c>
      <c r="H849" s="23" t="n">
        <f aca="false">COUNTIF(CAL!U:AF,B849)</f>
        <v>2</v>
      </c>
      <c r="I849" s="22" t="n">
        <v>9</v>
      </c>
      <c r="J849" s="20"/>
    </row>
    <row r="850" customFormat="false" ht="15.75" hidden="false" customHeight="true" outlineLevel="0" collapsed="false">
      <c r="B850" s="19" t="n">
        <v>1664</v>
      </c>
      <c r="C850" s="20" t="s">
        <v>2188</v>
      </c>
      <c r="D850" s="20" t="s">
        <v>74</v>
      </c>
      <c r="E850" s="21" t="s">
        <v>2189</v>
      </c>
      <c r="F850" s="21" t="n">
        <v>36820</v>
      </c>
      <c r="G850" s="22" t="s">
        <v>471</v>
      </c>
      <c r="H850" s="23" t="n">
        <f aca="false">COUNTIF(CAL!U:AF,B850)</f>
        <v>2</v>
      </c>
      <c r="I850" s="22" t="n">
        <v>9</v>
      </c>
      <c r="J850" s="20"/>
    </row>
    <row r="851" customFormat="false" ht="15.75" hidden="false" customHeight="true" outlineLevel="0" collapsed="false">
      <c r="B851" s="19" t="n">
        <v>3389</v>
      </c>
      <c r="C851" s="20" t="s">
        <v>2188</v>
      </c>
      <c r="D851" s="20" t="s">
        <v>266</v>
      </c>
      <c r="E851" s="21" t="s">
        <v>2190</v>
      </c>
      <c r="F851" s="21" t="n">
        <v>38879</v>
      </c>
      <c r="G851" s="22" t="s">
        <v>471</v>
      </c>
      <c r="H851" s="23" t="n">
        <f aca="false">COUNTIF(CAL!U:AF,B851)</f>
        <v>2</v>
      </c>
      <c r="I851" s="22" t="n">
        <v>9</v>
      </c>
      <c r="J851" s="20"/>
    </row>
    <row r="852" customFormat="false" ht="15.75" hidden="false" customHeight="true" outlineLevel="0" collapsed="false">
      <c r="B852" s="19" t="n">
        <v>1643</v>
      </c>
      <c r="C852" s="20" t="s">
        <v>2191</v>
      </c>
      <c r="D852" s="20" t="s">
        <v>49</v>
      </c>
      <c r="E852" s="21" t="s">
        <v>2192</v>
      </c>
      <c r="F852" s="21" t="n">
        <v>38063</v>
      </c>
      <c r="G852" s="22" t="s">
        <v>471</v>
      </c>
      <c r="H852" s="23" t="n">
        <f aca="false">COUNTIF(CAL!U:AF,B852)</f>
        <v>2</v>
      </c>
      <c r="I852" s="22" t="n">
        <v>9</v>
      </c>
      <c r="J852" s="20"/>
    </row>
    <row r="853" customFormat="false" ht="15.75" hidden="false" customHeight="true" outlineLevel="0" collapsed="false">
      <c r="B853" s="19" t="n">
        <v>2352</v>
      </c>
      <c r="C853" s="20" t="s">
        <v>2193</v>
      </c>
      <c r="D853" s="20" t="s">
        <v>122</v>
      </c>
      <c r="E853" s="21" t="s">
        <v>2194</v>
      </c>
      <c r="F853" s="21" t="n">
        <v>35257</v>
      </c>
      <c r="G853" s="22" t="s">
        <v>471</v>
      </c>
      <c r="H853" s="23" t="n">
        <f aca="false">COUNTIF(CAL!U:AF,B853)</f>
        <v>2</v>
      </c>
      <c r="I853" s="22" t="n">
        <v>9</v>
      </c>
      <c r="J853" s="20"/>
    </row>
    <row r="854" customFormat="false" ht="15.75" hidden="false" customHeight="true" outlineLevel="0" collapsed="false">
      <c r="B854" s="19" t="n">
        <v>1080</v>
      </c>
      <c r="C854" s="20" t="s">
        <v>2195</v>
      </c>
      <c r="D854" s="20" t="s">
        <v>109</v>
      </c>
      <c r="E854" s="21" t="s">
        <v>2196</v>
      </c>
      <c r="F854" s="21" t="n">
        <v>36217</v>
      </c>
      <c r="G854" s="22" t="s">
        <v>471</v>
      </c>
      <c r="H854" s="23" t="n">
        <f aca="false">COUNTIF(CAL!U:AF,B854)</f>
        <v>2</v>
      </c>
      <c r="I854" s="22" t="n">
        <v>9</v>
      </c>
      <c r="J854" s="20"/>
    </row>
    <row r="855" customFormat="false" ht="15.75" hidden="false" customHeight="true" outlineLevel="0" collapsed="false">
      <c r="B855" s="19" t="n">
        <v>3181</v>
      </c>
      <c r="C855" s="20" t="s">
        <v>2197</v>
      </c>
      <c r="D855" s="20" t="s">
        <v>359</v>
      </c>
      <c r="E855" s="21" t="s">
        <v>2198</v>
      </c>
      <c r="F855" s="21" t="n">
        <v>34048</v>
      </c>
      <c r="G855" s="22" t="s">
        <v>471</v>
      </c>
      <c r="H855" s="23" t="n">
        <f aca="false">COUNTIF(CAL!U:AF,B855)</f>
        <v>2</v>
      </c>
      <c r="I855" s="22" t="n">
        <v>9</v>
      </c>
      <c r="J855" s="20"/>
    </row>
    <row r="856" customFormat="false" ht="15.75" hidden="false" customHeight="true" outlineLevel="0" collapsed="false">
      <c r="B856" s="19" t="n">
        <v>1938</v>
      </c>
      <c r="C856" s="20" t="s">
        <v>2199</v>
      </c>
      <c r="D856" s="20" t="s">
        <v>226</v>
      </c>
      <c r="E856" s="21" t="s">
        <v>2200</v>
      </c>
      <c r="F856" s="21" t="n">
        <v>35760</v>
      </c>
      <c r="G856" s="22" t="s">
        <v>471</v>
      </c>
      <c r="H856" s="23" t="n">
        <f aca="false">COUNTIF(CAL!U:AF,B856)</f>
        <v>2</v>
      </c>
      <c r="I856" s="22" t="n">
        <v>9</v>
      </c>
      <c r="J856" s="20"/>
    </row>
    <row r="857" customFormat="false" ht="15.75" hidden="false" customHeight="true" outlineLevel="0" collapsed="false">
      <c r="B857" s="19" t="n">
        <v>1481</v>
      </c>
      <c r="C857" s="20" t="s">
        <v>526</v>
      </c>
      <c r="D857" s="20" t="s">
        <v>250</v>
      </c>
      <c r="E857" s="24" t="s">
        <v>2201</v>
      </c>
      <c r="F857" s="21" t="n">
        <v>34832</v>
      </c>
      <c r="G857" s="22" t="s">
        <v>471</v>
      </c>
      <c r="H857" s="23" t="n">
        <f aca="false">COUNTIF(CAL!U:AF,B857)</f>
        <v>2</v>
      </c>
      <c r="I857" s="22" t="n">
        <v>9</v>
      </c>
      <c r="J857" s="20"/>
    </row>
    <row r="858" customFormat="false" ht="15.75" hidden="false" customHeight="true" outlineLevel="0" collapsed="false">
      <c r="B858" s="19" t="n">
        <v>2227</v>
      </c>
      <c r="C858" s="20" t="s">
        <v>2202</v>
      </c>
      <c r="D858" s="20" t="s">
        <v>332</v>
      </c>
      <c r="E858" s="21" t="s">
        <v>2203</v>
      </c>
      <c r="F858" s="21" t="n">
        <v>37774</v>
      </c>
      <c r="G858" s="22" t="s">
        <v>471</v>
      </c>
      <c r="H858" s="23" t="n">
        <f aca="false">COUNTIF(CAL!U:AF,B858)</f>
        <v>2</v>
      </c>
      <c r="I858" s="22" t="n">
        <v>9</v>
      </c>
      <c r="J858" s="20"/>
    </row>
    <row r="859" customFormat="false" ht="15.75" hidden="false" customHeight="true" outlineLevel="0" collapsed="false">
      <c r="B859" s="19" t="n">
        <v>2576</v>
      </c>
      <c r="C859" s="20" t="s">
        <v>2204</v>
      </c>
      <c r="D859" s="20" t="s">
        <v>295</v>
      </c>
      <c r="E859" s="21" t="s">
        <v>2205</v>
      </c>
      <c r="F859" s="21" t="n">
        <v>38145</v>
      </c>
      <c r="G859" s="22" t="s">
        <v>471</v>
      </c>
      <c r="H859" s="23" t="n">
        <f aca="false">COUNTIF(CAL!U:AF,B859)</f>
        <v>2</v>
      </c>
      <c r="I859" s="22" t="n">
        <v>9</v>
      </c>
      <c r="J859" s="20"/>
    </row>
    <row r="860" customFormat="false" ht="15.75" hidden="false" customHeight="true" outlineLevel="0" collapsed="false">
      <c r="B860" s="19" t="n">
        <v>1356</v>
      </c>
      <c r="C860" s="20" t="s">
        <v>2206</v>
      </c>
      <c r="D860" s="20" t="s">
        <v>231</v>
      </c>
      <c r="E860" s="21" t="s">
        <v>2207</v>
      </c>
      <c r="F860" s="21" t="n">
        <v>35056</v>
      </c>
      <c r="G860" s="22" t="s">
        <v>481</v>
      </c>
      <c r="H860" s="23" t="n">
        <f aca="false">COUNTIF(CAL!U:AF,B860)</f>
        <v>2</v>
      </c>
      <c r="I860" s="22" t="n">
        <v>9</v>
      </c>
      <c r="J860" s="20"/>
    </row>
    <row r="861" customFormat="false" ht="15.75" hidden="false" customHeight="true" outlineLevel="0" collapsed="false">
      <c r="B861" s="19" t="n">
        <v>2237</v>
      </c>
      <c r="C861" s="20" t="s">
        <v>754</v>
      </c>
      <c r="D861" s="20" t="s">
        <v>186</v>
      </c>
      <c r="E861" s="21" t="s">
        <v>2208</v>
      </c>
      <c r="F861" s="21" t="n">
        <v>38155</v>
      </c>
      <c r="G861" s="22" t="s">
        <v>471</v>
      </c>
      <c r="H861" s="23" t="n">
        <f aca="false">COUNTIF(CAL!U:AF,B861)</f>
        <v>2</v>
      </c>
      <c r="I861" s="22" t="n">
        <v>9</v>
      </c>
      <c r="J861" s="20"/>
    </row>
    <row r="862" customFormat="false" ht="15.75" hidden="false" customHeight="true" outlineLevel="0" collapsed="false">
      <c r="B862" s="19" t="n">
        <v>1401</v>
      </c>
      <c r="C862" s="20" t="s">
        <v>2209</v>
      </c>
      <c r="D862" s="20" t="s">
        <v>226</v>
      </c>
      <c r="E862" s="24" t="s">
        <v>2210</v>
      </c>
      <c r="F862" s="21" t="n">
        <v>33804</v>
      </c>
      <c r="G862" s="22" t="s">
        <v>471</v>
      </c>
      <c r="H862" s="23" t="n">
        <f aca="false">COUNTIF(CAL!U:AF,B862)</f>
        <v>2</v>
      </c>
      <c r="I862" s="22" t="n">
        <v>9</v>
      </c>
      <c r="J862" s="20"/>
    </row>
    <row r="863" customFormat="false" ht="15.75" hidden="false" customHeight="true" outlineLevel="0" collapsed="false">
      <c r="B863" s="19" t="n">
        <v>1846</v>
      </c>
      <c r="C863" s="20" t="s">
        <v>2211</v>
      </c>
      <c r="D863" s="20" t="s">
        <v>75</v>
      </c>
      <c r="E863" s="21" t="s">
        <v>2212</v>
      </c>
      <c r="F863" s="21" t="n">
        <v>38083</v>
      </c>
      <c r="G863" s="22" t="s">
        <v>471</v>
      </c>
      <c r="H863" s="23" t="n">
        <f aca="false">COUNTIF(CAL!U:AF,B863)</f>
        <v>2</v>
      </c>
      <c r="I863" s="22" t="n">
        <v>9</v>
      </c>
      <c r="J863" s="20"/>
    </row>
    <row r="864" customFormat="false" ht="15.75" hidden="false" customHeight="true" outlineLevel="0" collapsed="false">
      <c r="B864" s="19" t="n">
        <v>1337</v>
      </c>
      <c r="C864" s="20" t="s">
        <v>2213</v>
      </c>
      <c r="D864" s="20" t="s">
        <v>236</v>
      </c>
      <c r="E864" s="21" t="s">
        <v>2214</v>
      </c>
      <c r="F864" s="21" t="n">
        <v>38072</v>
      </c>
      <c r="G864" s="22" t="s">
        <v>471</v>
      </c>
      <c r="H864" s="23" t="n">
        <f aca="false">COUNTIF(CAL!U:AF,B864)</f>
        <v>2</v>
      </c>
      <c r="I864" s="22" t="n">
        <v>9</v>
      </c>
      <c r="J864" s="20"/>
    </row>
    <row r="865" customFormat="false" ht="15.75" hidden="false" customHeight="true" outlineLevel="0" collapsed="false">
      <c r="B865" s="19" t="n">
        <v>1707</v>
      </c>
      <c r="C865" s="20" t="s">
        <v>2215</v>
      </c>
      <c r="D865" s="20" t="s">
        <v>200</v>
      </c>
      <c r="E865" s="24" t="s">
        <v>2216</v>
      </c>
      <c r="F865" s="21" t="n">
        <v>37749</v>
      </c>
      <c r="G865" s="22" t="s">
        <v>471</v>
      </c>
      <c r="H865" s="23" t="n">
        <f aca="false">COUNTIF(CAL!U:AF,B865)</f>
        <v>2</v>
      </c>
      <c r="I865" s="22" t="n">
        <v>9</v>
      </c>
      <c r="J865" s="20" t="s">
        <v>2217</v>
      </c>
    </row>
    <row r="866" customFormat="false" ht="15.75" hidden="false" customHeight="true" outlineLevel="0" collapsed="false">
      <c r="B866" s="19" t="n">
        <v>3186</v>
      </c>
      <c r="C866" s="20" t="s">
        <v>2218</v>
      </c>
      <c r="D866" s="20" t="s">
        <v>182</v>
      </c>
      <c r="E866" s="21" t="s">
        <v>2219</v>
      </c>
      <c r="F866" s="21" t="n">
        <v>38912</v>
      </c>
      <c r="G866" s="22" t="s">
        <v>471</v>
      </c>
      <c r="H866" s="23" t="n">
        <f aca="false">COUNTIF(CAL!U:AF,B866)</f>
        <v>2</v>
      </c>
      <c r="I866" s="22" t="n">
        <v>9</v>
      </c>
      <c r="J866" s="20"/>
    </row>
    <row r="867" customFormat="false" ht="15.75" hidden="false" customHeight="true" outlineLevel="0" collapsed="false">
      <c r="B867" s="19" t="n">
        <v>1543</v>
      </c>
      <c r="C867" s="20" t="s">
        <v>2220</v>
      </c>
      <c r="D867" s="20" t="s">
        <v>224</v>
      </c>
      <c r="E867" s="24" t="s">
        <v>2221</v>
      </c>
      <c r="F867" s="21" t="n">
        <v>36246</v>
      </c>
      <c r="G867" s="22" t="s">
        <v>471</v>
      </c>
      <c r="H867" s="23" t="n">
        <f aca="false">COUNTIF(CAL!U:AF,B867)</f>
        <v>2</v>
      </c>
      <c r="I867" s="22" t="n">
        <v>9</v>
      </c>
      <c r="J867" s="20"/>
    </row>
    <row r="868" customFormat="false" ht="15.75" hidden="false" customHeight="true" outlineLevel="0" collapsed="false">
      <c r="B868" s="19" t="n">
        <v>3556</v>
      </c>
      <c r="C868" s="20" t="s">
        <v>2222</v>
      </c>
      <c r="D868" s="20" t="s">
        <v>193</v>
      </c>
      <c r="E868" s="24" t="s">
        <v>2223</v>
      </c>
      <c r="F868" s="21" t="n">
        <v>36784</v>
      </c>
      <c r="G868" s="22" t="s">
        <v>471</v>
      </c>
      <c r="H868" s="23" t="n">
        <f aca="false">COUNTIF(CAL!U:AF,B868)</f>
        <v>2</v>
      </c>
      <c r="I868" s="22" t="n">
        <v>9</v>
      </c>
      <c r="J868" s="20"/>
    </row>
    <row r="869" customFormat="false" ht="15.75" hidden="false" customHeight="true" outlineLevel="0" collapsed="false">
      <c r="B869" s="19" t="n">
        <v>3555</v>
      </c>
      <c r="C869" s="20" t="s">
        <v>2224</v>
      </c>
      <c r="D869" s="20" t="s">
        <v>106</v>
      </c>
      <c r="E869" s="21" t="s">
        <v>2225</v>
      </c>
      <c r="F869" s="21" t="n">
        <v>36196</v>
      </c>
      <c r="G869" s="22" t="s">
        <v>471</v>
      </c>
      <c r="H869" s="23" t="n">
        <f aca="false">COUNTIF(CAL!U:AF,B869)</f>
        <v>2</v>
      </c>
      <c r="I869" s="22" t="n">
        <v>9</v>
      </c>
      <c r="J869" s="20"/>
    </row>
    <row r="870" customFormat="false" ht="15.75" hidden="false" customHeight="true" outlineLevel="0" collapsed="false">
      <c r="B870" s="19" t="n">
        <v>1445</v>
      </c>
      <c r="C870" s="20" t="s">
        <v>2226</v>
      </c>
      <c r="D870" s="20" t="s">
        <v>201</v>
      </c>
      <c r="E870" s="21" t="s">
        <v>557</v>
      </c>
      <c r="F870" s="21" t="n">
        <v>36227</v>
      </c>
      <c r="G870" s="22" t="s">
        <v>471</v>
      </c>
      <c r="H870" s="23" t="n">
        <f aca="false">COUNTIF(CAL!U:AF,B870)</f>
        <v>2</v>
      </c>
      <c r="I870" s="22" t="n">
        <v>9</v>
      </c>
      <c r="J870" s="20"/>
    </row>
    <row r="871" customFormat="false" ht="15.75" hidden="false" customHeight="true" outlineLevel="0" collapsed="false">
      <c r="B871" s="19" t="n">
        <v>1538</v>
      </c>
      <c r="C871" s="20" t="s">
        <v>2227</v>
      </c>
      <c r="D871" s="20" t="s">
        <v>326</v>
      </c>
      <c r="E871" s="24" t="s">
        <v>2228</v>
      </c>
      <c r="F871" s="21" t="n">
        <v>35810</v>
      </c>
      <c r="G871" s="22" t="s">
        <v>471</v>
      </c>
      <c r="H871" s="23" t="n">
        <f aca="false">COUNTIF(CAL!U:AF,B871)</f>
        <v>2</v>
      </c>
      <c r="I871" s="22" t="n">
        <v>9</v>
      </c>
      <c r="J871" s="20" t="s">
        <v>2229</v>
      </c>
    </row>
    <row r="872" customFormat="false" ht="15.75" hidden="false" customHeight="true" outlineLevel="0" collapsed="false">
      <c r="B872" s="19" t="n">
        <v>1741</v>
      </c>
      <c r="C872" s="20" t="s">
        <v>2230</v>
      </c>
      <c r="D872" s="20" t="s">
        <v>89</v>
      </c>
      <c r="E872" s="21" t="s">
        <v>2231</v>
      </c>
      <c r="F872" s="21" t="n">
        <v>33914</v>
      </c>
      <c r="G872" s="22" t="s">
        <v>471</v>
      </c>
      <c r="H872" s="23" t="n">
        <f aca="false">COUNTIF(CAL!U:AF,B872)</f>
        <v>2</v>
      </c>
      <c r="I872" s="22" t="n">
        <v>9</v>
      </c>
      <c r="J872" s="20"/>
    </row>
    <row r="873" customFormat="false" ht="15.75" hidden="false" customHeight="true" outlineLevel="0" collapsed="false">
      <c r="B873" s="19" t="n">
        <v>1839</v>
      </c>
      <c r="C873" s="20" t="s">
        <v>925</v>
      </c>
      <c r="D873" s="20" t="s">
        <v>321</v>
      </c>
      <c r="E873" s="21" t="s">
        <v>2232</v>
      </c>
      <c r="F873" s="21" t="n">
        <v>36361</v>
      </c>
      <c r="G873" s="22" t="s">
        <v>471</v>
      </c>
      <c r="H873" s="23" t="n">
        <f aca="false">COUNTIF(CAL!U:AF,B873)</f>
        <v>2</v>
      </c>
      <c r="I873" s="22" t="n">
        <v>9</v>
      </c>
      <c r="J873" s="20"/>
    </row>
    <row r="874" customFormat="false" ht="15.75" hidden="false" customHeight="true" outlineLevel="0" collapsed="false">
      <c r="B874" s="19" t="n">
        <v>1648</v>
      </c>
      <c r="C874" s="20" t="s">
        <v>2233</v>
      </c>
      <c r="D874" s="20" t="s">
        <v>93</v>
      </c>
      <c r="E874" s="21" t="s">
        <v>2234</v>
      </c>
      <c r="F874" s="21" t="n">
        <v>33040</v>
      </c>
      <c r="G874" s="22" t="s">
        <v>471</v>
      </c>
      <c r="H874" s="23" t="n">
        <f aca="false">COUNTIF(CAL!U:AF,B874)</f>
        <v>2</v>
      </c>
      <c r="I874" s="22" t="n">
        <v>9</v>
      </c>
      <c r="J874" s="20"/>
    </row>
    <row r="875" customFormat="false" ht="15.75" hidden="false" customHeight="true" outlineLevel="0" collapsed="false">
      <c r="B875" s="19" t="n">
        <v>1819</v>
      </c>
      <c r="C875" s="20" t="s">
        <v>2235</v>
      </c>
      <c r="D875" s="20" t="s">
        <v>284</v>
      </c>
      <c r="E875" s="21" t="s">
        <v>2236</v>
      </c>
      <c r="F875" s="21" t="n">
        <v>38676</v>
      </c>
      <c r="G875" s="22" t="s">
        <v>471</v>
      </c>
      <c r="H875" s="23" t="n">
        <f aca="false">COUNTIF(CAL!U:AF,B875)</f>
        <v>2</v>
      </c>
      <c r="I875" s="22" t="n">
        <v>9</v>
      </c>
      <c r="J875" s="20"/>
    </row>
    <row r="876" customFormat="false" ht="15.75" hidden="false" customHeight="true" outlineLevel="0" collapsed="false">
      <c r="B876" s="19" t="n">
        <v>2770</v>
      </c>
      <c r="C876" s="20" t="s">
        <v>2237</v>
      </c>
      <c r="D876" s="20" t="s">
        <v>417</v>
      </c>
      <c r="E876" s="21" t="s">
        <v>2238</v>
      </c>
      <c r="F876" s="21" t="n">
        <v>37197</v>
      </c>
      <c r="G876" s="22" t="s">
        <v>504</v>
      </c>
      <c r="H876" s="23" t="n">
        <f aca="false">COUNTIF(CAL!U:AF,B876)</f>
        <v>2</v>
      </c>
      <c r="I876" s="22" t="n">
        <v>9</v>
      </c>
      <c r="J876" s="20" t="s">
        <v>2239</v>
      </c>
    </row>
    <row r="877" customFormat="false" ht="15.75" hidden="false" customHeight="true" outlineLevel="0" collapsed="false">
      <c r="B877" s="19" t="n">
        <v>1218</v>
      </c>
      <c r="C877" s="20" t="s">
        <v>2240</v>
      </c>
      <c r="D877" s="20" t="s">
        <v>300</v>
      </c>
      <c r="E877" s="21" t="s">
        <v>2241</v>
      </c>
      <c r="F877" s="21" t="n">
        <v>33695</v>
      </c>
      <c r="G877" s="22" t="s">
        <v>471</v>
      </c>
      <c r="H877" s="23" t="n">
        <f aca="false">COUNTIF(CAL!U:AF,B877)</f>
        <v>2</v>
      </c>
      <c r="I877" s="22" t="n">
        <v>9</v>
      </c>
      <c r="J877" s="20" t="s">
        <v>2242</v>
      </c>
    </row>
    <row r="878" customFormat="false" ht="15.75" hidden="false" customHeight="true" outlineLevel="0" collapsed="false">
      <c r="B878" s="19" t="n">
        <v>1115</v>
      </c>
      <c r="C878" s="20" t="s">
        <v>2243</v>
      </c>
      <c r="D878" s="20" t="s">
        <v>154</v>
      </c>
      <c r="E878" s="21" t="s">
        <v>2244</v>
      </c>
      <c r="F878" s="21" t="n">
        <v>37542</v>
      </c>
      <c r="G878" s="22" t="s">
        <v>471</v>
      </c>
      <c r="H878" s="23" t="n">
        <f aca="false">COUNTIF(CAL!U:AF,B878)</f>
        <v>2</v>
      </c>
      <c r="I878" s="22" t="n">
        <v>9</v>
      </c>
      <c r="J878" s="20"/>
    </row>
    <row r="879" customFormat="false" ht="15.75" hidden="false" customHeight="true" outlineLevel="0" collapsed="false">
      <c r="B879" s="19" t="n">
        <v>2441</v>
      </c>
      <c r="C879" s="20" t="s">
        <v>2245</v>
      </c>
      <c r="D879" s="20" t="s">
        <v>328</v>
      </c>
      <c r="E879" s="21" t="s">
        <v>2246</v>
      </c>
      <c r="F879" s="21" t="n">
        <v>33587</v>
      </c>
      <c r="G879" s="22" t="s">
        <v>471</v>
      </c>
      <c r="H879" s="23" t="n">
        <f aca="false">COUNTIF(CAL!U:AF,B879)</f>
        <v>2</v>
      </c>
      <c r="I879" s="22" t="n">
        <v>9</v>
      </c>
      <c r="J879" s="20"/>
    </row>
    <row r="880" customFormat="false" ht="15.75" hidden="false" customHeight="true" outlineLevel="0" collapsed="false">
      <c r="B880" s="19" t="n">
        <v>2205</v>
      </c>
      <c r="C880" s="20" t="s">
        <v>2247</v>
      </c>
      <c r="D880" s="20" t="s">
        <v>212</v>
      </c>
      <c r="E880" s="21" t="s">
        <v>2248</v>
      </c>
      <c r="F880" s="21" t="n">
        <v>36229</v>
      </c>
      <c r="G880" s="22" t="s">
        <v>471</v>
      </c>
      <c r="H880" s="23" t="n">
        <f aca="false">COUNTIF(CAL!U:AF,B880)</f>
        <v>2</v>
      </c>
      <c r="I880" s="22" t="n">
        <v>9</v>
      </c>
      <c r="J880" s="20"/>
    </row>
    <row r="881" customFormat="false" ht="15.75" hidden="false" customHeight="true" outlineLevel="0" collapsed="false">
      <c r="B881" s="19" t="n">
        <v>1276</v>
      </c>
      <c r="C881" s="20" t="s">
        <v>637</v>
      </c>
      <c r="D881" s="20" t="s">
        <v>185</v>
      </c>
      <c r="E881" s="21" t="s">
        <v>2249</v>
      </c>
      <c r="F881" s="21" t="n">
        <v>34505</v>
      </c>
      <c r="G881" s="22" t="s">
        <v>471</v>
      </c>
      <c r="H881" s="23" t="n">
        <f aca="false">COUNTIF(CAL!U:AF,B881)</f>
        <v>2</v>
      </c>
      <c r="I881" s="22" t="n">
        <v>9</v>
      </c>
      <c r="J881" s="20"/>
    </row>
    <row r="882" customFormat="false" ht="15.75" hidden="false" customHeight="true" outlineLevel="0" collapsed="false">
      <c r="B882" s="19" t="n">
        <v>1879</v>
      </c>
      <c r="C882" s="20" t="s">
        <v>2250</v>
      </c>
      <c r="D882" s="20" t="s">
        <v>188</v>
      </c>
      <c r="E882" s="21" t="s">
        <v>2251</v>
      </c>
      <c r="F882" s="21" t="n">
        <v>35798</v>
      </c>
      <c r="G882" s="22" t="s">
        <v>471</v>
      </c>
      <c r="H882" s="23" t="n">
        <f aca="false">COUNTIF(CAL!U:AF,B882)</f>
        <v>2</v>
      </c>
      <c r="I882" s="22" t="n">
        <v>9</v>
      </c>
      <c r="J882" s="20"/>
    </row>
    <row r="883" customFormat="false" ht="15.75" hidden="false" customHeight="true" outlineLevel="0" collapsed="false">
      <c r="B883" s="19" t="n">
        <v>2228</v>
      </c>
      <c r="C883" s="20" t="s">
        <v>2252</v>
      </c>
      <c r="D883" s="20" t="s">
        <v>330</v>
      </c>
      <c r="E883" s="21" t="s">
        <v>2253</v>
      </c>
      <c r="F883" s="21" t="n">
        <v>36542</v>
      </c>
      <c r="G883" s="22" t="s">
        <v>471</v>
      </c>
      <c r="H883" s="23" t="n">
        <f aca="false">COUNTIF(CAL!U:AF,B883)</f>
        <v>2</v>
      </c>
      <c r="I883" s="22" t="n">
        <v>9</v>
      </c>
      <c r="J883" s="20"/>
    </row>
    <row r="884" customFormat="false" ht="15.75" hidden="false" customHeight="true" outlineLevel="0" collapsed="false">
      <c r="B884" s="19" t="n">
        <v>2873</v>
      </c>
      <c r="C884" s="20" t="s">
        <v>2254</v>
      </c>
      <c r="D884" s="20" t="s">
        <v>175</v>
      </c>
      <c r="E884" s="21" t="s">
        <v>2255</v>
      </c>
      <c r="F884" s="21" t="n">
        <v>37098</v>
      </c>
      <c r="G884" s="22" t="s">
        <v>471</v>
      </c>
      <c r="H884" s="23" t="n">
        <f aca="false">COUNTIF(CAL!U:AF,B884)</f>
        <v>2</v>
      </c>
      <c r="I884" s="22" t="n">
        <v>9</v>
      </c>
      <c r="J884" s="20"/>
    </row>
    <row r="885" customFormat="false" ht="15.75" hidden="false" customHeight="true" outlineLevel="0" collapsed="false">
      <c r="B885" s="19" t="n">
        <v>1402</v>
      </c>
      <c r="C885" s="20" t="s">
        <v>2256</v>
      </c>
      <c r="D885" s="20" t="s">
        <v>226</v>
      </c>
      <c r="E885" s="24" t="s">
        <v>2257</v>
      </c>
      <c r="F885" s="21" t="n">
        <v>34887</v>
      </c>
      <c r="G885" s="22" t="s">
        <v>471</v>
      </c>
      <c r="H885" s="23" t="n">
        <f aca="false">COUNTIF(CAL!U:AF,B885)</f>
        <v>2</v>
      </c>
      <c r="I885" s="22" t="n">
        <v>9</v>
      </c>
      <c r="J885" s="20"/>
    </row>
    <row r="886" customFormat="false" ht="15.75" hidden="false" customHeight="true" outlineLevel="0" collapsed="false">
      <c r="B886" s="19" t="n">
        <v>1685</v>
      </c>
      <c r="C886" s="20" t="s">
        <v>2258</v>
      </c>
      <c r="D886" s="20" t="s">
        <v>125</v>
      </c>
      <c r="E886" s="21" t="s">
        <v>2259</v>
      </c>
      <c r="F886" s="21" t="n">
        <v>34570</v>
      </c>
      <c r="G886" s="22" t="s">
        <v>471</v>
      </c>
      <c r="H886" s="23" t="n">
        <f aca="false">COUNTIF(CAL!U:AF,B886)</f>
        <v>2</v>
      </c>
      <c r="I886" s="22" t="n">
        <v>9</v>
      </c>
      <c r="J886" s="20" t="s">
        <v>2260</v>
      </c>
    </row>
    <row r="887" customFormat="false" ht="15.75" hidden="false" customHeight="true" outlineLevel="0" collapsed="false">
      <c r="B887" s="19" t="n">
        <v>2161</v>
      </c>
      <c r="C887" s="20" t="s">
        <v>2261</v>
      </c>
      <c r="D887" s="20" t="s">
        <v>348</v>
      </c>
      <c r="E887" s="21" t="s">
        <v>2262</v>
      </c>
      <c r="F887" s="21" t="n">
        <v>36895</v>
      </c>
      <c r="G887" s="22" t="s">
        <v>471</v>
      </c>
      <c r="H887" s="23" t="n">
        <f aca="false">COUNTIF(CAL!U:AF,B887)</f>
        <v>2</v>
      </c>
      <c r="I887" s="22" t="n">
        <v>10</v>
      </c>
      <c r="J887" s="20"/>
    </row>
    <row r="888" customFormat="false" ht="15.75" hidden="false" customHeight="true" outlineLevel="0" collapsed="false">
      <c r="B888" s="19" t="n">
        <v>1008</v>
      </c>
      <c r="C888" s="20" t="s">
        <v>2263</v>
      </c>
      <c r="D888" s="20" t="s">
        <v>42</v>
      </c>
      <c r="E888" s="24" t="s">
        <v>2264</v>
      </c>
      <c r="F888" s="21" t="n">
        <v>36413</v>
      </c>
      <c r="G888" s="22" t="s">
        <v>471</v>
      </c>
      <c r="H888" s="23" t="n">
        <f aca="false">COUNTIF(CAL!U:AF,B888)</f>
        <v>2</v>
      </c>
      <c r="I888" s="22" t="n">
        <v>10</v>
      </c>
      <c r="J888" s="20"/>
    </row>
    <row r="889" customFormat="false" ht="15.75" hidden="false" customHeight="true" outlineLevel="0" collapsed="false">
      <c r="B889" s="19" t="n">
        <v>2000</v>
      </c>
      <c r="C889" s="20" t="s">
        <v>2265</v>
      </c>
      <c r="D889" s="20" t="s">
        <v>129</v>
      </c>
      <c r="E889" s="21" t="s">
        <v>2266</v>
      </c>
      <c r="F889" s="21" t="n">
        <v>32625</v>
      </c>
      <c r="G889" s="22" t="s">
        <v>471</v>
      </c>
      <c r="H889" s="23" t="n">
        <f aca="false">COUNTIF(CAL!U:AF,B889)</f>
        <v>2</v>
      </c>
      <c r="I889" s="22" t="n">
        <v>10</v>
      </c>
      <c r="J889" s="20"/>
    </row>
    <row r="890" customFormat="false" ht="15.75" hidden="false" customHeight="true" outlineLevel="0" collapsed="false">
      <c r="B890" s="19" t="n">
        <v>3070</v>
      </c>
      <c r="C890" s="20" t="s">
        <v>2267</v>
      </c>
      <c r="D890" s="20" t="s">
        <v>178</v>
      </c>
      <c r="E890" s="21" t="s">
        <v>2268</v>
      </c>
      <c r="F890" s="21" t="n">
        <v>36529</v>
      </c>
      <c r="G890" s="22" t="s">
        <v>471</v>
      </c>
      <c r="H890" s="23" t="n">
        <f aca="false">COUNTIF(CAL!U:AF,B890)</f>
        <v>2</v>
      </c>
      <c r="I890" s="22" t="n">
        <v>10</v>
      </c>
      <c r="J890" s="20"/>
    </row>
    <row r="891" customFormat="false" ht="15.75" hidden="false" customHeight="true" outlineLevel="0" collapsed="false">
      <c r="B891" s="19" t="n">
        <v>1483</v>
      </c>
      <c r="C891" s="20" t="s">
        <v>2269</v>
      </c>
      <c r="D891" s="20" t="s">
        <v>216</v>
      </c>
      <c r="E891" s="21" t="s">
        <v>2270</v>
      </c>
      <c r="F891" s="21" t="n">
        <v>35258</v>
      </c>
      <c r="G891" s="22" t="s">
        <v>471</v>
      </c>
      <c r="H891" s="23" t="n">
        <f aca="false">COUNTIF(CAL!U:AF,B891)</f>
        <v>2</v>
      </c>
      <c r="I891" s="22" t="n">
        <v>10</v>
      </c>
      <c r="J891" s="20" t="s">
        <v>2271</v>
      </c>
    </row>
    <row r="892" customFormat="false" ht="15.75" hidden="false" customHeight="true" outlineLevel="0" collapsed="false">
      <c r="B892" s="19" t="n">
        <v>3411</v>
      </c>
      <c r="C892" s="20" t="s">
        <v>2272</v>
      </c>
      <c r="D892" s="20" t="s">
        <v>301</v>
      </c>
      <c r="E892" s="21" t="s">
        <v>2273</v>
      </c>
      <c r="F892" s="21" t="n">
        <v>34813</v>
      </c>
      <c r="G892" s="22" t="s">
        <v>471</v>
      </c>
      <c r="H892" s="23" t="n">
        <f aca="false">COUNTIF(CAL!U:AF,B892)</f>
        <v>2</v>
      </c>
      <c r="I892" s="22" t="n">
        <v>10</v>
      </c>
      <c r="J892" s="20"/>
    </row>
    <row r="893" customFormat="false" ht="15.75" hidden="false" customHeight="true" outlineLevel="0" collapsed="false">
      <c r="B893" s="19" t="n">
        <v>3509</v>
      </c>
      <c r="C893" s="20" t="s">
        <v>2272</v>
      </c>
      <c r="D893" s="20" t="s">
        <v>378</v>
      </c>
      <c r="E893" s="24" t="s">
        <v>2274</v>
      </c>
      <c r="F893" s="21" t="n">
        <v>36127</v>
      </c>
      <c r="G893" s="22" t="s">
        <v>471</v>
      </c>
      <c r="H893" s="23" t="n">
        <f aca="false">COUNTIF(CAL!U:AF,B893)</f>
        <v>2</v>
      </c>
      <c r="I893" s="22" t="n">
        <v>10</v>
      </c>
      <c r="J893" s="20"/>
    </row>
    <row r="894" customFormat="false" ht="15.75" hidden="false" customHeight="true" outlineLevel="0" collapsed="false">
      <c r="B894" s="19" t="n">
        <v>2052</v>
      </c>
      <c r="C894" s="20" t="s">
        <v>2275</v>
      </c>
      <c r="D894" s="20" t="s">
        <v>348</v>
      </c>
      <c r="E894" s="21" t="s">
        <v>2275</v>
      </c>
      <c r="F894" s="21" t="n">
        <v>35262</v>
      </c>
      <c r="G894" s="22" t="s">
        <v>471</v>
      </c>
      <c r="H894" s="23" t="n">
        <f aca="false">COUNTIF(CAL!U:AF,B894)</f>
        <v>2</v>
      </c>
      <c r="I894" s="22" t="n">
        <v>10</v>
      </c>
      <c r="J894" s="20"/>
    </row>
    <row r="895" customFormat="false" ht="15.75" hidden="false" customHeight="true" outlineLevel="0" collapsed="false">
      <c r="B895" s="19" t="n">
        <v>1760</v>
      </c>
      <c r="C895" s="20" t="s">
        <v>2276</v>
      </c>
      <c r="D895" s="20" t="s">
        <v>261</v>
      </c>
      <c r="E895" s="24" t="s">
        <v>2277</v>
      </c>
      <c r="F895" s="21" t="n">
        <v>36066</v>
      </c>
      <c r="G895" s="22" t="s">
        <v>471</v>
      </c>
      <c r="H895" s="23" t="n">
        <f aca="false">COUNTIF(CAL!U:AF,B895)</f>
        <v>2</v>
      </c>
      <c r="I895" s="22" t="n">
        <v>10</v>
      </c>
      <c r="J895" s="20"/>
    </row>
    <row r="896" customFormat="false" ht="15.75" hidden="false" customHeight="true" outlineLevel="0" collapsed="false">
      <c r="B896" s="19" t="n">
        <v>2236</v>
      </c>
      <c r="C896" s="20" t="s">
        <v>1480</v>
      </c>
      <c r="D896" s="20" t="s">
        <v>183</v>
      </c>
      <c r="E896" s="24" t="s">
        <v>2278</v>
      </c>
      <c r="F896" s="21" t="n">
        <v>36276</v>
      </c>
      <c r="G896" s="22" t="s">
        <v>471</v>
      </c>
      <c r="H896" s="23" t="n">
        <f aca="false">COUNTIF(CAL!U:AF,B896)</f>
        <v>2</v>
      </c>
      <c r="I896" s="22" t="n">
        <v>10</v>
      </c>
      <c r="J896" s="20" t="s">
        <v>2279</v>
      </c>
    </row>
    <row r="897" customFormat="false" ht="15.75" hidden="false" customHeight="true" outlineLevel="0" collapsed="false">
      <c r="B897" s="19" t="n">
        <v>1005</v>
      </c>
      <c r="C897" s="20" t="s">
        <v>2280</v>
      </c>
      <c r="D897" s="20" t="s">
        <v>39</v>
      </c>
      <c r="E897" s="24" t="s">
        <v>2281</v>
      </c>
      <c r="F897" s="21" t="n">
        <v>37271</v>
      </c>
      <c r="G897" s="22" t="s">
        <v>770</v>
      </c>
      <c r="H897" s="23" t="n">
        <f aca="false">COUNTIF(CAL!U:AF,B897)</f>
        <v>2</v>
      </c>
      <c r="I897" s="22" t="n">
        <v>10</v>
      </c>
      <c r="J897" s="20"/>
    </row>
    <row r="898" customFormat="false" ht="15.75" hidden="false" customHeight="true" outlineLevel="0" collapsed="false">
      <c r="B898" s="19" t="n">
        <v>2420</v>
      </c>
      <c r="C898" s="20" t="s">
        <v>2282</v>
      </c>
      <c r="D898" s="20" t="s">
        <v>110</v>
      </c>
      <c r="E898" s="21" t="s">
        <v>2283</v>
      </c>
      <c r="F898" s="21" t="n">
        <v>31664</v>
      </c>
      <c r="G898" s="22" t="s">
        <v>471</v>
      </c>
      <c r="H898" s="23" t="n">
        <f aca="false">COUNTIF(CAL!U:AF,B898)</f>
        <v>2</v>
      </c>
      <c r="I898" s="22" t="n">
        <v>10</v>
      </c>
      <c r="J898" s="20"/>
    </row>
    <row r="899" customFormat="false" ht="15.75" hidden="false" customHeight="true" outlineLevel="0" collapsed="false">
      <c r="B899" s="19" t="n">
        <v>3235</v>
      </c>
      <c r="C899" s="20" t="s">
        <v>2284</v>
      </c>
      <c r="D899" s="20" t="s">
        <v>279</v>
      </c>
      <c r="E899" s="21" t="s">
        <v>2285</v>
      </c>
      <c r="F899" s="21" t="n">
        <v>33810</v>
      </c>
      <c r="G899" s="22" t="s">
        <v>471</v>
      </c>
      <c r="H899" s="23" t="n">
        <f aca="false">COUNTIF(CAL!U:AF,B899)</f>
        <v>2</v>
      </c>
      <c r="I899" s="22" t="n">
        <v>10</v>
      </c>
      <c r="J899" s="20"/>
    </row>
    <row r="900" customFormat="false" ht="15.75" hidden="false" customHeight="true" outlineLevel="0" collapsed="false">
      <c r="B900" s="19" t="n">
        <v>1770</v>
      </c>
      <c r="C900" s="20" t="s">
        <v>1820</v>
      </c>
      <c r="D900" s="20" t="s">
        <v>234</v>
      </c>
      <c r="E900" s="21" t="s">
        <v>2286</v>
      </c>
      <c r="F900" s="21" t="n">
        <v>32798</v>
      </c>
      <c r="G900" s="22" t="s">
        <v>471</v>
      </c>
      <c r="H900" s="23" t="n">
        <f aca="false">COUNTIF(CAL!U:AF,B900)</f>
        <v>2</v>
      </c>
      <c r="I900" s="22" t="n">
        <v>10</v>
      </c>
      <c r="J900" s="20"/>
    </row>
    <row r="901" customFormat="false" ht="15.75" hidden="false" customHeight="true" outlineLevel="0" collapsed="false">
      <c r="B901" s="19" t="n">
        <v>1420</v>
      </c>
      <c r="C901" s="20" t="s">
        <v>2287</v>
      </c>
      <c r="D901" s="20" t="s">
        <v>198</v>
      </c>
      <c r="E901" s="21" t="s">
        <v>2288</v>
      </c>
      <c r="F901" s="21" t="n">
        <v>34694</v>
      </c>
      <c r="G901" s="22" t="s">
        <v>471</v>
      </c>
      <c r="H901" s="23" t="n">
        <f aca="false">COUNTIF(CAL!U:AF,B901)</f>
        <v>2</v>
      </c>
      <c r="I901" s="22" t="n">
        <v>10</v>
      </c>
      <c r="J901" s="20"/>
    </row>
    <row r="902" customFormat="false" ht="15.75" hidden="false" customHeight="true" outlineLevel="0" collapsed="false">
      <c r="B902" s="19" t="n">
        <v>1029</v>
      </c>
      <c r="C902" s="20" t="s">
        <v>853</v>
      </c>
      <c r="D902" s="20" t="s">
        <v>56</v>
      </c>
      <c r="E902" s="24" t="s">
        <v>2289</v>
      </c>
      <c r="F902" s="21" t="n">
        <v>33669</v>
      </c>
      <c r="G902" s="22" t="s">
        <v>471</v>
      </c>
      <c r="H902" s="23" t="n">
        <f aca="false">COUNTIF(CAL!U:AF,B902)</f>
        <v>2</v>
      </c>
      <c r="I902" s="22" t="n">
        <v>10</v>
      </c>
      <c r="J902" s="20"/>
    </row>
    <row r="903" customFormat="false" ht="15.75" hidden="false" customHeight="true" outlineLevel="0" collapsed="false">
      <c r="B903" s="19" t="n">
        <v>1678</v>
      </c>
      <c r="C903" s="20" t="s">
        <v>2290</v>
      </c>
      <c r="D903" s="20" t="s">
        <v>123</v>
      </c>
      <c r="E903" s="21" t="s">
        <v>2291</v>
      </c>
      <c r="F903" s="21" t="n">
        <v>33164</v>
      </c>
      <c r="G903" s="22" t="s">
        <v>471</v>
      </c>
      <c r="H903" s="23" t="n">
        <f aca="false">COUNTIF(CAL!U:AF,B903)</f>
        <v>2</v>
      </c>
      <c r="I903" s="22" t="n">
        <v>10</v>
      </c>
      <c r="J903" s="20"/>
    </row>
    <row r="904" customFormat="false" ht="15.75" hidden="false" customHeight="true" outlineLevel="0" collapsed="false">
      <c r="B904" s="19" t="n">
        <v>1964</v>
      </c>
      <c r="C904" s="20" t="s">
        <v>2292</v>
      </c>
      <c r="D904" s="20" t="s">
        <v>158</v>
      </c>
      <c r="E904" s="24" t="s">
        <v>2293</v>
      </c>
      <c r="F904" s="21" t="n">
        <v>36798</v>
      </c>
      <c r="G904" s="22" t="s">
        <v>471</v>
      </c>
      <c r="H904" s="23" t="n">
        <f aca="false">COUNTIF(CAL!U:AF,B904)</f>
        <v>2</v>
      </c>
      <c r="I904" s="22" t="n">
        <v>10</v>
      </c>
      <c r="J904" s="20"/>
    </row>
    <row r="905" customFormat="false" ht="15.75" hidden="false" customHeight="true" outlineLevel="0" collapsed="false">
      <c r="B905" s="19" t="n">
        <v>3341</v>
      </c>
      <c r="C905" s="20" t="s">
        <v>2294</v>
      </c>
      <c r="D905" s="20" t="s">
        <v>285</v>
      </c>
      <c r="E905" s="21" t="s">
        <v>2295</v>
      </c>
      <c r="F905" s="21" t="n">
        <v>36354</v>
      </c>
      <c r="G905" s="22" t="s">
        <v>471</v>
      </c>
      <c r="H905" s="23" t="n">
        <f aca="false">COUNTIF(CAL!U:AF,B905)</f>
        <v>2</v>
      </c>
      <c r="I905" s="22" t="n">
        <v>10</v>
      </c>
      <c r="J905" s="20"/>
    </row>
    <row r="906" customFormat="false" ht="15.75" hidden="false" customHeight="true" outlineLevel="0" collapsed="false">
      <c r="B906" s="19" t="n">
        <v>2902</v>
      </c>
      <c r="C906" s="20" t="s">
        <v>2296</v>
      </c>
      <c r="D906" s="20" t="s">
        <v>167</v>
      </c>
      <c r="E906" s="21" t="s">
        <v>2297</v>
      </c>
      <c r="F906" s="21" t="n">
        <v>39156</v>
      </c>
      <c r="G906" s="22" t="s">
        <v>471</v>
      </c>
      <c r="H906" s="23" t="n">
        <f aca="false">COUNTIF(CAL!U:AF,B906)</f>
        <v>2</v>
      </c>
      <c r="I906" s="22" t="n">
        <v>10</v>
      </c>
      <c r="J906" s="20"/>
    </row>
    <row r="907" customFormat="false" ht="15.75" hidden="false" customHeight="true" outlineLevel="0" collapsed="false">
      <c r="B907" s="19" t="n">
        <v>1387</v>
      </c>
      <c r="C907" s="20" t="s">
        <v>1681</v>
      </c>
      <c r="D907" s="20" t="s">
        <v>83</v>
      </c>
      <c r="E907" s="21" t="s">
        <v>2298</v>
      </c>
      <c r="F907" s="21" t="n">
        <v>37726</v>
      </c>
      <c r="G907" s="22" t="s">
        <v>471</v>
      </c>
      <c r="H907" s="23" t="n">
        <f aca="false">COUNTIF(CAL!U:AF,B907)</f>
        <v>2</v>
      </c>
      <c r="I907" s="22" t="n">
        <v>10</v>
      </c>
      <c r="J907" s="20" t="s">
        <v>2299</v>
      </c>
    </row>
    <row r="908" customFormat="false" ht="15.75" hidden="false" customHeight="true" outlineLevel="0" collapsed="false">
      <c r="B908" s="19" t="n">
        <v>1322</v>
      </c>
      <c r="C908" s="20" t="s">
        <v>2300</v>
      </c>
      <c r="D908" s="20" t="s">
        <v>206</v>
      </c>
      <c r="E908" s="21" t="s">
        <v>2301</v>
      </c>
      <c r="F908" s="21" t="n">
        <v>33107</v>
      </c>
      <c r="G908" s="22" t="s">
        <v>471</v>
      </c>
      <c r="H908" s="23" t="n">
        <f aca="false">COUNTIF(CAL!U:AF,B908)</f>
        <v>2</v>
      </c>
      <c r="I908" s="22" t="n">
        <v>10</v>
      </c>
      <c r="J908" s="20" t="s">
        <v>2302</v>
      </c>
    </row>
    <row r="909" customFormat="false" ht="15.75" hidden="false" customHeight="true" outlineLevel="0" collapsed="false">
      <c r="B909" s="19" t="n">
        <v>1529</v>
      </c>
      <c r="C909" s="20" t="s">
        <v>2303</v>
      </c>
      <c r="D909" s="20" t="s">
        <v>108</v>
      </c>
      <c r="E909" s="21" t="s">
        <v>2304</v>
      </c>
      <c r="F909" s="21" t="n">
        <v>34127</v>
      </c>
      <c r="G909" s="22" t="s">
        <v>471</v>
      </c>
      <c r="H909" s="23" t="n">
        <f aca="false">COUNTIF(CAL!U:AF,B909)</f>
        <v>2</v>
      </c>
      <c r="I909" s="22" t="n">
        <v>10</v>
      </c>
      <c r="J909" s="20"/>
    </row>
    <row r="910" customFormat="false" ht="15.75" hidden="false" customHeight="true" outlineLevel="0" collapsed="false">
      <c r="B910" s="19" t="n">
        <v>1793</v>
      </c>
      <c r="C910" s="20" t="s">
        <v>2305</v>
      </c>
      <c r="D910" s="20" t="s">
        <v>51</v>
      </c>
      <c r="E910" s="21" t="s">
        <v>2306</v>
      </c>
      <c r="F910" s="21" t="n">
        <v>35622</v>
      </c>
      <c r="G910" s="22" t="s">
        <v>471</v>
      </c>
      <c r="H910" s="23" t="n">
        <f aca="false">COUNTIF(CAL!U:AF,B910)</f>
        <v>2</v>
      </c>
      <c r="I910" s="22" t="n">
        <v>10</v>
      </c>
      <c r="J910" s="20"/>
    </row>
    <row r="911" customFormat="false" ht="15.75" hidden="false" customHeight="true" outlineLevel="0" collapsed="false">
      <c r="B911" s="19" t="n">
        <v>1265</v>
      </c>
      <c r="C911" s="20" t="s">
        <v>2307</v>
      </c>
      <c r="D911" s="20" t="s">
        <v>116</v>
      </c>
      <c r="E911" s="21" t="s">
        <v>2308</v>
      </c>
      <c r="F911" s="21" t="n">
        <v>37988</v>
      </c>
      <c r="G911" s="22" t="s">
        <v>471</v>
      </c>
      <c r="H911" s="23" t="n">
        <f aca="false">COUNTIF(CAL!U:AF,B911)</f>
        <v>2</v>
      </c>
      <c r="I911" s="22" t="n">
        <v>10</v>
      </c>
      <c r="J911" s="20"/>
    </row>
    <row r="912" customFormat="false" ht="15.75" hidden="false" customHeight="true" outlineLevel="0" collapsed="false">
      <c r="B912" s="19" t="n">
        <v>1251</v>
      </c>
      <c r="C912" s="20" t="s">
        <v>2309</v>
      </c>
      <c r="D912" s="20" t="s">
        <v>44</v>
      </c>
      <c r="E912" s="21" t="s">
        <v>2310</v>
      </c>
      <c r="F912" s="21" t="n">
        <v>34626</v>
      </c>
      <c r="G912" s="22" t="s">
        <v>471</v>
      </c>
      <c r="H912" s="23" t="n">
        <f aca="false">COUNTIF(CAL!U:AF,B912)</f>
        <v>2</v>
      </c>
      <c r="I912" s="22" t="n">
        <v>10</v>
      </c>
      <c r="J912" s="20" t="s">
        <v>1504</v>
      </c>
    </row>
    <row r="913" customFormat="false" ht="15.75" hidden="false" customHeight="true" outlineLevel="0" collapsed="false">
      <c r="B913" s="19" t="n">
        <v>1429</v>
      </c>
      <c r="C913" s="20" t="s">
        <v>2311</v>
      </c>
      <c r="D913" s="20" t="s">
        <v>43</v>
      </c>
      <c r="E913" s="21" t="s">
        <v>2312</v>
      </c>
      <c r="F913" s="21" t="n">
        <v>35145</v>
      </c>
      <c r="G913" s="22" t="s">
        <v>471</v>
      </c>
      <c r="H913" s="23" t="n">
        <f aca="false">COUNTIF(CAL!U:AF,B913)</f>
        <v>2</v>
      </c>
      <c r="I913" s="22" t="n">
        <v>10</v>
      </c>
      <c r="J913" s="20" t="s">
        <v>2313</v>
      </c>
    </row>
    <row r="914" customFormat="false" ht="15.75" hidden="false" customHeight="true" outlineLevel="0" collapsed="false">
      <c r="B914" s="19" t="n">
        <v>1198</v>
      </c>
      <c r="C914" s="20" t="s">
        <v>2314</v>
      </c>
      <c r="D914" s="20" t="s">
        <v>224</v>
      </c>
      <c r="E914" s="21" t="s">
        <v>2315</v>
      </c>
      <c r="F914" s="21" t="n">
        <v>39288</v>
      </c>
      <c r="G914" s="22" t="s">
        <v>471</v>
      </c>
      <c r="H914" s="23" t="n">
        <f aca="false">COUNTIF(CAL!U:AF,B914)</f>
        <v>2</v>
      </c>
      <c r="I914" s="22" t="n">
        <v>10</v>
      </c>
      <c r="J914" s="20"/>
    </row>
    <row r="915" customFormat="false" ht="15.75" hidden="false" customHeight="true" outlineLevel="0" collapsed="false">
      <c r="B915" s="19" t="n">
        <v>1954</v>
      </c>
      <c r="C915" s="20" t="s">
        <v>2316</v>
      </c>
      <c r="D915" s="20" t="s">
        <v>348</v>
      </c>
      <c r="E915" s="21" t="s">
        <v>2317</v>
      </c>
      <c r="F915" s="21" t="n">
        <v>35138</v>
      </c>
      <c r="G915" s="22" t="s">
        <v>471</v>
      </c>
      <c r="H915" s="23" t="n">
        <f aca="false">COUNTIF(CAL!U:AF,B915)</f>
        <v>2</v>
      </c>
      <c r="I915" s="22" t="n">
        <v>10</v>
      </c>
      <c r="J915" s="20"/>
    </row>
    <row r="916" customFormat="false" ht="15.75" hidden="false" customHeight="true" outlineLevel="0" collapsed="false">
      <c r="B916" s="19" t="n">
        <v>1168</v>
      </c>
      <c r="C916" s="20" t="s">
        <v>2318</v>
      </c>
      <c r="D916" s="20" t="s">
        <v>200</v>
      </c>
      <c r="E916" s="21" t="s">
        <v>2319</v>
      </c>
      <c r="F916" s="21" t="n">
        <v>38023</v>
      </c>
      <c r="G916" s="22" t="s">
        <v>471</v>
      </c>
      <c r="H916" s="23" t="n">
        <f aca="false">COUNTIF(CAL!U:AF,B916)</f>
        <v>2</v>
      </c>
      <c r="I916" s="22" t="n">
        <v>10</v>
      </c>
      <c r="J916" s="20"/>
    </row>
    <row r="917" customFormat="false" ht="15.75" hidden="false" customHeight="true" outlineLevel="0" collapsed="false">
      <c r="B917" s="19" t="n">
        <v>2950</v>
      </c>
      <c r="C917" s="20" t="s">
        <v>2320</v>
      </c>
      <c r="D917" s="20" t="s">
        <v>389</v>
      </c>
      <c r="E917" s="21" t="s">
        <v>2321</v>
      </c>
      <c r="F917" s="21" t="n">
        <v>36923</v>
      </c>
      <c r="G917" s="22" t="s">
        <v>471</v>
      </c>
      <c r="H917" s="23" t="n">
        <f aca="false">COUNTIF(CAL!U:AF,B917)</f>
        <v>2</v>
      </c>
      <c r="I917" s="22" t="n">
        <v>10</v>
      </c>
      <c r="J917" s="20" t="s">
        <v>2322</v>
      </c>
    </row>
    <row r="918" customFormat="false" ht="15.75" hidden="false" customHeight="true" outlineLevel="0" collapsed="false">
      <c r="B918" s="19" t="n">
        <v>1197</v>
      </c>
      <c r="C918" s="20" t="s">
        <v>1841</v>
      </c>
      <c r="D918" s="20" t="s">
        <v>224</v>
      </c>
      <c r="E918" s="21" t="s">
        <v>2323</v>
      </c>
      <c r="F918" s="21" t="n">
        <v>38259</v>
      </c>
      <c r="G918" s="22" t="s">
        <v>471</v>
      </c>
      <c r="H918" s="23" t="n">
        <f aca="false">COUNTIF(CAL!U:AF,B918)</f>
        <v>2</v>
      </c>
      <c r="I918" s="22" t="n">
        <v>10</v>
      </c>
      <c r="J918" s="20"/>
    </row>
    <row r="919" customFormat="false" ht="15.75" hidden="false" customHeight="true" outlineLevel="0" collapsed="false">
      <c r="B919" s="19" t="n">
        <v>2120</v>
      </c>
      <c r="C919" s="20" t="s">
        <v>693</v>
      </c>
      <c r="D919" s="20" t="s">
        <v>224</v>
      </c>
      <c r="E919" s="21" t="s">
        <v>2324</v>
      </c>
      <c r="F919" s="21" t="n">
        <v>38921</v>
      </c>
      <c r="G919" s="22" t="s">
        <v>471</v>
      </c>
      <c r="H919" s="23" t="n">
        <f aca="false">COUNTIF(CAL!U:AF,B919)</f>
        <v>2</v>
      </c>
      <c r="I919" s="22" t="n">
        <v>10</v>
      </c>
      <c r="J919" s="20"/>
    </row>
    <row r="920" customFormat="false" ht="15.75" hidden="false" customHeight="true" outlineLevel="0" collapsed="false">
      <c r="B920" s="19" t="n">
        <v>1440</v>
      </c>
      <c r="C920" s="20" t="s">
        <v>2325</v>
      </c>
      <c r="D920" s="20" t="s">
        <v>231</v>
      </c>
      <c r="E920" s="24" t="s">
        <v>2326</v>
      </c>
      <c r="F920" s="21" t="n">
        <v>37671</v>
      </c>
      <c r="G920" s="22" t="s">
        <v>471</v>
      </c>
      <c r="H920" s="23" t="n">
        <f aca="false">COUNTIF(CAL!U:AF,B920)</f>
        <v>2</v>
      </c>
      <c r="I920" s="22" t="n">
        <v>10</v>
      </c>
      <c r="J920" s="20" t="s">
        <v>1102</v>
      </c>
    </row>
    <row r="921" customFormat="false" ht="15.75" hidden="false" customHeight="true" outlineLevel="0" collapsed="false">
      <c r="B921" s="19" t="n">
        <v>2939</v>
      </c>
      <c r="C921" s="20" t="s">
        <v>2080</v>
      </c>
      <c r="D921" s="20" t="s">
        <v>178</v>
      </c>
      <c r="E921" s="21" t="s">
        <v>2327</v>
      </c>
      <c r="F921" s="21" t="n">
        <v>38428</v>
      </c>
      <c r="G921" s="22" t="s">
        <v>471</v>
      </c>
      <c r="H921" s="23" t="n">
        <f aca="false">COUNTIF(CAL!U:AF,B921)</f>
        <v>2</v>
      </c>
      <c r="I921" s="22" t="n">
        <v>10</v>
      </c>
      <c r="J921" s="20"/>
    </row>
    <row r="922" customFormat="false" ht="15.75" hidden="false" customHeight="true" outlineLevel="0" collapsed="false">
      <c r="B922" s="19" t="n">
        <v>1254</v>
      </c>
      <c r="C922" s="20" t="s">
        <v>2328</v>
      </c>
      <c r="D922" s="20" t="s">
        <v>198</v>
      </c>
      <c r="E922" s="21" t="s">
        <v>2329</v>
      </c>
      <c r="F922" s="21" t="n">
        <v>36291</v>
      </c>
      <c r="G922" s="22" t="s">
        <v>471</v>
      </c>
      <c r="H922" s="23" t="n">
        <f aca="false">COUNTIF(CAL!U:AF,B922)</f>
        <v>2</v>
      </c>
      <c r="I922" s="22" t="n">
        <v>10</v>
      </c>
      <c r="J922" s="20"/>
    </row>
    <row r="923" customFormat="false" ht="15.75" hidden="false" customHeight="true" outlineLevel="0" collapsed="false">
      <c r="B923" s="19" t="n">
        <v>3400</v>
      </c>
      <c r="C923" s="20" t="s">
        <v>486</v>
      </c>
      <c r="D923" s="20" t="s">
        <v>310</v>
      </c>
      <c r="E923" s="21" t="s">
        <v>2330</v>
      </c>
      <c r="F923" s="21" t="n">
        <v>37393</v>
      </c>
      <c r="G923" s="22" t="s">
        <v>471</v>
      </c>
      <c r="H923" s="23" t="n">
        <f aca="false">COUNTIF(CAL!U:AF,B923)</f>
        <v>2</v>
      </c>
      <c r="I923" s="22" t="n">
        <v>10</v>
      </c>
      <c r="J923" s="20"/>
    </row>
    <row r="924" customFormat="false" ht="15.75" hidden="false" customHeight="true" outlineLevel="0" collapsed="false">
      <c r="B924" s="19" t="n">
        <v>2755</v>
      </c>
      <c r="C924" s="20" t="s">
        <v>1777</v>
      </c>
      <c r="D924" s="20" t="s">
        <v>158</v>
      </c>
      <c r="E924" s="24" t="s">
        <v>2331</v>
      </c>
      <c r="F924" s="21" t="n">
        <v>35310</v>
      </c>
      <c r="G924" s="22" t="s">
        <v>471</v>
      </c>
      <c r="H924" s="23" t="n">
        <f aca="false">COUNTIF(CAL!U:AF,B924)</f>
        <v>2</v>
      </c>
      <c r="I924" s="22" t="n">
        <v>10</v>
      </c>
      <c r="J924" s="20"/>
    </row>
    <row r="925" customFormat="false" ht="15.75" hidden="false" customHeight="true" outlineLevel="0" collapsed="false">
      <c r="B925" s="19" t="n">
        <v>3214</v>
      </c>
      <c r="C925" s="20" t="s">
        <v>2332</v>
      </c>
      <c r="D925" s="20" t="s">
        <v>143</v>
      </c>
      <c r="E925" s="21" t="s">
        <v>2333</v>
      </c>
      <c r="F925" s="21" t="n">
        <v>36923</v>
      </c>
      <c r="G925" s="22" t="s">
        <v>471</v>
      </c>
      <c r="H925" s="23" t="n">
        <f aca="false">COUNTIF(CAL!U:AF,B925)</f>
        <v>2</v>
      </c>
      <c r="I925" s="22" t="n">
        <v>10</v>
      </c>
      <c r="J925" s="20"/>
    </row>
    <row r="926" customFormat="false" ht="15.75" hidden="false" customHeight="true" outlineLevel="0" collapsed="false">
      <c r="B926" s="19" t="n">
        <v>1116</v>
      </c>
      <c r="C926" s="20" t="s">
        <v>558</v>
      </c>
      <c r="D926" s="20" t="s">
        <v>154</v>
      </c>
      <c r="E926" s="21" t="s">
        <v>2334</v>
      </c>
      <c r="F926" s="21" t="n">
        <v>35276</v>
      </c>
      <c r="G926" s="22" t="s">
        <v>471</v>
      </c>
      <c r="H926" s="23" t="n">
        <f aca="false">COUNTIF(CAL!U:AF,B926)</f>
        <v>2</v>
      </c>
      <c r="I926" s="22" t="n">
        <v>10</v>
      </c>
      <c r="J926" s="20"/>
    </row>
    <row r="927" customFormat="false" ht="15.75" hidden="false" customHeight="true" outlineLevel="0" collapsed="false">
      <c r="B927" s="19" t="n">
        <v>1691</v>
      </c>
      <c r="C927" s="20" t="s">
        <v>1459</v>
      </c>
      <c r="D927" s="20" t="s">
        <v>283</v>
      </c>
      <c r="E927" s="24" t="s">
        <v>1244</v>
      </c>
      <c r="F927" s="21" t="n">
        <v>36945</v>
      </c>
      <c r="G927" s="22" t="s">
        <v>471</v>
      </c>
      <c r="H927" s="23" t="n">
        <f aca="false">COUNTIF(CAL!U:AF,B927)</f>
        <v>2</v>
      </c>
      <c r="I927" s="22" t="n">
        <v>10</v>
      </c>
      <c r="J927" s="20"/>
    </row>
    <row r="928" customFormat="false" ht="15.75" hidden="false" customHeight="true" outlineLevel="0" collapsed="false">
      <c r="B928" s="19" t="n">
        <v>1526</v>
      </c>
      <c r="C928" s="20" t="s">
        <v>1030</v>
      </c>
      <c r="D928" s="20" t="s">
        <v>190</v>
      </c>
      <c r="E928" s="21" t="s">
        <v>2335</v>
      </c>
      <c r="F928" s="21" t="n">
        <v>35439</v>
      </c>
      <c r="G928" s="22" t="s">
        <v>471</v>
      </c>
      <c r="H928" s="23" t="n">
        <f aca="false">COUNTIF(CAL!U:AF,B928)</f>
        <v>2</v>
      </c>
      <c r="I928" s="22" t="n">
        <v>10</v>
      </c>
      <c r="J928" s="20"/>
    </row>
    <row r="929" customFormat="false" ht="15.75" hidden="false" customHeight="true" outlineLevel="0" collapsed="false">
      <c r="B929" s="19" t="n">
        <v>2020</v>
      </c>
      <c r="C929" s="20" t="s">
        <v>2336</v>
      </c>
      <c r="D929" s="20" t="s">
        <v>264</v>
      </c>
      <c r="E929" s="21" t="s">
        <v>2337</v>
      </c>
      <c r="F929" s="21" t="n">
        <v>33473</v>
      </c>
      <c r="G929" s="22" t="s">
        <v>471</v>
      </c>
      <c r="H929" s="23" t="n">
        <f aca="false">COUNTIF(CAL!U:AF,B929)</f>
        <v>2</v>
      </c>
      <c r="I929" s="22" t="n">
        <v>10</v>
      </c>
      <c r="J929" s="20"/>
    </row>
    <row r="930" customFormat="false" ht="15.75" hidden="false" customHeight="true" outlineLevel="0" collapsed="false">
      <c r="B930" s="19" t="n">
        <v>1636</v>
      </c>
      <c r="C930" s="20" t="s">
        <v>584</v>
      </c>
      <c r="D930" s="20" t="s">
        <v>117</v>
      </c>
      <c r="E930" s="24" t="s">
        <v>2338</v>
      </c>
      <c r="F930" s="21" t="n">
        <v>37404</v>
      </c>
      <c r="G930" s="22" t="s">
        <v>471</v>
      </c>
      <c r="H930" s="23" t="n">
        <f aca="false">COUNTIF(CAL!U:AF,B930)</f>
        <v>2</v>
      </c>
      <c r="I930" s="22" t="n">
        <v>10</v>
      </c>
      <c r="J930" s="20"/>
    </row>
    <row r="931" customFormat="false" ht="15.75" hidden="false" customHeight="true" outlineLevel="0" collapsed="false">
      <c r="B931" s="19" t="n">
        <v>2646</v>
      </c>
      <c r="C931" s="20" t="s">
        <v>2339</v>
      </c>
      <c r="D931" s="20" t="s">
        <v>248</v>
      </c>
      <c r="E931" s="21" t="s">
        <v>2340</v>
      </c>
      <c r="F931" s="21" t="n">
        <v>36288</v>
      </c>
      <c r="G931" s="22" t="s">
        <v>471</v>
      </c>
      <c r="H931" s="23" t="n">
        <f aca="false">COUNTIF(CAL!U:AF,B931)</f>
        <v>2</v>
      </c>
      <c r="I931" s="22" t="n">
        <v>10</v>
      </c>
      <c r="J931" s="20"/>
    </row>
    <row r="932" customFormat="false" ht="15.75" hidden="false" customHeight="true" outlineLevel="0" collapsed="false">
      <c r="B932" s="19" t="n">
        <v>2880</v>
      </c>
      <c r="C932" s="20" t="s">
        <v>2341</v>
      </c>
      <c r="D932" s="20" t="s">
        <v>251</v>
      </c>
      <c r="E932" s="21" t="s">
        <v>2342</v>
      </c>
      <c r="F932" s="21" t="n">
        <v>33573</v>
      </c>
      <c r="G932" s="22" t="s">
        <v>471</v>
      </c>
      <c r="H932" s="23" t="n">
        <f aca="false">COUNTIF(CAL!U:AF,B932)</f>
        <v>2</v>
      </c>
      <c r="I932" s="22" t="n">
        <v>10</v>
      </c>
      <c r="J932" s="20"/>
    </row>
    <row r="933" customFormat="false" ht="15.75" hidden="false" customHeight="true" outlineLevel="0" collapsed="false">
      <c r="B933" s="19" t="n">
        <v>2827</v>
      </c>
      <c r="C933" s="20" t="s">
        <v>2343</v>
      </c>
      <c r="D933" s="20" t="s">
        <v>125</v>
      </c>
      <c r="E933" s="21" t="s">
        <v>2344</v>
      </c>
      <c r="F933" s="21" t="n">
        <v>37658</v>
      </c>
      <c r="G933" s="22" t="s">
        <v>481</v>
      </c>
      <c r="H933" s="23" t="n">
        <f aca="false">COUNTIF(CAL!U:AF,B933)</f>
        <v>2</v>
      </c>
      <c r="I933" s="22" t="n">
        <v>10</v>
      </c>
      <c r="J933" s="20"/>
    </row>
    <row r="934" customFormat="false" ht="15.75" hidden="false" customHeight="true" outlineLevel="0" collapsed="false">
      <c r="B934" s="19" t="n">
        <v>2792</v>
      </c>
      <c r="C934" s="20" t="s">
        <v>2345</v>
      </c>
      <c r="D934" s="20" t="s">
        <v>146</v>
      </c>
      <c r="E934" s="21" t="s">
        <v>2346</v>
      </c>
      <c r="F934" s="21" t="n">
        <v>34477</v>
      </c>
      <c r="G934" s="22" t="s">
        <v>471</v>
      </c>
      <c r="H934" s="23" t="n">
        <f aca="false">COUNTIF(CAL!U:AF,B934)</f>
        <v>2</v>
      </c>
      <c r="I934" s="22" t="n">
        <v>10</v>
      </c>
      <c r="J934" s="20"/>
    </row>
    <row r="935" customFormat="false" ht="15.75" hidden="false" customHeight="true" outlineLevel="0" collapsed="false">
      <c r="B935" s="19" t="n">
        <v>2604</v>
      </c>
      <c r="C935" s="20" t="s">
        <v>2347</v>
      </c>
      <c r="D935" s="20" t="s">
        <v>336</v>
      </c>
      <c r="E935" s="21" t="s">
        <v>2348</v>
      </c>
      <c r="F935" s="21" t="n">
        <v>37314</v>
      </c>
      <c r="G935" s="22" t="s">
        <v>471</v>
      </c>
      <c r="H935" s="23" t="n">
        <f aca="false">COUNTIF(CAL!U:AF,B935)</f>
        <v>2</v>
      </c>
      <c r="I935" s="22" t="n">
        <v>10</v>
      </c>
      <c r="J935" s="20"/>
    </row>
    <row r="936" customFormat="false" ht="15.75" hidden="false" customHeight="true" outlineLevel="0" collapsed="false">
      <c r="B936" s="19" t="n">
        <v>2422</v>
      </c>
      <c r="C936" s="20" t="s">
        <v>2349</v>
      </c>
      <c r="D936" s="20" t="s">
        <v>57</v>
      </c>
      <c r="E936" s="21" t="s">
        <v>2350</v>
      </c>
      <c r="F936" s="21" t="n">
        <v>38588</v>
      </c>
      <c r="G936" s="22" t="s">
        <v>471</v>
      </c>
      <c r="H936" s="23" t="n">
        <f aca="false">COUNTIF(CAL!U:AF,B936)</f>
        <v>2</v>
      </c>
      <c r="I936" s="22" t="n">
        <v>10</v>
      </c>
      <c r="J936" s="20"/>
    </row>
    <row r="937" customFormat="false" ht="15.75" hidden="false" customHeight="true" outlineLevel="0" collapsed="false">
      <c r="B937" s="19" t="n">
        <v>2472</v>
      </c>
      <c r="C937" s="20" t="s">
        <v>2351</v>
      </c>
      <c r="D937" s="20" t="s">
        <v>218</v>
      </c>
      <c r="E937" s="21" t="s">
        <v>2352</v>
      </c>
      <c r="F937" s="21" t="n">
        <v>36735</v>
      </c>
      <c r="G937" s="22" t="s">
        <v>471</v>
      </c>
      <c r="H937" s="23" t="n">
        <f aca="false">COUNTIF(CAL!U:AF,B937)</f>
        <v>2</v>
      </c>
      <c r="I937" s="22" t="n">
        <v>11</v>
      </c>
      <c r="J937" s="20"/>
    </row>
    <row r="938" customFormat="false" ht="15.75" hidden="false" customHeight="true" outlineLevel="0" collapsed="false">
      <c r="B938" s="19" t="n">
        <v>1824</v>
      </c>
      <c r="C938" s="20" t="s">
        <v>1804</v>
      </c>
      <c r="D938" s="20" t="s">
        <v>285</v>
      </c>
      <c r="E938" s="21" t="s">
        <v>2353</v>
      </c>
      <c r="F938" s="21" t="n">
        <v>37813</v>
      </c>
      <c r="G938" s="22" t="s">
        <v>471</v>
      </c>
      <c r="H938" s="23" t="n">
        <f aca="false">COUNTIF(CAL!U:AF,B938)</f>
        <v>2</v>
      </c>
      <c r="I938" s="22" t="n">
        <v>11</v>
      </c>
      <c r="J938" s="20"/>
    </row>
    <row r="939" customFormat="false" ht="15.75" hidden="false" customHeight="true" outlineLevel="0" collapsed="false">
      <c r="B939" s="19" t="n">
        <v>1856</v>
      </c>
      <c r="C939" s="20" t="s">
        <v>2354</v>
      </c>
      <c r="D939" s="20" t="s">
        <v>338</v>
      </c>
      <c r="E939" s="24" t="s">
        <v>2355</v>
      </c>
      <c r="F939" s="21" t="n">
        <v>36656</v>
      </c>
      <c r="G939" s="22" t="s">
        <v>471</v>
      </c>
      <c r="H939" s="23" t="n">
        <f aca="false">COUNTIF(CAL!U:AF,B939)</f>
        <v>2</v>
      </c>
      <c r="I939" s="22" t="n">
        <v>11</v>
      </c>
      <c r="J939" s="20"/>
    </row>
    <row r="940" customFormat="false" ht="15.75" hidden="false" customHeight="true" outlineLevel="0" collapsed="false">
      <c r="B940" s="19" t="n">
        <v>2761</v>
      </c>
      <c r="C940" s="20" t="s">
        <v>2356</v>
      </c>
      <c r="D940" s="20" t="s">
        <v>47</v>
      </c>
      <c r="E940" s="21" t="s">
        <v>2357</v>
      </c>
      <c r="F940" s="21" t="n">
        <v>34933</v>
      </c>
      <c r="G940" s="22" t="s">
        <v>471</v>
      </c>
      <c r="H940" s="23" t="n">
        <f aca="false">COUNTIF(CAL!U:AF,B940)</f>
        <v>2</v>
      </c>
      <c r="I940" s="22" t="n">
        <v>11</v>
      </c>
      <c r="J940" s="20"/>
    </row>
    <row r="941" customFormat="false" ht="15.75" hidden="false" customHeight="true" outlineLevel="0" collapsed="false">
      <c r="B941" s="19" t="n">
        <v>2318</v>
      </c>
      <c r="C941" s="20" t="s">
        <v>713</v>
      </c>
      <c r="D941" s="20" t="s">
        <v>223</v>
      </c>
      <c r="E941" s="21" t="s">
        <v>2358</v>
      </c>
      <c r="F941" s="21" t="n">
        <v>37190</v>
      </c>
      <c r="G941" s="22" t="s">
        <v>471</v>
      </c>
      <c r="H941" s="23" t="n">
        <f aca="false">COUNTIF(CAL!U:AF,B941)</f>
        <v>2</v>
      </c>
      <c r="I941" s="22" t="n">
        <v>11</v>
      </c>
      <c r="J941" s="20"/>
    </row>
    <row r="942" customFormat="false" ht="15.75" hidden="false" customHeight="true" outlineLevel="0" collapsed="false">
      <c r="B942" s="19" t="n">
        <v>3578</v>
      </c>
      <c r="C942" s="20" t="s">
        <v>2359</v>
      </c>
      <c r="D942" s="20" t="s">
        <v>442</v>
      </c>
      <c r="E942" s="21" t="s">
        <v>2360</v>
      </c>
      <c r="F942" s="21" t="n">
        <v>36969</v>
      </c>
      <c r="G942" s="22" t="s">
        <v>471</v>
      </c>
      <c r="H942" s="23" t="n">
        <f aca="false">COUNTIF(CAL!U:AF,B942)</f>
        <v>2</v>
      </c>
      <c r="I942" s="22" t="n">
        <v>11</v>
      </c>
      <c r="J942" s="20"/>
    </row>
    <row r="943" customFormat="false" ht="15.75" hidden="false" customHeight="true" outlineLevel="0" collapsed="false">
      <c r="B943" s="19" t="n">
        <v>2601</v>
      </c>
      <c r="C943" s="20" t="s">
        <v>1813</v>
      </c>
      <c r="D943" s="20" t="s">
        <v>330</v>
      </c>
      <c r="E943" s="24" t="s">
        <v>2361</v>
      </c>
      <c r="F943" s="21" t="n">
        <v>37478</v>
      </c>
      <c r="G943" s="22" t="s">
        <v>471</v>
      </c>
      <c r="H943" s="23" t="n">
        <f aca="false">COUNTIF(CAL!U:AF,B943)</f>
        <v>2</v>
      </c>
      <c r="I943" s="22" t="n">
        <v>11</v>
      </c>
      <c r="J943" s="20"/>
    </row>
    <row r="944" customFormat="false" ht="15.75" hidden="false" customHeight="true" outlineLevel="0" collapsed="false">
      <c r="B944" s="19" t="n">
        <v>3395</v>
      </c>
      <c r="C944" s="20" t="s">
        <v>2362</v>
      </c>
      <c r="D944" s="20" t="s">
        <v>318</v>
      </c>
      <c r="E944" s="21" t="s">
        <v>2363</v>
      </c>
      <c r="F944" s="21" t="n">
        <v>37570</v>
      </c>
      <c r="G944" s="22" t="s">
        <v>471</v>
      </c>
      <c r="H944" s="23" t="n">
        <f aca="false">COUNTIF(CAL!U:AF,B944)</f>
        <v>2</v>
      </c>
      <c r="I944" s="22" t="n">
        <v>11</v>
      </c>
      <c r="J944" s="20"/>
    </row>
    <row r="945" customFormat="false" ht="15.75" hidden="false" customHeight="true" outlineLevel="0" collapsed="false">
      <c r="B945" s="19" t="n">
        <v>1432</v>
      </c>
      <c r="C945" s="20" t="s">
        <v>2364</v>
      </c>
      <c r="D945" s="20" t="s">
        <v>44</v>
      </c>
      <c r="E945" s="21" t="s">
        <v>2365</v>
      </c>
      <c r="F945" s="21" t="n">
        <v>35840</v>
      </c>
      <c r="G945" s="22" t="s">
        <v>471</v>
      </c>
      <c r="H945" s="23" t="n">
        <f aca="false">COUNTIF(CAL!U:AF,B945)</f>
        <v>2</v>
      </c>
      <c r="I945" s="22" t="n">
        <v>11</v>
      </c>
      <c r="J945" s="20"/>
    </row>
    <row r="946" customFormat="false" ht="15.75" hidden="false" customHeight="true" outlineLevel="0" collapsed="false">
      <c r="B946" s="19" t="n">
        <v>2151</v>
      </c>
      <c r="C946" s="20" t="s">
        <v>2366</v>
      </c>
      <c r="D946" s="20" t="s">
        <v>318</v>
      </c>
      <c r="E946" s="21" t="s">
        <v>2367</v>
      </c>
      <c r="F946" s="21" t="n">
        <v>33508</v>
      </c>
      <c r="G946" s="22" t="s">
        <v>471</v>
      </c>
      <c r="H946" s="23" t="n">
        <f aca="false">COUNTIF(CAL!U:AF,B946)</f>
        <v>2</v>
      </c>
      <c r="I946" s="22" t="n">
        <v>11</v>
      </c>
      <c r="J946" s="20"/>
    </row>
    <row r="947" customFormat="false" ht="15.75" hidden="false" customHeight="true" outlineLevel="0" collapsed="false">
      <c r="B947" s="19" t="n">
        <v>3296</v>
      </c>
      <c r="C947" s="20" t="s">
        <v>2368</v>
      </c>
      <c r="D947" s="20" t="s">
        <v>155</v>
      </c>
      <c r="E947" s="21" t="s">
        <v>2369</v>
      </c>
      <c r="F947" s="21" t="n">
        <v>32766</v>
      </c>
      <c r="G947" s="22" t="s">
        <v>471</v>
      </c>
      <c r="H947" s="23" t="n">
        <f aca="false">COUNTIF(CAL!U:AF,B947)</f>
        <v>2</v>
      </c>
      <c r="I947" s="22" t="n">
        <v>11</v>
      </c>
      <c r="J947" s="20"/>
    </row>
    <row r="948" customFormat="false" ht="15.75" hidden="false" customHeight="true" outlineLevel="0" collapsed="false">
      <c r="B948" s="19" t="n">
        <v>2354</v>
      </c>
      <c r="C948" s="20" t="s">
        <v>2370</v>
      </c>
      <c r="D948" s="20" t="s">
        <v>359</v>
      </c>
      <c r="E948" s="21" t="s">
        <v>2371</v>
      </c>
      <c r="F948" s="21" t="n">
        <v>35435</v>
      </c>
      <c r="G948" s="22" t="s">
        <v>471</v>
      </c>
      <c r="H948" s="23" t="n">
        <f aca="false">COUNTIF(CAL!U:AF,B948)</f>
        <v>2</v>
      </c>
      <c r="I948" s="22" t="n">
        <v>11</v>
      </c>
      <c r="J948" s="20" t="s">
        <v>2372</v>
      </c>
    </row>
    <row r="949" customFormat="false" ht="15.75" hidden="false" customHeight="true" outlineLevel="0" collapsed="false">
      <c r="B949" s="19" t="n">
        <v>1416</v>
      </c>
      <c r="C949" s="20" t="s">
        <v>2373</v>
      </c>
      <c r="D949" s="20" t="s">
        <v>253</v>
      </c>
      <c r="E949" s="21" t="s">
        <v>2374</v>
      </c>
      <c r="F949" s="21" t="n">
        <v>33676</v>
      </c>
      <c r="G949" s="22" t="s">
        <v>471</v>
      </c>
      <c r="H949" s="23" t="n">
        <f aca="false">COUNTIF(CAL!U:AF,B949)</f>
        <v>2</v>
      </c>
      <c r="I949" s="22" t="n">
        <v>11</v>
      </c>
      <c r="J949" s="20"/>
    </row>
    <row r="950" customFormat="false" ht="15.75" hidden="false" customHeight="true" outlineLevel="0" collapsed="false">
      <c r="B950" s="19" t="n">
        <v>2139</v>
      </c>
      <c r="C950" s="20" t="s">
        <v>2375</v>
      </c>
      <c r="D950" s="20" t="s">
        <v>290</v>
      </c>
      <c r="E950" s="24" t="s">
        <v>2376</v>
      </c>
      <c r="F950" s="21" t="n">
        <v>35828</v>
      </c>
      <c r="G950" s="22" t="s">
        <v>471</v>
      </c>
      <c r="H950" s="23" t="n">
        <f aca="false">COUNTIF(CAL!U:AF,B950)</f>
        <v>2</v>
      </c>
      <c r="I950" s="22" t="n">
        <v>11</v>
      </c>
      <c r="J950" s="20"/>
    </row>
    <row r="951" customFormat="false" ht="15.75" hidden="false" customHeight="true" outlineLevel="0" collapsed="false">
      <c r="B951" s="19" t="n">
        <v>3351</v>
      </c>
      <c r="C951" s="20" t="s">
        <v>2377</v>
      </c>
      <c r="D951" s="20" t="s">
        <v>366</v>
      </c>
      <c r="E951" s="21" t="s">
        <v>2378</v>
      </c>
      <c r="F951" s="21" t="n">
        <v>32406</v>
      </c>
      <c r="G951" s="22" t="s">
        <v>471</v>
      </c>
      <c r="H951" s="23" t="n">
        <f aca="false">COUNTIF(CAL!U:AF,B951)</f>
        <v>2</v>
      </c>
      <c r="I951" s="22" t="n">
        <v>11</v>
      </c>
      <c r="J951" s="20"/>
    </row>
    <row r="952" customFormat="false" ht="15.75" hidden="false" customHeight="true" outlineLevel="0" collapsed="false">
      <c r="B952" s="19" t="n">
        <v>1493</v>
      </c>
      <c r="C952" s="20" t="s">
        <v>1195</v>
      </c>
      <c r="D952" s="20" t="s">
        <v>280</v>
      </c>
      <c r="E952" s="21" t="s">
        <v>2379</v>
      </c>
      <c r="F952" s="21" t="n">
        <v>37398</v>
      </c>
      <c r="G952" s="22" t="s">
        <v>471</v>
      </c>
      <c r="H952" s="23" t="n">
        <f aca="false">COUNTIF(CAL!U:AF,B952)</f>
        <v>2</v>
      </c>
      <c r="I952" s="22" t="n">
        <v>11</v>
      </c>
      <c r="J952" s="20"/>
    </row>
    <row r="953" customFormat="false" ht="15.75" hidden="false" customHeight="true" outlineLevel="0" collapsed="false">
      <c r="B953" s="19" t="n">
        <v>1693</v>
      </c>
      <c r="C953" s="20" t="s">
        <v>2380</v>
      </c>
      <c r="D953" s="20" t="s">
        <v>279</v>
      </c>
      <c r="E953" s="24" t="s">
        <v>2381</v>
      </c>
      <c r="F953" s="21" t="n">
        <v>34456</v>
      </c>
      <c r="G953" s="22" t="s">
        <v>471</v>
      </c>
      <c r="H953" s="23" t="n">
        <f aca="false">COUNTIF(CAL!U:AF,B953)</f>
        <v>2</v>
      </c>
      <c r="I953" s="22" t="n">
        <v>11</v>
      </c>
      <c r="J953" s="20"/>
    </row>
    <row r="954" customFormat="false" ht="15.75" hidden="false" customHeight="true" outlineLevel="0" collapsed="false">
      <c r="B954" s="19" t="n">
        <v>1701</v>
      </c>
      <c r="C954" s="20" t="s">
        <v>2382</v>
      </c>
      <c r="D954" s="20" t="s">
        <v>240</v>
      </c>
      <c r="E954" s="21" t="s">
        <v>2383</v>
      </c>
      <c r="F954" s="21" t="n">
        <v>36164</v>
      </c>
      <c r="G954" s="22" t="s">
        <v>471</v>
      </c>
      <c r="H954" s="23" t="n">
        <f aca="false">COUNTIF(CAL!U:AF,B954)</f>
        <v>2</v>
      </c>
      <c r="I954" s="22" t="n">
        <v>11</v>
      </c>
      <c r="J954" s="20"/>
    </row>
    <row r="955" customFormat="false" ht="15.75" hidden="false" customHeight="true" outlineLevel="0" collapsed="false">
      <c r="B955" s="19" t="n">
        <v>2771</v>
      </c>
      <c r="C955" s="20" t="s">
        <v>2384</v>
      </c>
      <c r="D955" s="20" t="s">
        <v>322</v>
      </c>
      <c r="E955" s="24" t="s">
        <v>2385</v>
      </c>
      <c r="F955" s="21" t="n">
        <v>35421</v>
      </c>
      <c r="G955" s="22" t="s">
        <v>471</v>
      </c>
      <c r="H955" s="23" t="n">
        <f aca="false">COUNTIF(CAL!U:AF,B955)</f>
        <v>2</v>
      </c>
      <c r="I955" s="22" t="n">
        <v>11</v>
      </c>
      <c r="J955" s="20"/>
    </row>
    <row r="956" customFormat="false" ht="15.75" hidden="false" customHeight="true" outlineLevel="0" collapsed="false">
      <c r="B956" s="19" t="n">
        <v>1921</v>
      </c>
      <c r="C956" s="20" t="s">
        <v>2386</v>
      </c>
      <c r="D956" s="20" t="s">
        <v>68</v>
      </c>
      <c r="E956" s="21" t="s">
        <v>2387</v>
      </c>
      <c r="F956" s="21" t="n">
        <v>35834</v>
      </c>
      <c r="G956" s="22" t="s">
        <v>471</v>
      </c>
      <c r="H956" s="23" t="n">
        <f aca="false">COUNTIF(CAL!U:AF,B956)</f>
        <v>2</v>
      </c>
      <c r="I956" s="22" t="n">
        <v>11</v>
      </c>
      <c r="J956" s="20"/>
    </row>
    <row r="957" customFormat="false" ht="15.75" hidden="false" customHeight="true" outlineLevel="0" collapsed="false">
      <c r="B957" s="19" t="n">
        <v>3502</v>
      </c>
      <c r="C957" s="20" t="s">
        <v>2388</v>
      </c>
      <c r="D957" s="20" t="s">
        <v>217</v>
      </c>
      <c r="E957" s="21" t="s">
        <v>2389</v>
      </c>
      <c r="F957" s="21" t="n">
        <v>37468</v>
      </c>
      <c r="G957" s="22" t="s">
        <v>471</v>
      </c>
      <c r="H957" s="23" t="n">
        <f aca="false">COUNTIF(CAL!U:AF,B957)</f>
        <v>2</v>
      </c>
      <c r="I957" s="22" t="n">
        <v>11</v>
      </c>
      <c r="J957" s="20"/>
    </row>
    <row r="958" customFormat="false" ht="15.75" hidden="false" customHeight="true" outlineLevel="0" collapsed="false">
      <c r="B958" s="19" t="n">
        <v>2156</v>
      </c>
      <c r="C958" s="20" t="s">
        <v>1319</v>
      </c>
      <c r="D958" s="20" t="s">
        <v>338</v>
      </c>
      <c r="E958" s="21" t="s">
        <v>2390</v>
      </c>
      <c r="F958" s="21" t="n">
        <v>38917</v>
      </c>
      <c r="G958" s="22" t="s">
        <v>471</v>
      </c>
      <c r="H958" s="23" t="n">
        <f aca="false">COUNTIF(CAL!U:AF,B958)</f>
        <v>2</v>
      </c>
      <c r="I958" s="22" t="n">
        <v>11</v>
      </c>
      <c r="J958" s="20"/>
    </row>
    <row r="959" customFormat="false" ht="15.75" hidden="false" customHeight="true" outlineLevel="0" collapsed="false">
      <c r="B959" s="19" t="n">
        <v>2216</v>
      </c>
      <c r="C959" s="20" t="s">
        <v>1444</v>
      </c>
      <c r="D959" s="20" t="s">
        <v>263</v>
      </c>
      <c r="E959" s="21" t="s">
        <v>2391</v>
      </c>
      <c r="F959" s="21" t="n">
        <v>37948</v>
      </c>
      <c r="G959" s="22" t="s">
        <v>471</v>
      </c>
      <c r="H959" s="23" t="n">
        <f aca="false">COUNTIF(CAL!U:AF,B959)</f>
        <v>2</v>
      </c>
      <c r="I959" s="22" t="n">
        <v>11</v>
      </c>
      <c r="J959" s="20"/>
    </row>
    <row r="960" customFormat="false" ht="15.75" hidden="false" customHeight="true" outlineLevel="0" collapsed="false">
      <c r="B960" s="19" t="n">
        <v>2842</v>
      </c>
      <c r="C960" s="20" t="s">
        <v>2392</v>
      </c>
      <c r="D960" s="20" t="s">
        <v>208</v>
      </c>
      <c r="E960" s="24" t="s">
        <v>2393</v>
      </c>
      <c r="F960" s="21" t="n">
        <v>32178</v>
      </c>
      <c r="G960" s="22" t="s">
        <v>471</v>
      </c>
      <c r="H960" s="23" t="n">
        <f aca="false">COUNTIF(CAL!U:AF,B960)</f>
        <v>2</v>
      </c>
      <c r="I960" s="22" t="n">
        <v>11</v>
      </c>
      <c r="J960" s="20"/>
    </row>
    <row r="961" customFormat="false" ht="15.75" hidden="false" customHeight="true" outlineLevel="0" collapsed="false">
      <c r="B961" s="19" t="n">
        <v>2672</v>
      </c>
      <c r="C961" s="20" t="s">
        <v>2394</v>
      </c>
      <c r="D961" s="20" t="s">
        <v>197</v>
      </c>
      <c r="E961" s="21" t="s">
        <v>2395</v>
      </c>
      <c r="F961" s="21" t="n">
        <v>34339</v>
      </c>
      <c r="G961" s="22" t="s">
        <v>471</v>
      </c>
      <c r="H961" s="23" t="n">
        <f aca="false">COUNTIF(CAL!U:AF,B961)</f>
        <v>2</v>
      </c>
      <c r="I961" s="22" t="n">
        <v>11</v>
      </c>
      <c r="J961" s="20"/>
    </row>
    <row r="962" customFormat="false" ht="15.75" hidden="false" customHeight="true" outlineLevel="0" collapsed="false">
      <c r="B962" s="19" t="n">
        <v>2942</v>
      </c>
      <c r="C962" s="20" t="s">
        <v>2396</v>
      </c>
      <c r="D962" s="20" t="s">
        <v>129</v>
      </c>
      <c r="E962" s="24" t="s">
        <v>2397</v>
      </c>
      <c r="F962" s="21" t="n">
        <v>37133</v>
      </c>
      <c r="G962" s="22" t="s">
        <v>471</v>
      </c>
      <c r="H962" s="23" t="n">
        <f aca="false">COUNTIF(CAL!U:AF,B962)</f>
        <v>2</v>
      </c>
      <c r="I962" s="22" t="n">
        <v>11</v>
      </c>
      <c r="J962" s="20"/>
    </row>
    <row r="963" customFormat="false" ht="15.75" hidden="false" customHeight="true" outlineLevel="0" collapsed="false">
      <c r="B963" s="19" t="n">
        <v>1725</v>
      </c>
      <c r="C963" s="20" t="s">
        <v>2398</v>
      </c>
      <c r="D963" s="20" t="s">
        <v>300</v>
      </c>
      <c r="E963" s="21" t="s">
        <v>2399</v>
      </c>
      <c r="F963" s="21" t="n">
        <v>34128</v>
      </c>
      <c r="G963" s="22" t="s">
        <v>471</v>
      </c>
      <c r="H963" s="23" t="n">
        <f aca="false">COUNTIF(CAL!U:AF,B963)</f>
        <v>2</v>
      </c>
      <c r="I963" s="22" t="n">
        <v>11</v>
      </c>
      <c r="J963" s="20" t="s">
        <v>2400</v>
      </c>
    </row>
    <row r="964" customFormat="false" ht="15.75" hidden="false" customHeight="true" outlineLevel="0" collapsed="false">
      <c r="B964" s="19" t="n">
        <v>2724</v>
      </c>
      <c r="C964" s="20" t="s">
        <v>2401</v>
      </c>
      <c r="D964" s="20" t="s">
        <v>168</v>
      </c>
      <c r="E964" s="21" t="s">
        <v>2402</v>
      </c>
      <c r="F964" s="21" t="n">
        <v>37170</v>
      </c>
      <c r="G964" s="22" t="s">
        <v>471</v>
      </c>
      <c r="H964" s="23" t="n">
        <f aca="false">COUNTIF(CAL!U:AF,B964)</f>
        <v>2</v>
      </c>
      <c r="I964" s="22" t="n">
        <v>11</v>
      </c>
      <c r="J964" s="20"/>
    </row>
    <row r="965" customFormat="false" ht="15.75" hidden="false" customHeight="true" outlineLevel="0" collapsed="false">
      <c r="B965" s="19" t="n">
        <v>1516</v>
      </c>
      <c r="C965" s="20" t="s">
        <v>2403</v>
      </c>
      <c r="D965" s="20" t="s">
        <v>217</v>
      </c>
      <c r="E965" s="21" t="s">
        <v>2404</v>
      </c>
      <c r="F965" s="21" t="n">
        <v>34125</v>
      </c>
      <c r="G965" s="22" t="s">
        <v>471</v>
      </c>
      <c r="H965" s="23" t="n">
        <f aca="false">COUNTIF(CAL!U:AF,B965)</f>
        <v>2</v>
      </c>
      <c r="I965" s="22" t="n">
        <v>11</v>
      </c>
      <c r="J965" s="20"/>
    </row>
    <row r="966" customFormat="false" ht="15.75" hidden="false" customHeight="true" outlineLevel="0" collapsed="false">
      <c r="B966" s="19" t="n">
        <v>1154</v>
      </c>
      <c r="C966" s="20" t="s">
        <v>2405</v>
      </c>
      <c r="D966" s="20" t="s">
        <v>67</v>
      </c>
      <c r="E966" s="21" t="s">
        <v>2406</v>
      </c>
      <c r="F966" s="21" t="n">
        <v>38849</v>
      </c>
      <c r="G966" s="22" t="s">
        <v>471</v>
      </c>
      <c r="H966" s="23" t="n">
        <f aca="false">COUNTIF(CAL!U:AF,B966)</f>
        <v>2</v>
      </c>
      <c r="I966" s="22" t="n">
        <v>11</v>
      </c>
      <c r="J966" s="20"/>
    </row>
    <row r="967" customFormat="false" ht="15.75" hidden="false" customHeight="true" outlineLevel="0" collapsed="false">
      <c r="B967" s="19" t="n">
        <v>2812</v>
      </c>
      <c r="C967" s="20" t="s">
        <v>1749</v>
      </c>
      <c r="D967" s="20" t="s">
        <v>136</v>
      </c>
      <c r="E967" s="21" t="s">
        <v>2407</v>
      </c>
      <c r="F967" s="21" t="n">
        <v>35934</v>
      </c>
      <c r="G967" s="22" t="s">
        <v>471</v>
      </c>
      <c r="H967" s="23" t="n">
        <f aca="false">COUNTIF(CAL!U:AF,B967)</f>
        <v>2</v>
      </c>
      <c r="I967" s="22" t="n">
        <v>11</v>
      </c>
      <c r="J967" s="20"/>
    </row>
    <row r="968" customFormat="false" ht="15.75" hidden="false" customHeight="true" outlineLevel="0" collapsed="false">
      <c r="B968" s="19" t="n">
        <v>2343</v>
      </c>
      <c r="C968" s="20" t="s">
        <v>2408</v>
      </c>
      <c r="D968" s="20" t="s">
        <v>51</v>
      </c>
      <c r="E968" s="21" t="s">
        <v>2409</v>
      </c>
      <c r="F968" s="21" t="n">
        <v>38386</v>
      </c>
      <c r="G968" s="22" t="s">
        <v>1017</v>
      </c>
      <c r="H968" s="23" t="n">
        <f aca="false">COUNTIF(CAL!U:AF,B968)</f>
        <v>2</v>
      </c>
      <c r="I968" s="22" t="n">
        <v>11</v>
      </c>
      <c r="J968" s="20"/>
    </row>
    <row r="969" customFormat="false" ht="15.75" hidden="false" customHeight="true" outlineLevel="0" collapsed="false">
      <c r="B969" s="19" t="n">
        <v>3024</v>
      </c>
      <c r="C969" s="20" t="s">
        <v>2209</v>
      </c>
      <c r="D969" s="20" t="s">
        <v>236</v>
      </c>
      <c r="E969" s="24" t="s">
        <v>2410</v>
      </c>
      <c r="F969" s="21" t="n">
        <v>35905</v>
      </c>
      <c r="G969" s="22" t="s">
        <v>471</v>
      </c>
      <c r="H969" s="23" t="n">
        <f aca="false">COUNTIF(CAL!U:AF,B969)</f>
        <v>2</v>
      </c>
      <c r="I969" s="22" t="n">
        <v>11</v>
      </c>
      <c r="J969" s="20"/>
    </row>
    <row r="970" customFormat="false" ht="15.75" hidden="false" customHeight="true" outlineLevel="0" collapsed="false">
      <c r="B970" s="19" t="n">
        <v>2507</v>
      </c>
      <c r="C970" s="20" t="s">
        <v>2411</v>
      </c>
      <c r="D970" s="20" t="s">
        <v>279</v>
      </c>
      <c r="E970" s="24" t="s">
        <v>2412</v>
      </c>
      <c r="F970" s="21" t="n">
        <v>35822</v>
      </c>
      <c r="G970" s="22" t="s">
        <v>471</v>
      </c>
      <c r="H970" s="23" t="n">
        <f aca="false">COUNTIF(CAL!U:AF,B970)</f>
        <v>2</v>
      </c>
      <c r="I970" s="22" t="n">
        <v>11</v>
      </c>
      <c r="J970" s="20"/>
    </row>
    <row r="971" customFormat="false" ht="15.75" hidden="false" customHeight="true" outlineLevel="0" collapsed="false">
      <c r="B971" s="19" t="n">
        <v>3233</v>
      </c>
      <c r="C971" s="20" t="s">
        <v>2413</v>
      </c>
      <c r="D971" s="20" t="s">
        <v>328</v>
      </c>
      <c r="E971" s="21" t="s">
        <v>2414</v>
      </c>
      <c r="F971" s="21" t="n">
        <v>37403</v>
      </c>
      <c r="G971" s="22" t="s">
        <v>471</v>
      </c>
      <c r="H971" s="23" t="n">
        <f aca="false">COUNTIF(CAL!U:AF,B971)</f>
        <v>2</v>
      </c>
      <c r="I971" s="22" t="n">
        <v>11</v>
      </c>
      <c r="J971" s="20"/>
    </row>
    <row r="972" customFormat="false" ht="15.75" hidden="false" customHeight="true" outlineLevel="0" collapsed="false">
      <c r="B972" s="19" t="n">
        <v>1497</v>
      </c>
      <c r="C972" s="20" t="s">
        <v>1849</v>
      </c>
      <c r="D972" s="20" t="s">
        <v>169</v>
      </c>
      <c r="E972" s="21" t="s">
        <v>2415</v>
      </c>
      <c r="F972" s="21" t="n">
        <v>32996</v>
      </c>
      <c r="G972" s="22" t="s">
        <v>471</v>
      </c>
      <c r="H972" s="23" t="n">
        <f aca="false">COUNTIF(CAL!U:AF,B972)</f>
        <v>2</v>
      </c>
      <c r="I972" s="22" t="n">
        <v>11</v>
      </c>
      <c r="J972" s="20"/>
    </row>
    <row r="973" customFormat="false" ht="15.75" hidden="false" customHeight="true" outlineLevel="0" collapsed="false">
      <c r="B973" s="19" t="n">
        <v>1687</v>
      </c>
      <c r="C973" s="20" t="s">
        <v>2416</v>
      </c>
      <c r="D973" s="20" t="s">
        <v>223</v>
      </c>
      <c r="E973" s="21" t="s">
        <v>2417</v>
      </c>
      <c r="F973" s="21" t="n">
        <v>36203</v>
      </c>
      <c r="G973" s="22" t="s">
        <v>471</v>
      </c>
      <c r="H973" s="23" t="n">
        <f aca="false">COUNTIF(CAL!U:AF,B973)</f>
        <v>2</v>
      </c>
      <c r="I973" s="22" t="n">
        <v>11</v>
      </c>
      <c r="J973" s="20"/>
    </row>
    <row r="974" customFormat="false" ht="15.75" hidden="false" customHeight="true" outlineLevel="0" collapsed="false">
      <c r="B974" s="19" t="n">
        <v>2348</v>
      </c>
      <c r="C974" s="20" t="s">
        <v>2418</v>
      </c>
      <c r="D974" s="20" t="s">
        <v>333</v>
      </c>
      <c r="E974" s="21" t="s">
        <v>2419</v>
      </c>
      <c r="F974" s="21" t="n">
        <v>32647</v>
      </c>
      <c r="G974" s="22" t="s">
        <v>471</v>
      </c>
      <c r="H974" s="23" t="n">
        <f aca="false">COUNTIF(CAL!U:AF,B974)</f>
        <v>2</v>
      </c>
      <c r="I974" s="22" t="n">
        <v>11</v>
      </c>
      <c r="J974" s="20" t="s">
        <v>1493</v>
      </c>
    </row>
    <row r="975" customFormat="false" ht="15.75" hidden="false" customHeight="true" outlineLevel="0" collapsed="false">
      <c r="B975" s="19" t="n">
        <v>3187</v>
      </c>
      <c r="C975" s="20" t="s">
        <v>2420</v>
      </c>
      <c r="D975" s="20" t="s">
        <v>321</v>
      </c>
      <c r="E975" s="21" t="s">
        <v>2421</v>
      </c>
      <c r="F975" s="21" t="n">
        <v>36694</v>
      </c>
      <c r="G975" s="22" t="s">
        <v>471</v>
      </c>
      <c r="H975" s="23" t="n">
        <f aca="false">COUNTIF(CAL!U:AF,B975)</f>
        <v>2</v>
      </c>
      <c r="I975" s="22" t="n">
        <v>11</v>
      </c>
      <c r="J975" s="20"/>
    </row>
    <row r="976" customFormat="false" ht="15.75" hidden="false" customHeight="true" outlineLevel="0" collapsed="false">
      <c r="B976" s="19" t="n">
        <v>3483</v>
      </c>
      <c r="C976" s="20" t="s">
        <v>2422</v>
      </c>
      <c r="D976" s="20" t="s">
        <v>143</v>
      </c>
      <c r="E976" s="21" t="s">
        <v>2423</v>
      </c>
      <c r="F976" s="21" t="n">
        <v>36478</v>
      </c>
      <c r="G976" s="22" t="s">
        <v>471</v>
      </c>
      <c r="H976" s="23" t="n">
        <f aca="false">COUNTIF(CAL!U:AF,B976)</f>
        <v>2</v>
      </c>
      <c r="I976" s="22" t="n">
        <v>11</v>
      </c>
      <c r="J976" s="20"/>
    </row>
    <row r="977" customFormat="false" ht="15.75" hidden="false" customHeight="true" outlineLevel="0" collapsed="false">
      <c r="B977" s="19" t="n">
        <v>1590</v>
      </c>
      <c r="C977" s="20" t="s">
        <v>2424</v>
      </c>
      <c r="D977" s="20" t="s">
        <v>301</v>
      </c>
      <c r="E977" s="24" t="s">
        <v>2425</v>
      </c>
      <c r="F977" s="21" t="n">
        <v>34514</v>
      </c>
      <c r="G977" s="22" t="s">
        <v>471</v>
      </c>
      <c r="H977" s="23" t="n">
        <f aca="false">COUNTIF(CAL!U:AF,B977)</f>
        <v>2</v>
      </c>
      <c r="I977" s="22" t="n">
        <v>11</v>
      </c>
      <c r="J977" s="20"/>
    </row>
    <row r="978" customFormat="false" ht="15.75" hidden="false" customHeight="true" outlineLevel="0" collapsed="false">
      <c r="B978" s="19" t="n">
        <v>2319</v>
      </c>
      <c r="C978" s="20" t="s">
        <v>2426</v>
      </c>
      <c r="D978" s="20" t="s">
        <v>223</v>
      </c>
      <c r="E978" s="21" t="s">
        <v>2427</v>
      </c>
      <c r="F978" s="21" t="n">
        <v>38273</v>
      </c>
      <c r="G978" s="22" t="s">
        <v>471</v>
      </c>
      <c r="H978" s="23" t="n">
        <f aca="false">COUNTIF(CAL!U:AF,B978)</f>
        <v>2</v>
      </c>
      <c r="I978" s="22" t="n">
        <v>11</v>
      </c>
      <c r="J978" s="20"/>
    </row>
    <row r="979" customFormat="false" ht="15.75" hidden="false" customHeight="true" outlineLevel="0" collapsed="false">
      <c r="B979" s="19" t="n">
        <v>1085</v>
      </c>
      <c r="C979" s="20" t="s">
        <v>2428</v>
      </c>
      <c r="D979" s="20" t="s">
        <v>91</v>
      </c>
      <c r="E979" s="21" t="s">
        <v>2429</v>
      </c>
      <c r="F979" s="21" t="n">
        <v>33394</v>
      </c>
      <c r="G979" s="22" t="s">
        <v>471</v>
      </c>
      <c r="H979" s="23" t="n">
        <f aca="false">COUNTIF(CAL!U:AF,B979)</f>
        <v>2</v>
      </c>
      <c r="I979" s="22" t="n">
        <v>11</v>
      </c>
      <c r="J979" s="20"/>
    </row>
    <row r="980" customFormat="false" ht="15.75" hidden="false" customHeight="true" outlineLevel="0" collapsed="false">
      <c r="B980" s="19" t="n">
        <v>2386</v>
      </c>
      <c r="C980" s="20" t="s">
        <v>2430</v>
      </c>
      <c r="D980" s="20" t="s">
        <v>197</v>
      </c>
      <c r="E980" s="21" t="s">
        <v>2431</v>
      </c>
      <c r="F980" s="21" t="n">
        <v>35893</v>
      </c>
      <c r="G980" s="22" t="s">
        <v>471</v>
      </c>
      <c r="H980" s="23" t="n">
        <f aca="false">COUNTIF(CAL!U:AF,B980)</f>
        <v>2</v>
      </c>
      <c r="I980" s="22" t="n">
        <v>11</v>
      </c>
      <c r="J980" s="20"/>
    </row>
    <row r="981" customFormat="false" ht="15.75" hidden="false" customHeight="true" outlineLevel="0" collapsed="false">
      <c r="B981" s="19" t="n">
        <v>1945</v>
      </c>
      <c r="C981" s="20" t="s">
        <v>2432</v>
      </c>
      <c r="D981" s="20" t="s">
        <v>101</v>
      </c>
      <c r="E981" s="21" t="s">
        <v>2433</v>
      </c>
      <c r="F981" s="21" t="n">
        <v>36225</v>
      </c>
      <c r="G981" s="22" t="s">
        <v>471</v>
      </c>
      <c r="H981" s="23" t="n">
        <f aca="false">COUNTIF(CAL!U:AF,B981)</f>
        <v>2</v>
      </c>
      <c r="I981" s="22" t="n">
        <v>11</v>
      </c>
      <c r="J981" s="20"/>
    </row>
    <row r="982" customFormat="false" ht="15.75" hidden="false" customHeight="true" outlineLevel="0" collapsed="false">
      <c r="B982" s="19" t="n">
        <v>1653</v>
      </c>
      <c r="C982" s="20" t="s">
        <v>2434</v>
      </c>
      <c r="D982" s="20" t="s">
        <v>103</v>
      </c>
      <c r="E982" s="21" t="s">
        <v>2435</v>
      </c>
      <c r="F982" s="21" t="n">
        <v>37245</v>
      </c>
      <c r="G982" s="22" t="s">
        <v>471</v>
      </c>
      <c r="H982" s="23" t="n">
        <f aca="false">COUNTIF(CAL!U:AF,B982)</f>
        <v>2</v>
      </c>
      <c r="I982" s="22" t="n">
        <v>11</v>
      </c>
      <c r="J982" s="20"/>
    </row>
    <row r="983" customFormat="false" ht="15.75" hidden="false" customHeight="true" outlineLevel="0" collapsed="false">
      <c r="B983" s="19" t="n">
        <v>3228</v>
      </c>
      <c r="C983" s="20" t="s">
        <v>786</v>
      </c>
      <c r="D983" s="20" t="s">
        <v>170</v>
      </c>
      <c r="E983" s="24" t="s">
        <v>2436</v>
      </c>
      <c r="F983" s="21" t="n">
        <v>36986</v>
      </c>
      <c r="G983" s="22" t="s">
        <v>471</v>
      </c>
      <c r="H983" s="23" t="n">
        <f aca="false">COUNTIF(CAL!U:AF,B983)</f>
        <v>2</v>
      </c>
      <c r="I983" s="22" t="n">
        <v>11</v>
      </c>
      <c r="J983" s="20"/>
    </row>
    <row r="984" customFormat="false" ht="15.75" hidden="false" customHeight="true" outlineLevel="0" collapsed="false">
      <c r="B984" s="19" t="n">
        <v>1513</v>
      </c>
      <c r="C984" s="20" t="s">
        <v>2437</v>
      </c>
      <c r="D984" s="20" t="s">
        <v>265</v>
      </c>
      <c r="E984" s="21" t="s">
        <v>2438</v>
      </c>
      <c r="F984" s="21" t="n">
        <v>32178</v>
      </c>
      <c r="G984" s="22" t="s">
        <v>471</v>
      </c>
      <c r="H984" s="23" t="n">
        <f aca="false">COUNTIF(CAL!U:AF,B984)</f>
        <v>2</v>
      </c>
      <c r="I984" s="22" t="n">
        <v>11</v>
      </c>
      <c r="J984" s="20"/>
    </row>
    <row r="985" customFormat="false" ht="15.75" hidden="false" customHeight="true" outlineLevel="0" collapsed="false">
      <c r="B985" s="19" t="n">
        <v>2372</v>
      </c>
      <c r="C985" s="20" t="s">
        <v>2439</v>
      </c>
      <c r="D985" s="20" t="s">
        <v>256</v>
      </c>
      <c r="E985" s="21" t="s">
        <v>2440</v>
      </c>
      <c r="F985" s="21" t="n">
        <v>32665</v>
      </c>
      <c r="G985" s="22" t="s">
        <v>471</v>
      </c>
      <c r="H985" s="23" t="n">
        <f aca="false">COUNTIF(CAL!U:AF,B985)</f>
        <v>2</v>
      </c>
      <c r="I985" s="22" t="n">
        <v>11</v>
      </c>
      <c r="J985" s="20"/>
    </row>
    <row r="986" customFormat="false" ht="15.75" hidden="false" customHeight="true" outlineLevel="0" collapsed="false">
      <c r="B986" s="19" t="n">
        <v>3401</v>
      </c>
      <c r="C986" s="20" t="s">
        <v>2339</v>
      </c>
      <c r="D986" s="20" t="s">
        <v>311</v>
      </c>
      <c r="E986" s="24" t="s">
        <v>2441</v>
      </c>
      <c r="F986" s="21" t="n">
        <v>36106</v>
      </c>
      <c r="G986" s="22" t="s">
        <v>471</v>
      </c>
      <c r="H986" s="23" t="n">
        <f aca="false">COUNTIF(CAL!U:AF,B986)</f>
        <v>2</v>
      </c>
      <c r="I986" s="22" t="n">
        <v>11</v>
      </c>
      <c r="J986" s="20"/>
    </row>
    <row r="987" customFormat="false" ht="15.75" hidden="false" customHeight="true" outlineLevel="0" collapsed="false">
      <c r="B987" s="19" t="n">
        <v>1280</v>
      </c>
      <c r="C987" s="20" t="s">
        <v>2442</v>
      </c>
      <c r="D987" s="20" t="s">
        <v>189</v>
      </c>
      <c r="E987" s="24" t="s">
        <v>2443</v>
      </c>
      <c r="F987" s="21" t="n">
        <v>37113</v>
      </c>
      <c r="G987" s="22" t="s">
        <v>471</v>
      </c>
      <c r="H987" s="23" t="n">
        <f aca="false">COUNTIF(CAL!U:AF,B987)</f>
        <v>2</v>
      </c>
      <c r="I987" s="22" t="n">
        <v>11</v>
      </c>
      <c r="J987" s="20"/>
    </row>
    <row r="988" customFormat="false" ht="15.75" hidden="false" customHeight="true" outlineLevel="0" collapsed="false">
      <c r="B988" s="19" t="n">
        <v>2575</v>
      </c>
      <c r="C988" s="20" t="s">
        <v>2444</v>
      </c>
      <c r="D988" s="20" t="s">
        <v>146</v>
      </c>
      <c r="E988" s="21" t="s">
        <v>2445</v>
      </c>
      <c r="F988" s="21" t="n">
        <v>35215</v>
      </c>
      <c r="G988" s="22" t="s">
        <v>471</v>
      </c>
      <c r="H988" s="23" t="n">
        <f aca="false">COUNTIF(CAL!U:AF,B988)</f>
        <v>2</v>
      </c>
      <c r="I988" s="22" t="n">
        <v>11</v>
      </c>
      <c r="J988" s="20" t="s">
        <v>2446</v>
      </c>
    </row>
    <row r="989" customFormat="false" ht="15.75" hidden="false" customHeight="true" outlineLevel="0" collapsed="false">
      <c r="B989" s="19" t="n">
        <v>1082</v>
      </c>
      <c r="C989" s="20" t="s">
        <v>880</v>
      </c>
      <c r="D989" s="20" t="s">
        <v>104</v>
      </c>
      <c r="E989" s="21" t="s">
        <v>2447</v>
      </c>
      <c r="F989" s="21" t="n">
        <v>36320</v>
      </c>
      <c r="G989" s="22" t="s">
        <v>471</v>
      </c>
      <c r="H989" s="23" t="n">
        <f aca="false">COUNTIF(CAL!U:AF,B989)</f>
        <v>2</v>
      </c>
      <c r="I989" s="22" t="n">
        <v>11</v>
      </c>
      <c r="J989" s="20"/>
    </row>
    <row r="990" customFormat="false" ht="15.75" hidden="false" customHeight="true" outlineLevel="0" collapsed="false">
      <c r="B990" s="19" t="n">
        <v>1274</v>
      </c>
      <c r="C990" s="20" t="s">
        <v>2448</v>
      </c>
      <c r="D990" s="20" t="s">
        <v>103</v>
      </c>
      <c r="E990" s="21" t="s">
        <v>2449</v>
      </c>
      <c r="F990" s="21" t="n">
        <v>36563</v>
      </c>
      <c r="G990" s="22" t="s">
        <v>471</v>
      </c>
      <c r="H990" s="23" t="n">
        <f aca="false">COUNTIF(CAL!U:AF,B990)</f>
        <v>2</v>
      </c>
      <c r="I990" s="22" t="n">
        <v>11</v>
      </c>
      <c r="J990" s="20"/>
    </row>
    <row r="991" customFormat="false" ht="15.75" hidden="false" customHeight="true" outlineLevel="0" collapsed="false">
      <c r="B991" s="19" t="n">
        <v>1814</v>
      </c>
      <c r="C991" s="20" t="s">
        <v>2450</v>
      </c>
      <c r="D991" s="20" t="s">
        <v>183</v>
      </c>
      <c r="E991" s="21" t="s">
        <v>2451</v>
      </c>
      <c r="F991" s="21" t="n">
        <v>38165</v>
      </c>
      <c r="G991" s="22" t="s">
        <v>471</v>
      </c>
      <c r="H991" s="23" t="n">
        <f aca="false">COUNTIF(CAL!U:AF,B991)</f>
        <v>2</v>
      </c>
      <c r="I991" s="22" t="n">
        <v>11</v>
      </c>
      <c r="J991" s="20"/>
    </row>
    <row r="992" customFormat="false" ht="15.75" hidden="false" customHeight="true" outlineLevel="0" collapsed="false">
      <c r="B992" s="19" t="n">
        <v>2426</v>
      </c>
      <c r="C992" s="20" t="s">
        <v>2452</v>
      </c>
      <c r="D992" s="20" t="s">
        <v>223</v>
      </c>
      <c r="E992" s="21" t="s">
        <v>2453</v>
      </c>
      <c r="F992" s="21" t="n">
        <v>35432</v>
      </c>
      <c r="G992" s="22" t="s">
        <v>471</v>
      </c>
      <c r="H992" s="23" t="n">
        <f aca="false">COUNTIF(CAL!U:AF,B992)</f>
        <v>2</v>
      </c>
      <c r="I992" s="22" t="n">
        <v>11</v>
      </c>
      <c r="J992" s="20"/>
    </row>
    <row r="993" customFormat="false" ht="15.75" hidden="false" customHeight="true" outlineLevel="0" collapsed="false">
      <c r="B993" s="19" t="n">
        <v>2095</v>
      </c>
      <c r="C993" s="20" t="s">
        <v>2454</v>
      </c>
      <c r="D993" s="20" t="s">
        <v>57</v>
      </c>
      <c r="E993" s="21" t="s">
        <v>2455</v>
      </c>
      <c r="F993" s="21" t="n">
        <v>33169</v>
      </c>
      <c r="G993" s="22" t="s">
        <v>471</v>
      </c>
      <c r="H993" s="23" t="n">
        <f aca="false">COUNTIF(CAL!U:AF,B993)</f>
        <v>2</v>
      </c>
      <c r="I993" s="22" t="n">
        <v>12</v>
      </c>
      <c r="J993" s="20"/>
    </row>
    <row r="994" customFormat="false" ht="15.75" hidden="false" customHeight="true" outlineLevel="0" collapsed="false">
      <c r="B994" s="19" t="n">
        <v>1499</v>
      </c>
      <c r="C994" s="20" t="s">
        <v>2456</v>
      </c>
      <c r="D994" s="20" t="s">
        <v>243</v>
      </c>
      <c r="E994" s="24" t="s">
        <v>2457</v>
      </c>
      <c r="F994" s="21" t="n">
        <v>37412</v>
      </c>
      <c r="G994" s="22" t="s">
        <v>471</v>
      </c>
      <c r="H994" s="23" t="n">
        <f aca="false">COUNTIF(CAL!U:AF,B994)</f>
        <v>2</v>
      </c>
      <c r="I994" s="22" t="n">
        <v>12</v>
      </c>
      <c r="J994" s="20" t="s">
        <v>2458</v>
      </c>
    </row>
    <row r="995" customFormat="false" ht="15.75" hidden="false" customHeight="true" outlineLevel="0" collapsed="false">
      <c r="B995" s="19" t="n">
        <v>1512</v>
      </c>
      <c r="C995" s="20" t="s">
        <v>2459</v>
      </c>
      <c r="D995" s="20" t="s">
        <v>158</v>
      </c>
      <c r="E995" s="21" t="s">
        <v>2460</v>
      </c>
      <c r="F995" s="21" t="n">
        <v>36723</v>
      </c>
      <c r="G995" s="22" t="s">
        <v>481</v>
      </c>
      <c r="H995" s="23" t="n">
        <f aca="false">COUNTIF(CAL!U:AF,B995)</f>
        <v>2</v>
      </c>
      <c r="I995" s="22" t="n">
        <v>12</v>
      </c>
      <c r="J995" s="20"/>
    </row>
    <row r="996" customFormat="false" ht="15.75" hidden="false" customHeight="true" outlineLevel="0" collapsed="false">
      <c r="B996" s="19" t="n">
        <v>1786</v>
      </c>
      <c r="C996" s="20" t="s">
        <v>2461</v>
      </c>
      <c r="D996" s="20" t="s">
        <v>229</v>
      </c>
      <c r="E996" s="24" t="s">
        <v>2462</v>
      </c>
      <c r="F996" s="21" t="n">
        <v>34835</v>
      </c>
      <c r="G996" s="22" t="s">
        <v>471</v>
      </c>
      <c r="H996" s="23" t="n">
        <f aca="false">COUNTIF(CAL!U:AF,B996)</f>
        <v>2</v>
      </c>
      <c r="I996" s="22" t="n">
        <v>12</v>
      </c>
      <c r="J996" s="20" t="s">
        <v>2463</v>
      </c>
    </row>
    <row r="997" customFormat="false" ht="15.75" hidden="false" customHeight="true" outlineLevel="0" collapsed="false">
      <c r="B997" s="19" t="n">
        <v>1303</v>
      </c>
      <c r="C997" s="20" t="s">
        <v>2464</v>
      </c>
      <c r="D997" s="20" t="s">
        <v>244</v>
      </c>
      <c r="E997" s="21" t="s">
        <v>2465</v>
      </c>
      <c r="F997" s="21" t="n">
        <v>33870</v>
      </c>
      <c r="G997" s="22" t="s">
        <v>471</v>
      </c>
      <c r="H997" s="23" t="n">
        <f aca="false">COUNTIF(CAL!U:AF,B997)</f>
        <v>2</v>
      </c>
      <c r="I997" s="22" t="n">
        <v>12</v>
      </c>
      <c r="J997" s="20" t="s">
        <v>2466</v>
      </c>
    </row>
    <row r="998" customFormat="false" ht="15.75" hidden="false" customHeight="true" outlineLevel="0" collapsed="false">
      <c r="B998" s="19" t="n">
        <v>2938</v>
      </c>
      <c r="C998" s="20" t="s">
        <v>2467</v>
      </c>
      <c r="D998" s="20" t="s">
        <v>343</v>
      </c>
      <c r="E998" s="21" t="s">
        <v>2468</v>
      </c>
      <c r="F998" s="21" t="n">
        <v>34743</v>
      </c>
      <c r="G998" s="22" t="s">
        <v>471</v>
      </c>
      <c r="H998" s="23" t="n">
        <f aca="false">COUNTIF(CAL!U:AF,B998)</f>
        <v>2</v>
      </c>
      <c r="I998" s="22" t="n">
        <v>12</v>
      </c>
      <c r="J998" s="20"/>
    </row>
    <row r="999" customFormat="false" ht="15.75" hidden="false" customHeight="true" outlineLevel="0" collapsed="false">
      <c r="B999" s="19" t="n">
        <v>1046</v>
      </c>
      <c r="C999" s="20" t="s">
        <v>2469</v>
      </c>
      <c r="D999" s="20" t="s">
        <v>70</v>
      </c>
      <c r="E999" s="21" t="s">
        <v>2470</v>
      </c>
      <c r="F999" s="21" t="n">
        <v>39068</v>
      </c>
      <c r="G999" s="22" t="s">
        <v>471</v>
      </c>
      <c r="H999" s="23" t="n">
        <f aca="false">COUNTIF(CAL!U:AF,B999)</f>
        <v>2</v>
      </c>
      <c r="I999" s="22" t="n">
        <v>12</v>
      </c>
      <c r="J999" s="20"/>
    </row>
    <row r="1000" customFormat="false" ht="15.75" hidden="false" customHeight="true" outlineLevel="0" collapsed="false">
      <c r="B1000" s="19" t="n">
        <v>1380</v>
      </c>
      <c r="C1000" s="20" t="s">
        <v>2471</v>
      </c>
      <c r="D1000" s="20" t="s">
        <v>178</v>
      </c>
      <c r="E1000" s="21" t="s">
        <v>2472</v>
      </c>
      <c r="F1000" s="21" t="n">
        <v>36776</v>
      </c>
      <c r="G1000" s="22" t="s">
        <v>471</v>
      </c>
      <c r="H1000" s="23" t="n">
        <f aca="false">COUNTIF(CAL!U:AF,B1000)</f>
        <v>2</v>
      </c>
      <c r="I1000" s="22" t="n">
        <v>12</v>
      </c>
      <c r="J1000" s="20" t="s">
        <v>2473</v>
      </c>
    </row>
    <row r="1001" customFormat="false" ht="15.75" hidden="false" customHeight="true" outlineLevel="0" collapsed="false">
      <c r="B1001" s="19" t="n">
        <v>3200</v>
      </c>
      <c r="C1001" s="20" t="s">
        <v>2474</v>
      </c>
      <c r="D1001" s="20" t="s">
        <v>347</v>
      </c>
      <c r="E1001" s="21" t="s">
        <v>2475</v>
      </c>
      <c r="F1001" s="21" t="n">
        <v>35632</v>
      </c>
      <c r="G1001" s="22" t="s">
        <v>471</v>
      </c>
      <c r="H1001" s="23" t="n">
        <f aca="false">COUNTIF(CAL!U:AF,B1001)</f>
        <v>2</v>
      </c>
      <c r="I1001" s="22" t="n">
        <v>12</v>
      </c>
      <c r="J1001" s="20"/>
    </row>
    <row r="1002" customFormat="false" ht="15.75" hidden="false" customHeight="true" outlineLevel="0" collapsed="false">
      <c r="B1002" s="19" t="n">
        <v>2860</v>
      </c>
      <c r="C1002" s="20" t="s">
        <v>2476</v>
      </c>
      <c r="D1002" s="20" t="s">
        <v>58</v>
      </c>
      <c r="E1002" s="21" t="s">
        <v>2477</v>
      </c>
      <c r="F1002" s="21" t="n">
        <v>33632</v>
      </c>
      <c r="G1002" s="22" t="s">
        <v>471</v>
      </c>
      <c r="H1002" s="23" t="n">
        <f aca="false">COUNTIF(CAL!U:AF,B1002)</f>
        <v>2</v>
      </c>
      <c r="I1002" s="22" t="n">
        <v>12</v>
      </c>
      <c r="J1002" s="20"/>
    </row>
    <row r="1003" customFormat="false" ht="15.75" hidden="false" customHeight="true" outlineLevel="0" collapsed="false">
      <c r="B1003" s="19" t="n">
        <v>3146</v>
      </c>
      <c r="C1003" s="20" t="s">
        <v>2478</v>
      </c>
      <c r="D1003" s="20" t="s">
        <v>318</v>
      </c>
      <c r="E1003" s="21" t="s">
        <v>2479</v>
      </c>
      <c r="F1003" s="21" t="n">
        <v>37301</v>
      </c>
      <c r="G1003" s="22" t="s">
        <v>471</v>
      </c>
      <c r="H1003" s="23" t="n">
        <f aca="false">COUNTIF(CAL!U:AF,B1003)</f>
        <v>2</v>
      </c>
      <c r="I1003" s="22" t="n">
        <v>12</v>
      </c>
      <c r="J1003" s="20"/>
    </row>
    <row r="1004" customFormat="false" ht="15.75" hidden="false" customHeight="true" outlineLevel="0" collapsed="false">
      <c r="B1004" s="19" t="n">
        <v>1025</v>
      </c>
      <c r="C1004" s="20" t="s">
        <v>2480</v>
      </c>
      <c r="D1004" s="20" t="s">
        <v>53</v>
      </c>
      <c r="E1004" s="24" t="s">
        <v>2481</v>
      </c>
      <c r="F1004" s="21" t="n">
        <v>36639</v>
      </c>
      <c r="G1004" s="22" t="s">
        <v>471</v>
      </c>
      <c r="H1004" s="23" t="n">
        <f aca="false">COUNTIF(CAL!U:AF,B1004)</f>
        <v>2</v>
      </c>
      <c r="I1004" s="22" t="n">
        <v>12</v>
      </c>
      <c r="J1004" s="20"/>
    </row>
    <row r="1005" customFormat="false" ht="15.75" hidden="false" customHeight="true" outlineLevel="0" collapsed="false">
      <c r="B1005" s="19" t="n">
        <v>1050</v>
      </c>
      <c r="C1005" s="20" t="s">
        <v>2482</v>
      </c>
      <c r="D1005" s="20" t="s">
        <v>155</v>
      </c>
      <c r="E1005" s="21" t="s">
        <v>2483</v>
      </c>
      <c r="F1005" s="21" t="n">
        <v>33183</v>
      </c>
      <c r="G1005" s="22" t="s">
        <v>471</v>
      </c>
      <c r="H1005" s="23" t="n">
        <f aca="false">COUNTIF(CAL!U:AF,B1005)</f>
        <v>2</v>
      </c>
      <c r="I1005" s="22" t="n">
        <v>12</v>
      </c>
      <c r="J1005" s="20"/>
    </row>
    <row r="1006" customFormat="false" ht="15.75" hidden="false" customHeight="true" outlineLevel="0" collapsed="false">
      <c r="B1006" s="19" t="n">
        <v>3189</v>
      </c>
      <c r="C1006" s="20" t="s">
        <v>2175</v>
      </c>
      <c r="D1006" s="20" t="s">
        <v>253</v>
      </c>
      <c r="E1006" s="24" t="s">
        <v>2484</v>
      </c>
      <c r="F1006" s="21" t="n">
        <v>38120</v>
      </c>
      <c r="G1006" s="22" t="s">
        <v>471</v>
      </c>
      <c r="H1006" s="23" t="n">
        <f aca="false">COUNTIF(CAL!U:AF,B1006)</f>
        <v>2</v>
      </c>
      <c r="I1006" s="22" t="n">
        <v>12</v>
      </c>
      <c r="J1006" s="20"/>
    </row>
    <row r="1007" customFormat="false" ht="15.75" hidden="false" customHeight="true" outlineLevel="0" collapsed="false">
      <c r="B1007" s="19" t="n">
        <v>2858</v>
      </c>
      <c r="C1007" s="20" t="s">
        <v>2485</v>
      </c>
      <c r="D1007" s="20" t="s">
        <v>58</v>
      </c>
      <c r="E1007" s="21" t="s">
        <v>2486</v>
      </c>
      <c r="F1007" s="21" t="n">
        <v>36227</v>
      </c>
      <c r="G1007" s="22" t="s">
        <v>471</v>
      </c>
      <c r="H1007" s="23" t="n">
        <f aca="false">COUNTIF(CAL!U:AF,B1007)</f>
        <v>2</v>
      </c>
      <c r="I1007" s="22" t="n">
        <v>12</v>
      </c>
      <c r="J1007" s="20"/>
    </row>
    <row r="1008" customFormat="false" ht="15.75" hidden="false" customHeight="true" outlineLevel="0" collapsed="false">
      <c r="B1008" s="19" t="n">
        <v>2701</v>
      </c>
      <c r="C1008" s="20" t="s">
        <v>2487</v>
      </c>
      <c r="D1008" s="20" t="s">
        <v>285</v>
      </c>
      <c r="E1008" s="24" t="s">
        <v>2488</v>
      </c>
      <c r="F1008" s="21" t="n">
        <v>37617</v>
      </c>
      <c r="G1008" s="22" t="s">
        <v>471</v>
      </c>
      <c r="H1008" s="23" t="n">
        <f aca="false">COUNTIF(CAL!U:AF,B1008)</f>
        <v>2</v>
      </c>
      <c r="I1008" s="22" t="n">
        <v>12</v>
      </c>
      <c r="J1008" s="20"/>
    </row>
    <row r="1009" customFormat="false" ht="15.75" hidden="false" customHeight="true" outlineLevel="0" collapsed="false">
      <c r="B1009" s="19" t="n">
        <v>1160</v>
      </c>
      <c r="C1009" s="20" t="s">
        <v>2489</v>
      </c>
      <c r="D1009" s="20" t="s">
        <v>187</v>
      </c>
      <c r="E1009" s="21" t="s">
        <v>2490</v>
      </c>
      <c r="F1009" s="21" t="n">
        <v>34362</v>
      </c>
      <c r="G1009" s="22" t="s">
        <v>471</v>
      </c>
      <c r="H1009" s="23" t="n">
        <f aca="false">COUNTIF(CAL!U:AF,B1009)</f>
        <v>2</v>
      </c>
      <c r="I1009" s="22" t="n">
        <v>12</v>
      </c>
      <c r="J1009" s="20"/>
    </row>
    <row r="1010" customFormat="false" ht="15.75" hidden="false" customHeight="true" outlineLevel="0" collapsed="false">
      <c r="B1010" s="19" t="n">
        <v>2728</v>
      </c>
      <c r="C1010" s="20" t="s">
        <v>2491</v>
      </c>
      <c r="D1010" s="20" t="s">
        <v>335</v>
      </c>
      <c r="E1010" s="21" t="s">
        <v>2492</v>
      </c>
      <c r="F1010" s="21" t="n">
        <v>36678</v>
      </c>
      <c r="G1010" s="22" t="s">
        <v>471</v>
      </c>
      <c r="H1010" s="23" t="n">
        <f aca="false">COUNTIF(CAL!U:AF,B1010)</f>
        <v>2</v>
      </c>
      <c r="I1010" s="22" t="n">
        <v>12</v>
      </c>
      <c r="J1010" s="20"/>
    </row>
    <row r="1011" customFormat="false" ht="15.75" hidden="false" customHeight="true" outlineLevel="0" collapsed="false">
      <c r="B1011" s="19" t="n">
        <v>1151</v>
      </c>
      <c r="C1011" s="20" t="s">
        <v>2493</v>
      </c>
      <c r="D1011" s="20" t="s">
        <v>410</v>
      </c>
      <c r="E1011" s="21" t="s">
        <v>2494</v>
      </c>
      <c r="F1011" s="21" t="n">
        <v>37044</v>
      </c>
      <c r="G1011" s="22" t="s">
        <v>471</v>
      </c>
      <c r="H1011" s="23" t="n">
        <f aca="false">COUNTIF(CAL!U:AF,B1011)</f>
        <v>2</v>
      </c>
      <c r="I1011" s="22" t="n">
        <v>12</v>
      </c>
      <c r="J1011" s="20" t="s">
        <v>2495</v>
      </c>
    </row>
    <row r="1012" customFormat="false" ht="15.75" hidden="false" customHeight="true" outlineLevel="0" collapsed="false">
      <c r="B1012" s="19" t="n">
        <v>1808</v>
      </c>
      <c r="C1012" s="20" t="s">
        <v>806</v>
      </c>
      <c r="D1012" s="20" t="s">
        <v>299</v>
      </c>
      <c r="E1012" s="21" t="s">
        <v>2496</v>
      </c>
      <c r="F1012" s="21" t="n">
        <v>37259</v>
      </c>
      <c r="G1012" s="22" t="s">
        <v>471</v>
      </c>
      <c r="H1012" s="23" t="n">
        <f aca="false">COUNTIF(CAL!U:AF,B1012)</f>
        <v>2</v>
      </c>
      <c r="I1012" s="22" t="n">
        <v>12</v>
      </c>
      <c r="J1012" s="20"/>
    </row>
    <row r="1013" customFormat="false" ht="15.75" hidden="false" customHeight="true" outlineLevel="0" collapsed="false">
      <c r="B1013" s="19" t="n">
        <v>3184</v>
      </c>
      <c r="C1013" s="20" t="s">
        <v>2497</v>
      </c>
      <c r="D1013" s="20" t="s">
        <v>48</v>
      </c>
      <c r="E1013" s="21" t="s">
        <v>2498</v>
      </c>
      <c r="F1013" s="21" t="n">
        <v>35126</v>
      </c>
      <c r="G1013" s="22" t="s">
        <v>492</v>
      </c>
      <c r="H1013" s="23" t="n">
        <f aca="false">COUNTIF(CAL!U:AF,B1013)</f>
        <v>2</v>
      </c>
      <c r="I1013" s="22" t="n">
        <v>12</v>
      </c>
      <c r="J1013" s="20"/>
    </row>
    <row r="1014" customFormat="false" ht="15.75" hidden="false" customHeight="true" outlineLevel="0" collapsed="false">
      <c r="B1014" s="19" t="n">
        <v>1642</v>
      </c>
      <c r="C1014" s="20" t="s">
        <v>2499</v>
      </c>
      <c r="D1014" s="20" t="s">
        <v>49</v>
      </c>
      <c r="E1014" s="21" t="s">
        <v>2500</v>
      </c>
      <c r="F1014" s="21" t="n">
        <v>37558</v>
      </c>
      <c r="G1014" s="22" t="s">
        <v>471</v>
      </c>
      <c r="H1014" s="23" t="n">
        <f aca="false">COUNTIF(CAL!U:AF,B1014)</f>
        <v>2</v>
      </c>
      <c r="I1014" s="22" t="n">
        <v>12</v>
      </c>
      <c r="J1014" s="20" t="s">
        <v>1714</v>
      </c>
    </row>
    <row r="1015" customFormat="false" ht="15.75" hidden="false" customHeight="true" outlineLevel="0" collapsed="false">
      <c r="B1015" s="19" t="n">
        <v>2138</v>
      </c>
      <c r="C1015" s="20" t="s">
        <v>2501</v>
      </c>
      <c r="D1015" s="20" t="s">
        <v>290</v>
      </c>
      <c r="E1015" s="21" t="s">
        <v>2502</v>
      </c>
      <c r="F1015" s="21" t="n">
        <v>36172</v>
      </c>
      <c r="G1015" s="22" t="s">
        <v>471</v>
      </c>
      <c r="H1015" s="23" t="n">
        <f aca="false">COUNTIF(CAL!U:AF,B1015)</f>
        <v>2</v>
      </c>
      <c r="I1015" s="22" t="n">
        <v>12</v>
      </c>
      <c r="J1015" s="20"/>
    </row>
    <row r="1016" customFormat="false" ht="15.75" hidden="false" customHeight="true" outlineLevel="0" collapsed="false">
      <c r="B1016" s="19" t="n">
        <v>2658</v>
      </c>
      <c r="C1016" s="20" t="s">
        <v>2503</v>
      </c>
      <c r="D1016" s="20" t="s">
        <v>55</v>
      </c>
      <c r="E1016" s="21" t="s">
        <v>2504</v>
      </c>
      <c r="F1016" s="21" t="n">
        <v>34065</v>
      </c>
      <c r="G1016" s="22" t="s">
        <v>471</v>
      </c>
      <c r="H1016" s="23" t="n">
        <f aca="false">COUNTIF(CAL!U:AF,B1016)</f>
        <v>2</v>
      </c>
      <c r="I1016" s="22" t="n">
        <v>12</v>
      </c>
      <c r="J1016" s="20"/>
    </row>
    <row r="1017" customFormat="false" ht="15.75" hidden="false" customHeight="true" outlineLevel="0" collapsed="false">
      <c r="B1017" s="19" t="n">
        <v>3168</v>
      </c>
      <c r="C1017" s="20" t="s">
        <v>2505</v>
      </c>
      <c r="D1017" s="20" t="s">
        <v>416</v>
      </c>
      <c r="E1017" s="21" t="s">
        <v>2506</v>
      </c>
      <c r="F1017" s="21" t="n">
        <v>36225</v>
      </c>
      <c r="G1017" s="22" t="s">
        <v>471</v>
      </c>
      <c r="H1017" s="23" t="n">
        <f aca="false">COUNTIF(CAL!U:AF,B1017)</f>
        <v>2</v>
      </c>
      <c r="I1017" s="22" t="n">
        <v>12</v>
      </c>
      <c r="J1017" s="20"/>
    </row>
    <row r="1018" customFormat="false" ht="15.75" hidden="false" customHeight="true" outlineLevel="0" collapsed="false">
      <c r="B1018" s="19" t="n">
        <v>2992</v>
      </c>
      <c r="C1018" s="20" t="s">
        <v>2507</v>
      </c>
      <c r="D1018" s="20" t="s">
        <v>182</v>
      </c>
      <c r="E1018" s="21" t="s">
        <v>2508</v>
      </c>
      <c r="F1018" s="21" t="n">
        <v>35354</v>
      </c>
      <c r="G1018" s="22" t="s">
        <v>471</v>
      </c>
      <c r="H1018" s="23" t="n">
        <f aca="false">COUNTIF(CAL!U:AF,B1018)</f>
        <v>2</v>
      </c>
      <c r="I1018" s="22" t="n">
        <v>12</v>
      </c>
      <c r="J1018" s="20"/>
    </row>
    <row r="1019" customFormat="false" ht="15.75" hidden="false" customHeight="true" outlineLevel="0" collapsed="false">
      <c r="B1019" s="19" t="n">
        <v>2661</v>
      </c>
      <c r="C1019" s="20" t="s">
        <v>2509</v>
      </c>
      <c r="D1019" s="20" t="s">
        <v>301</v>
      </c>
      <c r="E1019" s="21" t="s">
        <v>2510</v>
      </c>
      <c r="F1019" s="21" t="n">
        <v>37349</v>
      </c>
      <c r="G1019" s="22" t="s">
        <v>471</v>
      </c>
      <c r="H1019" s="23" t="n">
        <f aca="false">COUNTIF(CAL!U:AF,B1019)</f>
        <v>2</v>
      </c>
      <c r="I1019" s="22" t="n">
        <v>12</v>
      </c>
      <c r="J1019" s="20" t="s">
        <v>2322</v>
      </c>
    </row>
    <row r="1020" customFormat="false" ht="15.75" hidden="false" customHeight="true" outlineLevel="0" collapsed="false">
      <c r="B1020" s="19" t="n">
        <v>1163</v>
      </c>
      <c r="C1020" s="20" t="s">
        <v>2511</v>
      </c>
      <c r="D1020" s="20" t="s">
        <v>42</v>
      </c>
      <c r="E1020" s="21" t="s">
        <v>2512</v>
      </c>
      <c r="F1020" s="21" t="n">
        <v>35726</v>
      </c>
      <c r="G1020" s="22" t="s">
        <v>471</v>
      </c>
      <c r="H1020" s="23" t="n">
        <f aca="false">COUNTIF(CAL!U:AF,B1020)</f>
        <v>2</v>
      </c>
      <c r="I1020" s="22" t="n">
        <v>12</v>
      </c>
      <c r="J1020" s="20"/>
    </row>
    <row r="1021" customFormat="false" ht="15.75" hidden="false" customHeight="true" outlineLevel="0" collapsed="false">
      <c r="B1021" s="19" t="n">
        <v>3140</v>
      </c>
      <c r="C1021" s="20" t="s">
        <v>2513</v>
      </c>
      <c r="D1021" s="20" t="s">
        <v>301</v>
      </c>
      <c r="E1021" s="21" t="s">
        <v>2514</v>
      </c>
      <c r="F1021" s="21" t="n">
        <v>38754</v>
      </c>
      <c r="G1021" s="22" t="s">
        <v>471</v>
      </c>
      <c r="H1021" s="23" t="n">
        <f aca="false">COUNTIF(CAL!U:AF,B1021)</f>
        <v>2</v>
      </c>
      <c r="I1021" s="22" t="n">
        <v>12</v>
      </c>
      <c r="J1021" s="20"/>
    </row>
    <row r="1022" customFormat="false" ht="15.75" hidden="false" customHeight="true" outlineLevel="0" collapsed="false">
      <c r="B1022" s="19" t="n">
        <v>1730</v>
      </c>
      <c r="C1022" s="20" t="s">
        <v>2515</v>
      </c>
      <c r="D1022" s="20" t="s">
        <v>33</v>
      </c>
      <c r="E1022" s="21" t="s">
        <v>2516</v>
      </c>
      <c r="F1022" s="21" t="n">
        <v>36705</v>
      </c>
      <c r="G1022" s="22" t="s">
        <v>504</v>
      </c>
      <c r="H1022" s="23" t="n">
        <f aca="false">COUNTIF(CAL!U:AF,B1022)</f>
        <v>2</v>
      </c>
      <c r="I1022" s="22" t="n">
        <v>12</v>
      </c>
      <c r="J1022" s="20"/>
    </row>
    <row r="1023" customFormat="false" ht="15.75" hidden="false" customHeight="true" outlineLevel="0" collapsed="false">
      <c r="B1023" s="19" t="n">
        <v>2272</v>
      </c>
      <c r="C1023" s="20" t="s">
        <v>2517</v>
      </c>
      <c r="D1023" s="20" t="s">
        <v>234</v>
      </c>
      <c r="E1023" s="24" t="s">
        <v>2518</v>
      </c>
      <c r="F1023" s="21" t="n">
        <v>36320</v>
      </c>
      <c r="G1023" s="22" t="s">
        <v>471</v>
      </c>
      <c r="H1023" s="23" t="n">
        <f aca="false">COUNTIF(CAL!U:AF,B1023)</f>
        <v>2</v>
      </c>
      <c r="I1023" s="22" t="n">
        <v>12</v>
      </c>
      <c r="J1023" s="20"/>
    </row>
    <row r="1024" customFormat="false" ht="15.75" hidden="false" customHeight="true" outlineLevel="0" collapsed="false">
      <c r="B1024" s="19" t="n">
        <v>2461</v>
      </c>
      <c r="C1024" s="20" t="s">
        <v>2519</v>
      </c>
      <c r="D1024" s="20" t="s">
        <v>365</v>
      </c>
      <c r="E1024" s="21" t="s">
        <v>2520</v>
      </c>
      <c r="F1024" s="21" t="n">
        <v>37116</v>
      </c>
      <c r="G1024" s="22" t="s">
        <v>471</v>
      </c>
      <c r="H1024" s="23" t="n">
        <f aca="false">COUNTIF(CAL!U:AF,B1024)</f>
        <v>2</v>
      </c>
      <c r="I1024" s="22" t="n">
        <v>12</v>
      </c>
      <c r="J1024" s="20"/>
    </row>
    <row r="1025" customFormat="false" ht="15.75" hidden="false" customHeight="true" outlineLevel="0" collapsed="false">
      <c r="B1025" s="19" t="n">
        <v>1162</v>
      </c>
      <c r="C1025" s="20" t="s">
        <v>2521</v>
      </c>
      <c r="D1025" s="20" t="s">
        <v>42</v>
      </c>
      <c r="E1025" s="21" t="s">
        <v>2522</v>
      </c>
      <c r="F1025" s="21" t="n">
        <v>37582</v>
      </c>
      <c r="G1025" s="22" t="s">
        <v>471</v>
      </c>
      <c r="H1025" s="23" t="n">
        <f aca="false">COUNTIF(CAL!U:AF,B1025)</f>
        <v>2</v>
      </c>
      <c r="I1025" s="22" t="n">
        <v>12</v>
      </c>
      <c r="J1025" s="20"/>
    </row>
    <row r="1026" customFormat="false" ht="15.75" hidden="false" customHeight="true" outlineLevel="0" collapsed="false">
      <c r="B1026" s="19" t="n">
        <v>2786</v>
      </c>
      <c r="C1026" s="20" t="s">
        <v>2523</v>
      </c>
      <c r="D1026" s="20" t="s">
        <v>269</v>
      </c>
      <c r="E1026" s="21" t="s">
        <v>2524</v>
      </c>
      <c r="F1026" s="21" t="n">
        <v>36410</v>
      </c>
      <c r="G1026" s="22" t="s">
        <v>471</v>
      </c>
      <c r="H1026" s="23" t="n">
        <f aca="false">COUNTIF(CAL!U:AF,B1026)</f>
        <v>2</v>
      </c>
      <c r="I1026" s="22" t="n">
        <v>12</v>
      </c>
      <c r="J1026" s="20"/>
    </row>
    <row r="1027" customFormat="false" ht="15.75" hidden="false" customHeight="true" outlineLevel="0" collapsed="false">
      <c r="B1027" s="19" t="n">
        <v>1177</v>
      </c>
      <c r="C1027" s="20" t="s">
        <v>2525</v>
      </c>
      <c r="D1027" s="20" t="s">
        <v>201</v>
      </c>
      <c r="E1027" s="21" t="s">
        <v>2526</v>
      </c>
      <c r="F1027" s="21" t="n">
        <v>34692</v>
      </c>
      <c r="G1027" s="22" t="s">
        <v>471</v>
      </c>
      <c r="H1027" s="23" t="n">
        <f aca="false">COUNTIF(CAL!U:AF,B1027)</f>
        <v>2</v>
      </c>
      <c r="I1027" s="22" t="n">
        <v>12</v>
      </c>
      <c r="J1027" s="20"/>
    </row>
    <row r="1028" customFormat="false" ht="15.75" hidden="false" customHeight="true" outlineLevel="0" collapsed="false">
      <c r="B1028" s="19" t="n">
        <v>2751</v>
      </c>
      <c r="C1028" s="20" t="s">
        <v>2527</v>
      </c>
      <c r="D1028" s="20" t="s">
        <v>207</v>
      </c>
      <c r="E1028" s="21" t="s">
        <v>2528</v>
      </c>
      <c r="F1028" s="21" t="n">
        <v>34349</v>
      </c>
      <c r="G1028" s="22" t="s">
        <v>2529</v>
      </c>
      <c r="H1028" s="23" t="n">
        <f aca="false">COUNTIF(CAL!U:AF,B1028)</f>
        <v>2</v>
      </c>
      <c r="I1028" s="22" t="n">
        <v>12</v>
      </c>
      <c r="J1028" s="20"/>
    </row>
    <row r="1029" customFormat="false" ht="15.75" hidden="false" customHeight="true" outlineLevel="0" collapsed="false">
      <c r="B1029" s="19" t="n">
        <v>2590</v>
      </c>
      <c r="C1029" s="20" t="s">
        <v>2530</v>
      </c>
      <c r="D1029" s="20" t="s">
        <v>167</v>
      </c>
      <c r="E1029" s="21" t="s">
        <v>2531</v>
      </c>
      <c r="F1029" s="21" t="n">
        <v>38035</v>
      </c>
      <c r="G1029" s="22" t="s">
        <v>471</v>
      </c>
      <c r="H1029" s="23" t="n">
        <f aca="false">COUNTIF(CAL!U:AF,B1029)</f>
        <v>2</v>
      </c>
      <c r="I1029" s="22" t="n">
        <v>12</v>
      </c>
      <c r="J1029" s="20"/>
    </row>
    <row r="1030" customFormat="false" ht="15.75" hidden="false" customHeight="true" outlineLevel="0" collapsed="false">
      <c r="B1030" s="19" t="n">
        <v>2088</v>
      </c>
      <c r="C1030" s="20" t="s">
        <v>2532</v>
      </c>
      <c r="D1030" s="20" t="s">
        <v>197</v>
      </c>
      <c r="E1030" s="21" t="s">
        <v>2533</v>
      </c>
      <c r="F1030" s="21" t="n">
        <v>36318</v>
      </c>
      <c r="G1030" s="22" t="s">
        <v>471</v>
      </c>
      <c r="H1030" s="23" t="n">
        <f aca="false">COUNTIF(CAL!U:AF,B1030)</f>
        <v>2</v>
      </c>
      <c r="I1030" s="22" t="n">
        <v>12</v>
      </c>
      <c r="J1030" s="20"/>
    </row>
    <row r="1031" customFormat="false" ht="15.75" hidden="false" customHeight="true" outlineLevel="0" collapsed="false">
      <c r="B1031" s="19" t="n">
        <v>2335</v>
      </c>
      <c r="C1031" s="20" t="s">
        <v>2534</v>
      </c>
      <c r="D1031" s="20" t="s">
        <v>330</v>
      </c>
      <c r="E1031" s="21" t="s">
        <v>2535</v>
      </c>
      <c r="F1031" s="21" t="n">
        <v>38141</v>
      </c>
      <c r="G1031" s="22" t="s">
        <v>471</v>
      </c>
      <c r="H1031" s="23" t="n">
        <f aca="false">COUNTIF(CAL!U:AF,B1031)</f>
        <v>2</v>
      </c>
      <c r="I1031" s="22" t="n">
        <v>12</v>
      </c>
      <c r="J1031" s="20"/>
    </row>
    <row r="1032" customFormat="false" ht="15.75" hidden="false" customHeight="true" outlineLevel="0" collapsed="false">
      <c r="B1032" s="19" t="n">
        <v>1449</v>
      </c>
      <c r="C1032" s="20" t="s">
        <v>2536</v>
      </c>
      <c r="D1032" s="20" t="s">
        <v>131</v>
      </c>
      <c r="E1032" s="21" t="s">
        <v>2537</v>
      </c>
      <c r="F1032" s="21" t="n">
        <v>37790</v>
      </c>
      <c r="G1032" s="22" t="s">
        <v>471</v>
      </c>
      <c r="H1032" s="23" t="n">
        <f aca="false">COUNTIF(CAL!U:AF,B1032)</f>
        <v>2</v>
      </c>
      <c r="I1032" s="22" t="n">
        <v>12</v>
      </c>
      <c r="J1032" s="20"/>
    </row>
    <row r="1033" customFormat="false" ht="15.75" hidden="false" customHeight="true" outlineLevel="0" collapsed="false">
      <c r="B1033" s="19" t="n">
        <v>1425</v>
      </c>
      <c r="C1033" s="20" t="s">
        <v>2538</v>
      </c>
      <c r="D1033" s="20" t="s">
        <v>47</v>
      </c>
      <c r="E1033" s="21" t="s">
        <v>2539</v>
      </c>
      <c r="F1033" s="21" t="n">
        <v>37829</v>
      </c>
      <c r="G1033" s="22" t="s">
        <v>471</v>
      </c>
      <c r="H1033" s="23" t="n">
        <f aca="false">COUNTIF(CAL!U:AF,B1033)</f>
        <v>2</v>
      </c>
      <c r="I1033" s="22" t="n">
        <v>12</v>
      </c>
      <c r="J1033" s="20"/>
    </row>
    <row r="1034" customFormat="false" ht="15.75" hidden="false" customHeight="true" outlineLevel="0" collapsed="false">
      <c r="B1034" s="19" t="n">
        <v>1855</v>
      </c>
      <c r="C1034" s="20" t="s">
        <v>2540</v>
      </c>
      <c r="D1034" s="20" t="s">
        <v>335</v>
      </c>
      <c r="E1034" s="21" t="s">
        <v>2541</v>
      </c>
      <c r="F1034" s="21" t="n">
        <v>35680</v>
      </c>
      <c r="G1034" s="22" t="s">
        <v>471</v>
      </c>
      <c r="H1034" s="23" t="n">
        <f aca="false">COUNTIF(CAL!U:AF,B1034)</f>
        <v>2</v>
      </c>
      <c r="I1034" s="22" t="n">
        <v>12</v>
      </c>
      <c r="J1034" s="20"/>
    </row>
    <row r="1035" customFormat="false" ht="15.75" hidden="false" customHeight="true" outlineLevel="0" collapsed="false">
      <c r="B1035" s="19" t="n">
        <v>2235</v>
      </c>
      <c r="C1035" s="20" t="s">
        <v>2542</v>
      </c>
      <c r="D1035" s="20" t="s">
        <v>189</v>
      </c>
      <c r="E1035" s="21" t="s">
        <v>2543</v>
      </c>
      <c r="F1035" s="21" t="n">
        <v>36771</v>
      </c>
      <c r="G1035" s="22" t="s">
        <v>471</v>
      </c>
      <c r="H1035" s="23" t="n">
        <f aca="false">COUNTIF(CAL!U:AF,B1035)</f>
        <v>2</v>
      </c>
      <c r="I1035" s="22" t="n">
        <v>12</v>
      </c>
      <c r="J1035" s="20"/>
    </row>
    <row r="1036" customFormat="false" ht="15.75" hidden="false" customHeight="true" outlineLevel="0" collapsed="false">
      <c r="B1036" s="19" t="n">
        <v>2089</v>
      </c>
      <c r="C1036" s="20" t="s">
        <v>2544</v>
      </c>
      <c r="D1036" s="20" t="s">
        <v>121</v>
      </c>
      <c r="E1036" s="21" t="s">
        <v>2545</v>
      </c>
      <c r="F1036" s="21" t="n">
        <v>36058</v>
      </c>
      <c r="G1036" s="22" t="s">
        <v>471</v>
      </c>
      <c r="H1036" s="23" t="n">
        <f aca="false">COUNTIF(CAL!U:AF,B1036)</f>
        <v>2</v>
      </c>
      <c r="I1036" s="22" t="n">
        <v>12</v>
      </c>
      <c r="J1036" s="20"/>
    </row>
    <row r="1037" customFormat="false" ht="15.75" hidden="false" customHeight="true" outlineLevel="0" collapsed="false">
      <c r="B1037" s="19" t="n">
        <v>2059</v>
      </c>
      <c r="C1037" s="20" t="s">
        <v>2546</v>
      </c>
      <c r="D1037" s="20" t="s">
        <v>235</v>
      </c>
      <c r="E1037" s="21" t="s">
        <v>2547</v>
      </c>
      <c r="F1037" s="21" t="n">
        <v>35841</v>
      </c>
      <c r="G1037" s="22" t="s">
        <v>471</v>
      </c>
      <c r="H1037" s="23" t="n">
        <f aca="false">COUNTIF(CAL!U:AF,B1037)</f>
        <v>2</v>
      </c>
      <c r="I1037" s="22" t="n">
        <v>13</v>
      </c>
      <c r="J1037" s="20" t="s">
        <v>2548</v>
      </c>
    </row>
    <row r="1038" customFormat="false" ht="15.75" hidden="false" customHeight="true" outlineLevel="0" collapsed="false">
      <c r="B1038" s="19" t="n">
        <v>1994</v>
      </c>
      <c r="C1038" s="20" t="s">
        <v>2549</v>
      </c>
      <c r="D1038" s="20" t="s">
        <v>315</v>
      </c>
      <c r="E1038" s="21" t="s">
        <v>2550</v>
      </c>
      <c r="F1038" s="21" t="n">
        <v>36681</v>
      </c>
      <c r="G1038" s="22" t="s">
        <v>471</v>
      </c>
      <c r="H1038" s="23" t="n">
        <f aca="false">COUNTIF(CAL!U:AF,B1038)</f>
        <v>2</v>
      </c>
      <c r="I1038" s="22" t="n">
        <v>13</v>
      </c>
      <c r="J1038" s="20" t="s">
        <v>2551</v>
      </c>
    </row>
    <row r="1039" customFormat="false" ht="15.75" hidden="false" customHeight="true" outlineLevel="0" collapsed="false">
      <c r="B1039" s="19" t="n">
        <v>2910</v>
      </c>
      <c r="C1039" s="20" t="s">
        <v>2552</v>
      </c>
      <c r="D1039" s="20" t="s">
        <v>369</v>
      </c>
      <c r="E1039" s="24" t="s">
        <v>2553</v>
      </c>
      <c r="F1039" s="21" t="n">
        <v>38075</v>
      </c>
      <c r="G1039" s="22" t="s">
        <v>471</v>
      </c>
      <c r="H1039" s="23" t="n">
        <f aca="false">COUNTIF(CAL!U:AF,B1039)</f>
        <v>2</v>
      </c>
      <c r="I1039" s="22" t="n">
        <v>13</v>
      </c>
      <c r="J1039" s="20"/>
    </row>
    <row r="1040" customFormat="false" ht="15.75" hidden="false" customHeight="true" outlineLevel="0" collapsed="false">
      <c r="B1040" s="19" t="n">
        <v>3297</v>
      </c>
      <c r="C1040" s="20" t="s">
        <v>939</v>
      </c>
      <c r="D1040" s="20" t="s">
        <v>268</v>
      </c>
      <c r="E1040" s="21" t="s">
        <v>2554</v>
      </c>
      <c r="F1040" s="21" t="n">
        <v>34989</v>
      </c>
      <c r="G1040" s="22" t="s">
        <v>471</v>
      </c>
      <c r="H1040" s="23" t="n">
        <f aca="false">COUNTIF(CAL!U:AF,B1040)</f>
        <v>2</v>
      </c>
      <c r="I1040" s="22" t="n">
        <v>13</v>
      </c>
      <c r="J1040" s="20"/>
    </row>
    <row r="1041" customFormat="false" ht="15.75" hidden="false" customHeight="true" outlineLevel="0" collapsed="false">
      <c r="B1041" s="19" t="n">
        <v>1047</v>
      </c>
      <c r="C1041" s="20" t="s">
        <v>2555</v>
      </c>
      <c r="D1041" s="20" t="s">
        <v>70</v>
      </c>
      <c r="E1041" s="21" t="s">
        <v>2556</v>
      </c>
      <c r="F1041" s="21" t="n">
        <v>37850</v>
      </c>
      <c r="G1041" s="22" t="s">
        <v>471</v>
      </c>
      <c r="H1041" s="23" t="n">
        <f aca="false">COUNTIF(CAL!U:AF,B1041)</f>
        <v>2</v>
      </c>
      <c r="I1041" s="22" t="n">
        <v>13</v>
      </c>
      <c r="J1041" s="20"/>
    </row>
    <row r="1042" customFormat="false" ht="15.75" hidden="false" customHeight="true" outlineLevel="0" collapsed="false">
      <c r="B1042" s="19" t="n">
        <v>1141</v>
      </c>
      <c r="C1042" s="20" t="s">
        <v>1943</v>
      </c>
      <c r="D1042" s="20" t="s">
        <v>445</v>
      </c>
      <c r="E1042" s="21" t="s">
        <v>2557</v>
      </c>
      <c r="F1042" s="21" t="n">
        <v>36063</v>
      </c>
      <c r="G1042" s="22" t="s">
        <v>471</v>
      </c>
      <c r="H1042" s="23" t="n">
        <f aca="false">COUNTIF(CAL!U:AF,B1042)</f>
        <v>2</v>
      </c>
      <c r="I1042" s="22" t="n">
        <v>13</v>
      </c>
      <c r="J1042" s="20" t="s">
        <v>2558</v>
      </c>
    </row>
    <row r="1043" customFormat="false" ht="15.75" hidden="false" customHeight="true" outlineLevel="0" collapsed="false">
      <c r="B1043" s="19" t="n">
        <v>2427</v>
      </c>
      <c r="C1043" s="20" t="s">
        <v>2559</v>
      </c>
      <c r="D1043" s="20" t="s">
        <v>151</v>
      </c>
      <c r="E1043" s="24" t="s">
        <v>2560</v>
      </c>
      <c r="F1043" s="21" t="n">
        <v>35988</v>
      </c>
      <c r="G1043" s="22" t="s">
        <v>471</v>
      </c>
      <c r="H1043" s="23" t="n">
        <f aca="false">COUNTIF(CAL!U:AF,B1043)</f>
        <v>2</v>
      </c>
      <c r="I1043" s="22" t="n">
        <v>13</v>
      </c>
      <c r="J1043" s="20"/>
    </row>
    <row r="1044" customFormat="false" ht="15.75" hidden="false" customHeight="true" outlineLevel="0" collapsed="false">
      <c r="B1044" s="19" t="n">
        <v>1849</v>
      </c>
      <c r="C1044" s="20" t="s">
        <v>2561</v>
      </c>
      <c r="D1044" s="20" t="s">
        <v>331</v>
      </c>
      <c r="E1044" s="21" t="s">
        <v>2562</v>
      </c>
      <c r="F1044" s="21" t="n">
        <v>38180</v>
      </c>
      <c r="G1044" s="22" t="s">
        <v>471</v>
      </c>
      <c r="H1044" s="23" t="n">
        <f aca="false">COUNTIF(CAL!U:AF,B1044)</f>
        <v>2</v>
      </c>
      <c r="I1044" s="22" t="n">
        <v>13</v>
      </c>
      <c r="J1044" s="20"/>
    </row>
    <row r="1045" customFormat="false" ht="15.75" hidden="false" customHeight="true" outlineLevel="0" collapsed="false">
      <c r="B1045" s="19" t="n">
        <v>1666</v>
      </c>
      <c r="C1045" s="20" t="s">
        <v>2563</v>
      </c>
      <c r="D1045" s="20" t="s">
        <v>134</v>
      </c>
      <c r="E1045" s="21" t="s">
        <v>2564</v>
      </c>
      <c r="F1045" s="21" t="n">
        <v>36913</v>
      </c>
      <c r="G1045" s="22" t="s">
        <v>471</v>
      </c>
      <c r="H1045" s="23" t="n">
        <f aca="false">COUNTIF(CAL!U:AF,B1045)</f>
        <v>2</v>
      </c>
      <c r="I1045" s="22" t="n">
        <v>13</v>
      </c>
      <c r="J1045" s="20"/>
    </row>
    <row r="1046" customFormat="false" ht="15.75" hidden="false" customHeight="true" outlineLevel="0" collapsed="false">
      <c r="B1046" s="19" t="n">
        <v>2753</v>
      </c>
      <c r="C1046" s="20" t="s">
        <v>2565</v>
      </c>
      <c r="D1046" s="20" t="s">
        <v>233</v>
      </c>
      <c r="E1046" s="21" t="s">
        <v>2566</v>
      </c>
      <c r="F1046" s="21" t="n">
        <v>37173</v>
      </c>
      <c r="G1046" s="22" t="s">
        <v>471</v>
      </c>
      <c r="H1046" s="23" t="n">
        <f aca="false">COUNTIF(CAL!U:AF,B1046)</f>
        <v>2</v>
      </c>
      <c r="I1046" s="22" t="n">
        <v>13</v>
      </c>
      <c r="J1046" s="20"/>
    </row>
    <row r="1047" customFormat="false" ht="15.75" hidden="false" customHeight="true" outlineLevel="0" collapsed="false">
      <c r="B1047" s="19" t="n">
        <v>2338</v>
      </c>
      <c r="C1047" s="20" t="s">
        <v>2567</v>
      </c>
      <c r="D1047" s="20" t="s">
        <v>347</v>
      </c>
      <c r="E1047" s="21" t="s">
        <v>2568</v>
      </c>
      <c r="F1047" s="21" t="n">
        <v>37208</v>
      </c>
      <c r="G1047" s="22" t="s">
        <v>471</v>
      </c>
      <c r="H1047" s="23" t="n">
        <f aca="false">COUNTIF(CAL!U:AF,B1047)</f>
        <v>2</v>
      </c>
      <c r="I1047" s="22" t="n">
        <v>13</v>
      </c>
      <c r="J1047" s="20"/>
    </row>
    <row r="1048" customFormat="false" ht="15.75" hidden="false" customHeight="true" outlineLevel="0" collapsed="false">
      <c r="B1048" s="19" t="n">
        <v>1889</v>
      </c>
      <c r="C1048" s="20" t="s">
        <v>1749</v>
      </c>
      <c r="D1048" s="20" t="s">
        <v>38</v>
      </c>
      <c r="E1048" s="21" t="s">
        <v>2569</v>
      </c>
      <c r="F1048" s="21" t="n">
        <v>35885</v>
      </c>
      <c r="G1048" s="22" t="s">
        <v>471</v>
      </c>
      <c r="H1048" s="23" t="n">
        <f aca="false">COUNTIF(CAL!U:AF,B1048)</f>
        <v>2</v>
      </c>
      <c r="I1048" s="22" t="n">
        <v>13</v>
      </c>
      <c r="J1048" s="20"/>
    </row>
    <row r="1049" customFormat="false" ht="15.75" hidden="false" customHeight="true" outlineLevel="0" collapsed="false">
      <c r="B1049" s="19" t="n">
        <v>1592</v>
      </c>
      <c r="C1049" s="20" t="s">
        <v>2570</v>
      </c>
      <c r="D1049" s="20" t="s">
        <v>292</v>
      </c>
      <c r="E1049" s="24" t="s">
        <v>2571</v>
      </c>
      <c r="F1049" s="21" t="n">
        <v>33519</v>
      </c>
      <c r="G1049" s="22" t="s">
        <v>471</v>
      </c>
      <c r="H1049" s="23" t="n">
        <f aca="false">COUNTIF(CAL!U:AF,B1049)</f>
        <v>2</v>
      </c>
      <c r="I1049" s="22" t="n">
        <v>13</v>
      </c>
      <c r="J1049" s="20"/>
    </row>
    <row r="1050" customFormat="false" ht="15.75" hidden="false" customHeight="true" outlineLevel="0" collapsed="false">
      <c r="B1050" s="19" t="n">
        <v>3269</v>
      </c>
      <c r="C1050" s="20" t="s">
        <v>2572</v>
      </c>
      <c r="D1050" s="20" t="s">
        <v>377</v>
      </c>
      <c r="E1050" s="21" t="s">
        <v>2573</v>
      </c>
      <c r="F1050" s="21" t="n">
        <v>37786</v>
      </c>
      <c r="G1050" s="22" t="s">
        <v>471</v>
      </c>
      <c r="H1050" s="23" t="n">
        <f aca="false">COUNTIF(CAL!U:AF,B1050)</f>
        <v>2</v>
      </c>
      <c r="I1050" s="22" t="n">
        <v>13</v>
      </c>
      <c r="J1050" s="20"/>
    </row>
    <row r="1051" customFormat="false" ht="15.75" hidden="false" customHeight="true" outlineLevel="0" collapsed="false">
      <c r="B1051" s="19" t="n">
        <v>2978</v>
      </c>
      <c r="C1051" s="20" t="s">
        <v>2574</v>
      </c>
      <c r="D1051" s="20" t="s">
        <v>266</v>
      </c>
      <c r="E1051" s="24" t="s">
        <v>2575</v>
      </c>
      <c r="F1051" s="21" t="n">
        <v>38123</v>
      </c>
      <c r="G1051" s="22" t="s">
        <v>471</v>
      </c>
      <c r="H1051" s="23" t="n">
        <f aca="false">COUNTIF(CAL!U:AF,B1051)</f>
        <v>2</v>
      </c>
      <c r="I1051" s="22" t="n">
        <v>13</v>
      </c>
      <c r="J1051" s="20"/>
    </row>
    <row r="1052" customFormat="false" ht="15.75" hidden="false" customHeight="true" outlineLevel="0" collapsed="false">
      <c r="B1052" s="19" t="n">
        <v>3083</v>
      </c>
      <c r="C1052" s="20" t="s">
        <v>2576</v>
      </c>
      <c r="D1052" s="20" t="s">
        <v>251</v>
      </c>
      <c r="E1052" s="21" t="s">
        <v>2577</v>
      </c>
      <c r="F1052" s="21" t="n">
        <v>36316</v>
      </c>
      <c r="G1052" s="22" t="s">
        <v>471</v>
      </c>
      <c r="H1052" s="23" t="n">
        <f aca="false">COUNTIF(CAL!U:AF,B1052)</f>
        <v>2</v>
      </c>
      <c r="I1052" s="22" t="n">
        <v>13</v>
      </c>
      <c r="J1052" s="20"/>
    </row>
    <row r="1053" customFormat="false" ht="15.75" hidden="false" customHeight="true" outlineLevel="0" collapsed="false">
      <c r="B1053" s="19" t="n">
        <v>2572</v>
      </c>
      <c r="C1053" s="20" t="s">
        <v>2578</v>
      </c>
      <c r="D1053" s="20" t="s">
        <v>195</v>
      </c>
      <c r="E1053" s="21" t="s">
        <v>2579</v>
      </c>
      <c r="F1053" s="21" t="n">
        <v>38513</v>
      </c>
      <c r="G1053" s="22" t="s">
        <v>471</v>
      </c>
      <c r="H1053" s="23" t="n">
        <f aca="false">COUNTIF(CAL!U:AF,B1053)</f>
        <v>2</v>
      </c>
      <c r="I1053" s="22" t="n">
        <v>13</v>
      </c>
      <c r="J1053" s="20"/>
    </row>
    <row r="1054" customFormat="false" ht="15.75" hidden="false" customHeight="true" outlineLevel="0" collapsed="false">
      <c r="B1054" s="19" t="n">
        <v>1051</v>
      </c>
      <c r="C1054" s="20" t="s">
        <v>2580</v>
      </c>
      <c r="D1054" s="20" t="s">
        <v>155</v>
      </c>
      <c r="E1054" s="21" t="s">
        <v>2581</v>
      </c>
      <c r="F1054" s="21" t="n">
        <v>35874</v>
      </c>
      <c r="G1054" s="22" t="s">
        <v>471</v>
      </c>
      <c r="H1054" s="23" t="n">
        <f aca="false">COUNTIF(CAL!U:AF,B1054)</f>
        <v>2</v>
      </c>
      <c r="I1054" s="22" t="n">
        <v>13</v>
      </c>
      <c r="J1054" s="20"/>
    </row>
    <row r="1055" customFormat="false" ht="15.75" hidden="false" customHeight="true" outlineLevel="0" collapsed="false">
      <c r="B1055" s="19" t="n">
        <v>2168</v>
      </c>
      <c r="C1055" s="20" t="s">
        <v>2237</v>
      </c>
      <c r="D1055" s="20" t="s">
        <v>367</v>
      </c>
      <c r="E1055" s="21" t="s">
        <v>2582</v>
      </c>
      <c r="F1055" s="21" t="n">
        <v>36364</v>
      </c>
      <c r="G1055" s="22" t="s">
        <v>661</v>
      </c>
      <c r="H1055" s="23" t="n">
        <f aca="false">COUNTIF(CAL!U:AF,B1055)</f>
        <v>2</v>
      </c>
      <c r="I1055" s="22" t="n">
        <v>13</v>
      </c>
      <c r="J1055" s="20"/>
    </row>
    <row r="1056" customFormat="false" ht="15.75" hidden="false" customHeight="true" outlineLevel="0" collapsed="false">
      <c r="B1056" s="19" t="n">
        <v>1212</v>
      </c>
      <c r="C1056" s="20" t="s">
        <v>2583</v>
      </c>
      <c r="D1056" s="20" t="s">
        <v>236</v>
      </c>
      <c r="E1056" s="21" t="s">
        <v>2584</v>
      </c>
      <c r="F1056" s="21" t="n">
        <v>38101</v>
      </c>
      <c r="G1056" s="22" t="s">
        <v>471</v>
      </c>
      <c r="H1056" s="23" t="n">
        <f aca="false">COUNTIF(CAL!U:AF,B1056)</f>
        <v>2</v>
      </c>
      <c r="I1056" s="22" t="n">
        <v>13</v>
      </c>
      <c r="J1056" s="20"/>
    </row>
    <row r="1057" customFormat="false" ht="15.75" hidden="false" customHeight="true" outlineLevel="0" collapsed="false">
      <c r="B1057" s="19" t="n">
        <v>1220</v>
      </c>
      <c r="C1057" s="20" t="s">
        <v>2585</v>
      </c>
      <c r="D1057" s="20" t="s">
        <v>240</v>
      </c>
      <c r="E1057" s="21" t="s">
        <v>2586</v>
      </c>
      <c r="F1057" s="21" t="n">
        <v>32166</v>
      </c>
      <c r="G1057" s="22" t="s">
        <v>471</v>
      </c>
      <c r="H1057" s="23" t="n">
        <f aca="false">COUNTIF(CAL!U:AF,B1057)</f>
        <v>2</v>
      </c>
      <c r="I1057" s="22" t="n">
        <v>13</v>
      </c>
      <c r="J1057" s="20"/>
    </row>
    <row r="1058" customFormat="false" ht="15.75" hidden="false" customHeight="true" outlineLevel="0" collapsed="false">
      <c r="B1058" s="19" t="n">
        <v>1731</v>
      </c>
      <c r="C1058" s="20" t="s">
        <v>2587</v>
      </c>
      <c r="D1058" s="20" t="s">
        <v>182</v>
      </c>
      <c r="E1058" s="21" t="s">
        <v>2588</v>
      </c>
      <c r="F1058" s="21" t="n">
        <v>36787</v>
      </c>
      <c r="G1058" s="22" t="s">
        <v>471</v>
      </c>
      <c r="H1058" s="23" t="n">
        <f aca="false">COUNTIF(CAL!U:AF,B1058)</f>
        <v>2</v>
      </c>
      <c r="I1058" s="22" t="n">
        <v>13</v>
      </c>
      <c r="J1058" s="20"/>
    </row>
    <row r="1059" customFormat="false" ht="15.75" hidden="false" customHeight="true" outlineLevel="0" collapsed="false">
      <c r="B1059" s="19" t="n">
        <v>2495</v>
      </c>
      <c r="C1059" s="20" t="s">
        <v>2589</v>
      </c>
      <c r="D1059" s="20" t="s">
        <v>140</v>
      </c>
      <c r="E1059" s="21" t="s">
        <v>2590</v>
      </c>
      <c r="F1059" s="21" t="n">
        <v>32184</v>
      </c>
      <c r="G1059" s="22" t="s">
        <v>471</v>
      </c>
      <c r="H1059" s="23" t="n">
        <f aca="false">COUNTIF(CAL!U:AF,B1059)</f>
        <v>2</v>
      </c>
      <c r="I1059" s="22" t="n">
        <v>13</v>
      </c>
      <c r="J1059" s="20"/>
    </row>
    <row r="1060" customFormat="false" ht="15.75" hidden="false" customHeight="true" outlineLevel="0" collapsed="false">
      <c r="B1060" s="19" t="n">
        <v>3202</v>
      </c>
      <c r="C1060" s="20" t="s">
        <v>2591</v>
      </c>
      <c r="D1060" s="20" t="s">
        <v>334</v>
      </c>
      <c r="E1060" s="21" t="s">
        <v>2592</v>
      </c>
      <c r="F1060" s="21" t="n">
        <v>34468</v>
      </c>
      <c r="G1060" s="22" t="s">
        <v>471</v>
      </c>
      <c r="H1060" s="23" t="n">
        <f aca="false">COUNTIF(CAL!U:AF,B1060)</f>
        <v>2</v>
      </c>
      <c r="I1060" s="22" t="n">
        <v>14</v>
      </c>
      <c r="J1060" s="20"/>
    </row>
    <row r="1061" customFormat="false" ht="15.75" hidden="false" customHeight="true" outlineLevel="0" collapsed="false">
      <c r="B1061" s="19" t="n">
        <v>2717</v>
      </c>
      <c r="C1061" s="20" t="s">
        <v>2593</v>
      </c>
      <c r="D1061" s="20" t="s">
        <v>236</v>
      </c>
      <c r="E1061" s="24" t="s">
        <v>2594</v>
      </c>
      <c r="F1061" s="21" t="n">
        <v>38149</v>
      </c>
      <c r="G1061" s="22" t="s">
        <v>471</v>
      </c>
      <c r="H1061" s="23" t="n">
        <f aca="false">COUNTIF(CAL!U:AF,B1061)</f>
        <v>2</v>
      </c>
      <c r="I1061" s="22" t="n">
        <v>14</v>
      </c>
      <c r="J1061" s="20"/>
    </row>
    <row r="1062" customFormat="false" ht="15.75" hidden="false" customHeight="true" outlineLevel="0" collapsed="false">
      <c r="B1062" s="19" t="n">
        <v>3073</v>
      </c>
      <c r="C1062" s="20" t="s">
        <v>2595</v>
      </c>
      <c r="D1062" s="20" t="s">
        <v>151</v>
      </c>
      <c r="E1062" s="21" t="s">
        <v>2596</v>
      </c>
      <c r="F1062" s="21" t="n">
        <v>37473</v>
      </c>
      <c r="G1062" s="22" t="s">
        <v>471</v>
      </c>
      <c r="H1062" s="23" t="n">
        <f aca="false">COUNTIF(CAL!U:AF,B1062)</f>
        <v>2</v>
      </c>
      <c r="I1062" s="22" t="n">
        <v>14</v>
      </c>
      <c r="J1062" s="20"/>
    </row>
    <row r="1063" customFormat="false" ht="15.75" hidden="false" customHeight="true" outlineLevel="0" collapsed="false">
      <c r="B1063" s="19" t="n">
        <v>2757</v>
      </c>
      <c r="C1063" s="20" t="s">
        <v>2597</v>
      </c>
      <c r="D1063" s="20" t="s">
        <v>267</v>
      </c>
      <c r="E1063" s="21" t="s">
        <v>2598</v>
      </c>
      <c r="F1063" s="21" t="n">
        <v>34774</v>
      </c>
      <c r="G1063" s="22" t="s">
        <v>481</v>
      </c>
      <c r="H1063" s="23" t="n">
        <f aca="false">COUNTIF(CAL!U:AF,B1063)</f>
        <v>2</v>
      </c>
      <c r="I1063" s="22" t="n">
        <v>14</v>
      </c>
      <c r="J1063" s="20"/>
    </row>
    <row r="1064" customFormat="false" ht="15.75" hidden="false" customHeight="true" outlineLevel="0" collapsed="false">
      <c r="B1064" s="19" t="n">
        <v>3100</v>
      </c>
      <c r="C1064" s="20" t="s">
        <v>2599</v>
      </c>
      <c r="D1064" s="20" t="s">
        <v>412</v>
      </c>
      <c r="E1064" s="21" t="s">
        <v>2600</v>
      </c>
      <c r="F1064" s="21" t="n">
        <v>37398</v>
      </c>
      <c r="G1064" s="22" t="s">
        <v>471</v>
      </c>
      <c r="H1064" s="23" t="n">
        <f aca="false">COUNTIF(CAL!U:AF,B1064)</f>
        <v>2</v>
      </c>
      <c r="I1064" s="22" t="n">
        <v>14</v>
      </c>
      <c r="J1064" s="20" t="s">
        <v>2601</v>
      </c>
    </row>
    <row r="1065" customFormat="false" ht="15.75" hidden="false" customHeight="true" outlineLevel="0" collapsed="false">
      <c r="B1065" s="19" t="n">
        <v>2041</v>
      </c>
      <c r="C1065" s="20" t="s">
        <v>2602</v>
      </c>
      <c r="D1065" s="20" t="s">
        <v>76</v>
      </c>
      <c r="E1065" s="21" t="s">
        <v>2603</v>
      </c>
      <c r="F1065" s="21" t="n">
        <v>38524</v>
      </c>
      <c r="G1065" s="22" t="s">
        <v>471</v>
      </c>
      <c r="H1065" s="23" t="n">
        <f aca="false">COUNTIF(CAL!U:AF,B1065)</f>
        <v>2</v>
      </c>
      <c r="I1065" s="22" t="n">
        <v>14</v>
      </c>
      <c r="J1065" s="20"/>
    </row>
    <row r="1066" customFormat="false" ht="15.75" hidden="false" customHeight="true" outlineLevel="0" collapsed="false">
      <c r="B1066" s="19" t="n">
        <v>1799</v>
      </c>
      <c r="C1066" s="20" t="s">
        <v>2604</v>
      </c>
      <c r="D1066" s="20" t="s">
        <v>126</v>
      </c>
      <c r="E1066" s="21" t="s">
        <v>2605</v>
      </c>
      <c r="F1066" s="21" t="n">
        <v>34757</v>
      </c>
      <c r="G1066" s="22" t="s">
        <v>471</v>
      </c>
      <c r="H1066" s="23" t="n">
        <f aca="false">COUNTIF(CAL!U:AF,B1066)</f>
        <v>2</v>
      </c>
      <c r="I1066" s="22" t="n">
        <v>14</v>
      </c>
      <c r="J1066" s="20"/>
    </row>
    <row r="1067" customFormat="false" ht="15.75" hidden="false" customHeight="true" outlineLevel="0" collapsed="false">
      <c r="B1067" s="19" t="n">
        <v>1628</v>
      </c>
      <c r="C1067" s="20" t="s">
        <v>2606</v>
      </c>
      <c r="D1067" s="20" t="s">
        <v>207</v>
      </c>
      <c r="E1067" s="21" t="s">
        <v>2607</v>
      </c>
      <c r="F1067" s="21" t="n">
        <v>35940</v>
      </c>
      <c r="G1067" s="22" t="s">
        <v>504</v>
      </c>
      <c r="H1067" s="23" t="n">
        <f aca="false">COUNTIF(CAL!U:AF,B1067)</f>
        <v>2</v>
      </c>
      <c r="I1067" s="22" t="n">
        <v>14</v>
      </c>
      <c r="J1067" s="20"/>
    </row>
    <row r="1068" customFormat="false" ht="15.75" hidden="false" customHeight="true" outlineLevel="0" collapsed="false">
      <c r="B1068" s="19" t="n">
        <v>1843</v>
      </c>
      <c r="C1068" s="20" t="s">
        <v>2608</v>
      </c>
      <c r="D1068" s="20" t="s">
        <v>239</v>
      </c>
      <c r="E1068" s="21" t="s">
        <v>2609</v>
      </c>
      <c r="F1068" s="21" t="n">
        <v>38518</v>
      </c>
      <c r="G1068" s="22" t="s">
        <v>471</v>
      </c>
      <c r="H1068" s="23" t="n">
        <f aca="false">COUNTIF(CAL!U:AF,B1068)</f>
        <v>2</v>
      </c>
      <c r="I1068" s="22" t="n">
        <v>14</v>
      </c>
      <c r="J1068" s="20"/>
    </row>
    <row r="1069" customFormat="false" ht="15.75" hidden="false" customHeight="true" outlineLevel="0" collapsed="false">
      <c r="B1069" s="19" t="n">
        <v>2908</v>
      </c>
      <c r="C1069" s="20" t="s">
        <v>2610</v>
      </c>
      <c r="D1069" s="20" t="s">
        <v>360</v>
      </c>
      <c r="E1069" s="21" t="s">
        <v>2611</v>
      </c>
      <c r="F1069" s="21" t="n">
        <v>38417</v>
      </c>
      <c r="G1069" s="22" t="s">
        <v>471</v>
      </c>
      <c r="H1069" s="23" t="n">
        <f aca="false">COUNTIF(CAL!U:AF,B1069)</f>
        <v>2</v>
      </c>
      <c r="I1069" s="22" t="n">
        <v>14</v>
      </c>
      <c r="J1069" s="20"/>
    </row>
    <row r="1070" customFormat="false" ht="15.75" hidden="false" customHeight="true" outlineLevel="0" collapsed="false">
      <c r="B1070" s="19" t="n">
        <v>3371</v>
      </c>
      <c r="C1070" s="20" t="s">
        <v>1679</v>
      </c>
      <c r="D1070" s="20" t="s">
        <v>337</v>
      </c>
      <c r="E1070" s="24" t="s">
        <v>2612</v>
      </c>
      <c r="F1070" s="21" t="n">
        <v>37366</v>
      </c>
      <c r="G1070" s="22" t="s">
        <v>471</v>
      </c>
      <c r="H1070" s="23" t="n">
        <f aca="false">COUNTIF(CAL!U:AF,B1070)</f>
        <v>2</v>
      </c>
      <c r="I1070" s="22" t="n">
        <v>14</v>
      </c>
      <c r="J1070" s="20"/>
    </row>
    <row r="1071" customFormat="false" ht="15.75" hidden="false" customHeight="true" outlineLevel="0" collapsed="false">
      <c r="B1071" s="19" t="n">
        <v>1556</v>
      </c>
      <c r="C1071" s="20" t="s">
        <v>2613</v>
      </c>
      <c r="D1071" s="20" t="s">
        <v>279</v>
      </c>
      <c r="E1071" s="21" t="s">
        <v>2614</v>
      </c>
      <c r="F1071" s="21" t="n">
        <v>35187</v>
      </c>
      <c r="G1071" s="22" t="s">
        <v>471</v>
      </c>
      <c r="H1071" s="23" t="n">
        <f aca="false">COUNTIF(CAL!U:AF,B1071)</f>
        <v>2</v>
      </c>
      <c r="I1071" s="22" t="n">
        <v>14</v>
      </c>
      <c r="J1071" s="20" t="s">
        <v>2615</v>
      </c>
    </row>
    <row r="1072" customFormat="false" ht="15.75" hidden="false" customHeight="true" outlineLevel="0" collapsed="false">
      <c r="B1072" s="19" t="n">
        <v>3465</v>
      </c>
      <c r="C1072" s="20" t="s">
        <v>2616</v>
      </c>
      <c r="D1072" s="20" t="s">
        <v>292</v>
      </c>
      <c r="E1072" s="24" t="s">
        <v>2617</v>
      </c>
      <c r="F1072" s="21" t="n">
        <v>36302</v>
      </c>
      <c r="G1072" s="22" t="s">
        <v>471</v>
      </c>
      <c r="H1072" s="23" t="n">
        <f aca="false">COUNTIF(CAL!U:AF,B1072)</f>
        <v>2</v>
      </c>
      <c r="I1072" s="22" t="n">
        <v>14</v>
      </c>
      <c r="J1072" s="20"/>
    </row>
    <row r="1073" customFormat="false" ht="15.75" hidden="false" customHeight="true" outlineLevel="0" collapsed="false">
      <c r="B1073" s="19" t="n">
        <v>1396</v>
      </c>
      <c r="C1073" s="20" t="s">
        <v>2499</v>
      </c>
      <c r="D1073" s="20" t="s">
        <v>261</v>
      </c>
      <c r="E1073" s="21" t="s">
        <v>2618</v>
      </c>
      <c r="F1073" s="21" t="n">
        <v>37645</v>
      </c>
      <c r="G1073" s="22" t="s">
        <v>471</v>
      </c>
      <c r="H1073" s="23" t="n">
        <f aca="false">COUNTIF(CAL!U:AF,B1073)</f>
        <v>2</v>
      </c>
      <c r="I1073" s="22" t="n">
        <v>14</v>
      </c>
      <c r="J1073" s="20"/>
    </row>
    <row r="1074" customFormat="false" ht="15.75" hidden="false" customHeight="true" outlineLevel="0" collapsed="false">
      <c r="B1074" s="19" t="n">
        <v>1883</v>
      </c>
      <c r="C1074" s="20" t="s">
        <v>2619</v>
      </c>
      <c r="D1074" s="20" t="s">
        <v>56</v>
      </c>
      <c r="E1074" s="21" t="s">
        <v>2620</v>
      </c>
      <c r="F1074" s="21" t="n">
        <v>36799</v>
      </c>
      <c r="G1074" s="22" t="s">
        <v>471</v>
      </c>
      <c r="H1074" s="23" t="n">
        <f aca="false">COUNTIF(CAL!U:AF,B1074)</f>
        <v>2</v>
      </c>
      <c r="I1074" s="22" t="n">
        <v>14</v>
      </c>
      <c r="J1074" s="20"/>
    </row>
    <row r="1075" customFormat="false" ht="15.75" hidden="false" customHeight="true" outlineLevel="0" collapsed="false">
      <c r="B1075" s="19" t="n">
        <v>1326</v>
      </c>
      <c r="C1075" s="20" t="s">
        <v>2621</v>
      </c>
      <c r="D1075" s="20" t="s">
        <v>193</v>
      </c>
      <c r="E1075" s="21" t="s">
        <v>2622</v>
      </c>
      <c r="F1075" s="21" t="n">
        <v>35773</v>
      </c>
      <c r="G1075" s="22" t="s">
        <v>471</v>
      </c>
      <c r="H1075" s="23" t="n">
        <f aca="false">COUNTIF(CAL!U:AF,B1075)</f>
        <v>2</v>
      </c>
      <c r="I1075" s="22" t="n">
        <v>14</v>
      </c>
      <c r="J1075" s="20"/>
    </row>
    <row r="1076" customFormat="false" ht="15.75" hidden="false" customHeight="true" outlineLevel="0" collapsed="false">
      <c r="B1076" s="19" t="n">
        <v>3290</v>
      </c>
      <c r="C1076" s="20" t="s">
        <v>2623</v>
      </c>
      <c r="D1076" s="20" t="s">
        <v>114</v>
      </c>
      <c r="E1076" s="21" t="s">
        <v>2624</v>
      </c>
      <c r="F1076" s="21" t="n">
        <v>38235</v>
      </c>
      <c r="G1076" s="22" t="s">
        <v>471</v>
      </c>
      <c r="H1076" s="23" t="n">
        <f aca="false">COUNTIF(CAL!U:AF,B1076)</f>
        <v>2</v>
      </c>
      <c r="I1076" s="22" t="n">
        <v>14</v>
      </c>
      <c r="J1076" s="20"/>
    </row>
    <row r="1077" customFormat="false" ht="15.75" hidden="false" customHeight="true" outlineLevel="0" collapsed="false">
      <c r="B1077" s="19" t="n">
        <v>2996</v>
      </c>
      <c r="C1077" s="20" t="s">
        <v>2625</v>
      </c>
      <c r="D1077" s="20" t="s">
        <v>233</v>
      </c>
      <c r="E1077" s="21" t="s">
        <v>2626</v>
      </c>
      <c r="F1077" s="21" t="n">
        <v>35617</v>
      </c>
      <c r="G1077" s="22" t="s">
        <v>471</v>
      </c>
      <c r="H1077" s="23" t="n">
        <f aca="false">COUNTIF(CAL!U:AF,B1077)</f>
        <v>2</v>
      </c>
      <c r="I1077" s="22" t="n">
        <v>14</v>
      </c>
      <c r="J1077" s="20"/>
    </row>
    <row r="1078" customFormat="false" ht="15.75" hidden="false" customHeight="true" outlineLevel="0" collapsed="false">
      <c r="B1078" s="19" t="n">
        <v>1221</v>
      </c>
      <c r="C1078" s="20" t="s">
        <v>2627</v>
      </c>
      <c r="D1078" s="20" t="s">
        <v>243</v>
      </c>
      <c r="E1078" s="21" t="s">
        <v>2628</v>
      </c>
      <c r="F1078" s="21" t="n">
        <v>35074</v>
      </c>
      <c r="G1078" s="22" t="s">
        <v>471</v>
      </c>
      <c r="H1078" s="23" t="n">
        <f aca="false">COUNTIF(CAL!U:AF,B1078)</f>
        <v>2</v>
      </c>
      <c r="I1078" s="22" t="n">
        <v>14</v>
      </c>
      <c r="J1078" s="20"/>
    </row>
    <row r="1079" customFormat="false" ht="15.75" hidden="false" customHeight="true" outlineLevel="0" collapsed="false">
      <c r="B1079" s="19" t="n">
        <v>3119</v>
      </c>
      <c r="C1079" s="20" t="s">
        <v>2629</v>
      </c>
      <c r="D1079" s="20" t="s">
        <v>233</v>
      </c>
      <c r="E1079" s="21" t="s">
        <v>2630</v>
      </c>
      <c r="F1079" s="21" t="n">
        <v>36944</v>
      </c>
      <c r="G1079" s="22" t="s">
        <v>471</v>
      </c>
      <c r="H1079" s="23" t="n">
        <f aca="false">COUNTIF(CAL!U:AF,B1079)</f>
        <v>2</v>
      </c>
      <c r="I1079" s="22" t="n">
        <v>14</v>
      </c>
      <c r="J1079" s="20"/>
    </row>
    <row r="1080" customFormat="false" ht="15.75" hidden="false" customHeight="true" outlineLevel="0" collapsed="false">
      <c r="B1080" s="19" t="n">
        <v>2154</v>
      </c>
      <c r="C1080" s="20" t="s">
        <v>2631</v>
      </c>
      <c r="D1080" s="20" t="s">
        <v>237</v>
      </c>
      <c r="E1080" s="24" t="s">
        <v>2632</v>
      </c>
      <c r="F1080" s="21" t="n">
        <v>36774</v>
      </c>
      <c r="G1080" s="22" t="s">
        <v>471</v>
      </c>
      <c r="H1080" s="23" t="n">
        <f aca="false">COUNTIF(CAL!U:AF,B1080)</f>
        <v>2</v>
      </c>
      <c r="I1080" s="22" t="n">
        <v>14</v>
      </c>
      <c r="J1080" s="20"/>
    </row>
    <row r="1081" customFormat="false" ht="15.75" hidden="false" customHeight="true" outlineLevel="0" collapsed="false">
      <c r="B1081" s="19" t="n">
        <v>3386</v>
      </c>
      <c r="C1081" s="20" t="s">
        <v>2633</v>
      </c>
      <c r="D1081" s="20" t="s">
        <v>182</v>
      </c>
      <c r="E1081" s="24" t="s">
        <v>2634</v>
      </c>
      <c r="F1081" s="21" t="n">
        <v>35946</v>
      </c>
      <c r="G1081" s="22" t="s">
        <v>471</v>
      </c>
      <c r="H1081" s="23" t="n">
        <f aca="false">COUNTIF(CAL!U:AF,B1081)</f>
        <v>2</v>
      </c>
      <c r="I1081" s="22" t="n">
        <v>14</v>
      </c>
      <c r="J1081" s="20"/>
    </row>
    <row r="1082" customFormat="false" ht="15.75" hidden="false" customHeight="true" outlineLevel="0" collapsed="false">
      <c r="B1082" s="19" t="n">
        <v>1279</v>
      </c>
      <c r="C1082" s="20" t="s">
        <v>2635</v>
      </c>
      <c r="D1082" s="20" t="s">
        <v>109</v>
      </c>
      <c r="E1082" s="21" t="s">
        <v>2636</v>
      </c>
      <c r="F1082" s="21" t="n">
        <v>33075</v>
      </c>
      <c r="G1082" s="22" t="s">
        <v>471</v>
      </c>
      <c r="H1082" s="23" t="n">
        <f aca="false">COUNTIF(CAL!U:AF,B1082)</f>
        <v>2</v>
      </c>
      <c r="I1082" s="22" t="n">
        <v>14</v>
      </c>
      <c r="J1082" s="20"/>
    </row>
    <row r="1083" customFormat="false" ht="15.75" hidden="false" customHeight="true" outlineLevel="0" collapsed="false">
      <c r="B1083" s="19" t="n">
        <v>3006</v>
      </c>
      <c r="C1083" s="20" t="s">
        <v>2637</v>
      </c>
      <c r="D1083" s="20" t="s">
        <v>159</v>
      </c>
      <c r="E1083" s="21" t="s">
        <v>2638</v>
      </c>
      <c r="F1083" s="21" t="n">
        <v>35826</v>
      </c>
      <c r="G1083" s="22" t="s">
        <v>471</v>
      </c>
      <c r="H1083" s="23" t="n">
        <f aca="false">COUNTIF(CAL!U:AF,B1083)</f>
        <v>2</v>
      </c>
      <c r="I1083" s="22" t="n">
        <v>14</v>
      </c>
      <c r="J1083" s="20"/>
    </row>
    <row r="1084" customFormat="false" ht="15.75" hidden="false" customHeight="true" outlineLevel="0" collapsed="false">
      <c r="B1084" s="19" t="n">
        <v>2007</v>
      </c>
      <c r="C1084" s="20" t="s">
        <v>2418</v>
      </c>
      <c r="D1084" s="20" t="s">
        <v>172</v>
      </c>
      <c r="E1084" s="21" t="s">
        <v>2639</v>
      </c>
      <c r="F1084" s="21" t="n">
        <v>36897</v>
      </c>
      <c r="G1084" s="22" t="s">
        <v>471</v>
      </c>
      <c r="H1084" s="23" t="n">
        <f aca="false">COUNTIF(CAL!U:AF,B1084)</f>
        <v>2</v>
      </c>
      <c r="I1084" s="22" t="n">
        <v>14</v>
      </c>
      <c r="J1084" s="20"/>
    </row>
    <row r="1085" customFormat="false" ht="15.75" hidden="false" customHeight="true" outlineLevel="0" collapsed="false">
      <c r="B1085" s="19" t="n">
        <v>2061</v>
      </c>
      <c r="C1085" s="20" t="s">
        <v>2640</v>
      </c>
      <c r="D1085" s="20" t="s">
        <v>109</v>
      </c>
      <c r="E1085" s="21" t="s">
        <v>2641</v>
      </c>
      <c r="F1085" s="21" t="n">
        <v>33698</v>
      </c>
      <c r="G1085" s="22" t="s">
        <v>471</v>
      </c>
      <c r="H1085" s="23" t="n">
        <f aca="false">COUNTIF(CAL!U:AF,B1085)</f>
        <v>2</v>
      </c>
      <c r="I1085" s="22" t="n">
        <v>14</v>
      </c>
      <c r="J1085" s="20"/>
    </row>
    <row r="1086" customFormat="false" ht="15.75" hidden="false" customHeight="true" outlineLevel="0" collapsed="false">
      <c r="B1086" s="19" t="n">
        <v>1723</v>
      </c>
      <c r="C1086" s="20" t="s">
        <v>2642</v>
      </c>
      <c r="D1086" s="20" t="s">
        <v>143</v>
      </c>
      <c r="E1086" s="21" t="s">
        <v>2643</v>
      </c>
      <c r="F1086" s="21" t="n">
        <v>34904</v>
      </c>
      <c r="G1086" s="22" t="s">
        <v>471</v>
      </c>
      <c r="H1086" s="23" t="n">
        <f aca="false">COUNTIF(CAL!U:AF,B1086)</f>
        <v>2</v>
      </c>
      <c r="I1086" s="22" t="n">
        <v>14</v>
      </c>
      <c r="J1086" s="20"/>
    </row>
    <row r="1087" customFormat="false" ht="15.75" hidden="false" customHeight="true" outlineLevel="0" collapsed="false">
      <c r="B1087" s="19" t="n">
        <v>2612</v>
      </c>
      <c r="C1087" s="20" t="s">
        <v>584</v>
      </c>
      <c r="D1087" s="20" t="s">
        <v>369</v>
      </c>
      <c r="E1087" s="24" t="s">
        <v>2644</v>
      </c>
      <c r="F1087" s="21" t="n">
        <v>37648</v>
      </c>
      <c r="G1087" s="22" t="s">
        <v>471</v>
      </c>
      <c r="H1087" s="23" t="n">
        <f aca="false">COUNTIF(CAL!U:AF,B1087)</f>
        <v>2</v>
      </c>
      <c r="I1087" s="22" t="n">
        <v>14</v>
      </c>
      <c r="J1087" s="20"/>
    </row>
    <row r="1088" customFormat="false" ht="15.75" hidden="false" customHeight="true" outlineLevel="0" collapsed="false">
      <c r="B1088" s="19" t="n">
        <v>1333</v>
      </c>
      <c r="C1088" s="20" t="s">
        <v>2645</v>
      </c>
      <c r="D1088" s="20" t="s">
        <v>240</v>
      </c>
      <c r="E1088" s="21" t="s">
        <v>2646</v>
      </c>
      <c r="F1088" s="21" t="n">
        <v>36413</v>
      </c>
      <c r="G1088" s="22" t="s">
        <v>471</v>
      </c>
      <c r="H1088" s="23" t="n">
        <f aca="false">COUNTIF(CAL!U:AF,B1088)</f>
        <v>2</v>
      </c>
      <c r="I1088" s="22" t="n">
        <v>14</v>
      </c>
      <c r="J1088" s="20"/>
    </row>
    <row r="1089" customFormat="false" ht="15.75" hidden="false" customHeight="true" outlineLevel="0" collapsed="false">
      <c r="B1089" s="19" t="n">
        <v>1617</v>
      </c>
      <c r="C1089" s="20" t="s">
        <v>2647</v>
      </c>
      <c r="D1089" s="20" t="s">
        <v>176</v>
      </c>
      <c r="E1089" s="21" t="s">
        <v>2648</v>
      </c>
      <c r="F1089" s="21" t="n">
        <v>34746</v>
      </c>
      <c r="G1089" s="22" t="s">
        <v>471</v>
      </c>
      <c r="H1089" s="23" t="n">
        <f aca="false">COUNTIF(CAL!U:AF,B1089)</f>
        <v>2</v>
      </c>
      <c r="I1089" s="22" t="n">
        <v>15</v>
      </c>
      <c r="J1089" s="20"/>
    </row>
    <row r="1090" customFormat="false" ht="15.75" hidden="false" customHeight="true" outlineLevel="0" collapsed="false">
      <c r="B1090" s="19" t="n">
        <v>2252</v>
      </c>
      <c r="C1090" s="20" t="s">
        <v>2649</v>
      </c>
      <c r="D1090" s="20" t="s">
        <v>88</v>
      </c>
      <c r="E1090" s="21" t="s">
        <v>2650</v>
      </c>
      <c r="F1090" s="21" t="n">
        <v>37527</v>
      </c>
      <c r="G1090" s="22" t="s">
        <v>471</v>
      </c>
      <c r="H1090" s="23" t="n">
        <f aca="false">COUNTIF(CAL!U:AF,B1090)</f>
        <v>2</v>
      </c>
      <c r="I1090" s="22" t="n">
        <v>15</v>
      </c>
      <c r="J1090" s="20" t="s">
        <v>2651</v>
      </c>
    </row>
    <row r="1091" customFormat="false" ht="15.75" hidden="false" customHeight="true" outlineLevel="0" collapsed="false">
      <c r="B1091" s="19" t="n">
        <v>1952</v>
      </c>
      <c r="C1091" s="20" t="s">
        <v>551</v>
      </c>
      <c r="D1091" s="20" t="s">
        <v>167</v>
      </c>
      <c r="E1091" s="21" t="s">
        <v>2652</v>
      </c>
      <c r="F1091" s="21" t="n">
        <v>36731</v>
      </c>
      <c r="G1091" s="22" t="s">
        <v>471</v>
      </c>
      <c r="H1091" s="23" t="n">
        <f aca="false">COUNTIF(CAL!U:AF,B1091)</f>
        <v>2</v>
      </c>
      <c r="I1091" s="22" t="n">
        <v>15</v>
      </c>
      <c r="J1091" s="20"/>
    </row>
    <row r="1092" customFormat="false" ht="15.75" hidden="false" customHeight="true" outlineLevel="0" collapsed="false">
      <c r="B1092" s="19" t="n">
        <v>1501</v>
      </c>
      <c r="C1092" s="20" t="s">
        <v>2653</v>
      </c>
      <c r="D1092" s="20" t="s">
        <v>76</v>
      </c>
      <c r="E1092" s="21" t="s">
        <v>2654</v>
      </c>
      <c r="F1092" s="21" t="n">
        <v>36737</v>
      </c>
      <c r="G1092" s="22" t="s">
        <v>471</v>
      </c>
      <c r="H1092" s="23" t="n">
        <f aca="false">COUNTIF(CAL!U:AF,B1092)</f>
        <v>2</v>
      </c>
      <c r="I1092" s="22" t="n">
        <v>15</v>
      </c>
      <c r="J1092" s="20"/>
    </row>
    <row r="1093" customFormat="false" ht="15.75" hidden="false" customHeight="true" outlineLevel="0" collapsed="false">
      <c r="B1093" s="19" t="n">
        <v>1331</v>
      </c>
      <c r="C1093" s="20" t="s">
        <v>2655</v>
      </c>
      <c r="D1093" s="20" t="s">
        <v>165</v>
      </c>
      <c r="E1093" s="21" t="s">
        <v>2656</v>
      </c>
      <c r="F1093" s="21" t="n">
        <v>35304</v>
      </c>
      <c r="G1093" s="22" t="s">
        <v>471</v>
      </c>
      <c r="H1093" s="23" t="n">
        <f aca="false">COUNTIF(CAL!U:AF,B1093)</f>
        <v>2</v>
      </c>
      <c r="I1093" s="22" t="n">
        <v>15</v>
      </c>
      <c r="J1093" s="20"/>
    </row>
    <row r="1094" customFormat="false" ht="15.75" hidden="false" customHeight="true" outlineLevel="0" collapsed="false">
      <c r="B1094" s="19" t="n">
        <v>1329</v>
      </c>
      <c r="C1094" s="20" t="s">
        <v>693</v>
      </c>
      <c r="D1094" s="20" t="s">
        <v>251</v>
      </c>
      <c r="E1094" s="21" t="s">
        <v>2657</v>
      </c>
      <c r="F1094" s="21" t="n">
        <v>36975</v>
      </c>
      <c r="G1094" s="22" t="s">
        <v>471</v>
      </c>
      <c r="H1094" s="23" t="n">
        <f aca="false">COUNTIF(CAL!U:AF,B1094)</f>
        <v>2</v>
      </c>
      <c r="I1094" s="22" t="n">
        <v>15</v>
      </c>
      <c r="J1094" s="20"/>
    </row>
    <row r="1095" customFormat="false" ht="15.75" hidden="false" customHeight="true" outlineLevel="0" collapsed="false">
      <c r="B1095" s="19" t="n">
        <v>2524</v>
      </c>
      <c r="C1095" s="20" t="s">
        <v>2658</v>
      </c>
      <c r="D1095" s="20" t="s">
        <v>143</v>
      </c>
      <c r="E1095" s="21" t="s">
        <v>2659</v>
      </c>
      <c r="F1095" s="21" t="n">
        <v>37166</v>
      </c>
      <c r="G1095" s="22" t="s">
        <v>471</v>
      </c>
      <c r="H1095" s="23" t="n">
        <f aca="false">COUNTIF(CAL!U:AF,B1095)</f>
        <v>2</v>
      </c>
      <c r="I1095" s="22" t="n">
        <v>15</v>
      </c>
      <c r="J1095" s="20"/>
    </row>
    <row r="1096" customFormat="false" ht="15.75" hidden="false" customHeight="true" outlineLevel="0" collapsed="false">
      <c r="B1096" s="19" t="n">
        <v>2927</v>
      </c>
      <c r="C1096" s="20" t="s">
        <v>756</v>
      </c>
      <c r="D1096" s="20" t="s">
        <v>93</v>
      </c>
      <c r="E1096" s="21" t="s">
        <v>2660</v>
      </c>
      <c r="F1096" s="21" t="n">
        <v>35837</v>
      </c>
      <c r="G1096" s="22" t="s">
        <v>471</v>
      </c>
      <c r="H1096" s="23" t="n">
        <f aca="false">COUNTIF(CAL!U:AF,B1096)</f>
        <v>2</v>
      </c>
      <c r="I1096" s="22" t="n">
        <v>15</v>
      </c>
      <c r="J1096" s="20"/>
    </row>
    <row r="1097" customFormat="false" ht="15.75" hidden="false" customHeight="true" outlineLevel="0" collapsed="false">
      <c r="B1097" s="19" t="n">
        <v>2273</v>
      </c>
      <c r="C1097" s="20" t="s">
        <v>1204</v>
      </c>
      <c r="D1097" s="20" t="s">
        <v>163</v>
      </c>
      <c r="E1097" s="24" t="s">
        <v>2661</v>
      </c>
      <c r="F1097" s="21" t="n">
        <v>35516</v>
      </c>
      <c r="G1097" s="22" t="s">
        <v>471</v>
      </c>
      <c r="H1097" s="23" t="n">
        <f aca="false">COUNTIF(CAL!U:AF,B1097)</f>
        <v>2</v>
      </c>
      <c r="I1097" s="22" t="n">
        <v>15</v>
      </c>
      <c r="J1097" s="20"/>
    </row>
    <row r="1098" customFormat="false" ht="15.75" hidden="false" customHeight="true" outlineLevel="0" collapsed="false">
      <c r="B1098" s="19" t="n">
        <v>2322</v>
      </c>
      <c r="C1098" s="20" t="s">
        <v>1859</v>
      </c>
      <c r="D1098" s="20" t="s">
        <v>302</v>
      </c>
      <c r="E1098" s="21" t="s">
        <v>2662</v>
      </c>
      <c r="F1098" s="21" t="n">
        <v>37501</v>
      </c>
      <c r="G1098" s="22" t="s">
        <v>471</v>
      </c>
      <c r="H1098" s="23" t="n">
        <f aca="false">COUNTIF(CAL!U:AF,B1098)</f>
        <v>2</v>
      </c>
      <c r="I1098" s="22" t="n">
        <v>15</v>
      </c>
      <c r="J1098" s="20"/>
    </row>
    <row r="1099" customFormat="false" ht="15.75" hidden="false" customHeight="true" outlineLevel="0" collapsed="false">
      <c r="B1099" s="19" t="n">
        <v>3651</v>
      </c>
      <c r="C1099" s="20" t="s">
        <v>548</v>
      </c>
      <c r="D1099" s="20" t="s">
        <v>199</v>
      </c>
      <c r="E1099" s="21" t="s">
        <v>2663</v>
      </c>
      <c r="F1099" s="21" t="n">
        <v>38167</v>
      </c>
      <c r="G1099" s="22" t="s">
        <v>471</v>
      </c>
      <c r="H1099" s="23" t="n">
        <f aca="false">COUNTIF(CAL!U:AF,B1099)</f>
        <v>2</v>
      </c>
      <c r="I1099" s="22" t="n">
        <v>15</v>
      </c>
      <c r="J1099" s="20"/>
    </row>
    <row r="1100" customFormat="false" ht="15.75" hidden="false" customHeight="true" outlineLevel="0" collapsed="false">
      <c r="B1100" s="19" t="n">
        <v>2091</v>
      </c>
      <c r="C1100" s="20" t="s">
        <v>2664</v>
      </c>
      <c r="D1100" s="20" t="s">
        <v>199</v>
      </c>
      <c r="E1100" s="21" t="s">
        <v>2665</v>
      </c>
      <c r="F1100" s="21" t="n">
        <v>36971</v>
      </c>
      <c r="G1100" s="22" t="s">
        <v>471</v>
      </c>
      <c r="H1100" s="23" t="n">
        <f aca="false">COUNTIF(CAL!U:AF,B1100)</f>
        <v>2</v>
      </c>
      <c r="I1100" s="22" t="n">
        <v>15</v>
      </c>
      <c r="J1100" s="20"/>
    </row>
    <row r="1101" customFormat="false" ht="15.75" hidden="false" customHeight="true" outlineLevel="0" collapsed="false">
      <c r="B1101" s="19" t="n">
        <v>2504</v>
      </c>
      <c r="C1101" s="20" t="s">
        <v>2666</v>
      </c>
      <c r="D1101" s="20" t="s">
        <v>251</v>
      </c>
      <c r="E1101" s="21" t="s">
        <v>2667</v>
      </c>
      <c r="F1101" s="21" t="n">
        <v>34661</v>
      </c>
      <c r="G1101" s="22" t="s">
        <v>471</v>
      </c>
      <c r="H1101" s="23" t="n">
        <f aca="false">COUNTIF(CAL!U:AF,B1101)</f>
        <v>2</v>
      </c>
      <c r="I1101" s="22" t="n">
        <v>15</v>
      </c>
      <c r="J1101" s="20"/>
    </row>
    <row r="1102" customFormat="false" ht="15.75" hidden="false" customHeight="true" outlineLevel="0" collapsed="false">
      <c r="B1102" s="19" t="n">
        <v>2821</v>
      </c>
      <c r="C1102" s="20" t="s">
        <v>871</v>
      </c>
      <c r="D1102" s="20" t="s">
        <v>164</v>
      </c>
      <c r="E1102" s="21" t="s">
        <v>2668</v>
      </c>
      <c r="F1102" s="21" t="n">
        <v>34092</v>
      </c>
      <c r="G1102" s="22" t="s">
        <v>471</v>
      </c>
      <c r="H1102" s="23" t="n">
        <f aca="false">COUNTIF(CAL!U:AF,B1102)</f>
        <v>2</v>
      </c>
      <c r="I1102" s="22" t="n">
        <v>15</v>
      </c>
      <c r="J1102" s="20"/>
    </row>
    <row r="1103" customFormat="false" ht="15.75" hidden="false" customHeight="true" outlineLevel="0" collapsed="false">
      <c r="B1103" s="19" t="n">
        <v>1550</v>
      </c>
      <c r="C1103" s="20" t="s">
        <v>2004</v>
      </c>
      <c r="D1103" s="20" t="s">
        <v>140</v>
      </c>
      <c r="E1103" s="21" t="s">
        <v>2669</v>
      </c>
      <c r="F1103" s="21" t="n">
        <v>32210</v>
      </c>
      <c r="G1103" s="22" t="s">
        <v>471</v>
      </c>
      <c r="H1103" s="23" t="n">
        <f aca="false">COUNTIF(CAL!U:AF,B1103)</f>
        <v>2</v>
      </c>
      <c r="I1103" s="22" t="n">
        <v>15</v>
      </c>
      <c r="J1103" s="20"/>
    </row>
    <row r="1104" customFormat="false" ht="15.75" hidden="false" customHeight="true" outlineLevel="0" collapsed="false">
      <c r="B1104" s="19" t="n">
        <v>2901</v>
      </c>
      <c r="C1104" s="20" t="s">
        <v>2670</v>
      </c>
      <c r="D1104" s="20" t="s">
        <v>167</v>
      </c>
      <c r="E1104" s="21" t="s">
        <v>2671</v>
      </c>
      <c r="F1104" s="21" t="n">
        <v>38399</v>
      </c>
      <c r="G1104" s="22" t="s">
        <v>471</v>
      </c>
      <c r="H1104" s="23" t="n">
        <f aca="false">COUNTIF(CAL!U:AF,B1104)</f>
        <v>2</v>
      </c>
      <c r="I1104" s="22" t="n">
        <v>15</v>
      </c>
      <c r="J1104" s="20"/>
    </row>
    <row r="1105" customFormat="false" ht="15.75" hidden="false" customHeight="true" outlineLevel="0" collapsed="false">
      <c r="B1105" s="19" t="n">
        <v>1505</v>
      </c>
      <c r="C1105" s="20" t="s">
        <v>2672</v>
      </c>
      <c r="D1105" s="20" t="s">
        <v>235</v>
      </c>
      <c r="E1105" s="21" t="s">
        <v>2673</v>
      </c>
      <c r="F1105" s="21" t="n">
        <v>37305</v>
      </c>
      <c r="G1105" s="22" t="s">
        <v>2529</v>
      </c>
      <c r="H1105" s="23" t="n">
        <f aca="false">COUNTIF(CAL!U:AF,B1105)</f>
        <v>2</v>
      </c>
      <c r="I1105" s="22" t="n">
        <v>15</v>
      </c>
      <c r="J1105" s="20"/>
    </row>
    <row r="1106" customFormat="false" ht="15.75" hidden="false" customHeight="true" outlineLevel="0" collapsed="false">
      <c r="B1106" s="19" t="n">
        <v>2965</v>
      </c>
      <c r="C1106" s="20" t="s">
        <v>2674</v>
      </c>
      <c r="D1106" s="20" t="s">
        <v>302</v>
      </c>
      <c r="E1106" s="21" t="s">
        <v>2675</v>
      </c>
      <c r="F1106" s="21" t="n">
        <v>37650</v>
      </c>
      <c r="G1106" s="22" t="s">
        <v>471</v>
      </c>
      <c r="H1106" s="23" t="n">
        <f aca="false">COUNTIF(CAL!U:AF,B1106)</f>
        <v>2</v>
      </c>
      <c r="I1106" s="22" t="n">
        <v>15</v>
      </c>
      <c r="J1106" s="20"/>
    </row>
    <row r="1107" customFormat="false" ht="15.75" hidden="false" customHeight="true" outlineLevel="0" collapsed="false">
      <c r="B1107" s="19" t="n">
        <v>1791</v>
      </c>
      <c r="C1107" s="20" t="s">
        <v>2676</v>
      </c>
      <c r="D1107" s="20" t="s">
        <v>48</v>
      </c>
      <c r="E1107" s="21" t="s">
        <v>2677</v>
      </c>
      <c r="F1107" s="21" t="n">
        <v>33701</v>
      </c>
      <c r="G1107" s="22" t="s">
        <v>471</v>
      </c>
      <c r="H1107" s="23" t="n">
        <f aca="false">COUNTIF(CAL!U:AF,B1107)</f>
        <v>2</v>
      </c>
      <c r="I1107" s="22" t="n">
        <v>16</v>
      </c>
      <c r="J1107" s="20"/>
    </row>
    <row r="1108" customFormat="false" ht="15.75" hidden="false" customHeight="true" outlineLevel="0" collapsed="false">
      <c r="B1108" s="19" t="n">
        <v>1500</v>
      </c>
      <c r="C1108" s="20" t="s">
        <v>2678</v>
      </c>
      <c r="D1108" s="20" t="s">
        <v>167</v>
      </c>
      <c r="E1108" s="21" t="s">
        <v>2679</v>
      </c>
      <c r="F1108" s="21" t="n">
        <v>32363</v>
      </c>
      <c r="G1108" s="22" t="s">
        <v>471</v>
      </c>
      <c r="H1108" s="23" t="n">
        <f aca="false">COUNTIF(CAL!U:AF,B1108)</f>
        <v>2</v>
      </c>
      <c r="I1108" s="22" t="n">
        <v>16</v>
      </c>
      <c r="J1108" s="20"/>
    </row>
    <row r="1109" customFormat="false" ht="15.75" hidden="false" customHeight="true" outlineLevel="0" collapsed="false">
      <c r="B1109" s="19" t="n">
        <v>1732</v>
      </c>
      <c r="C1109" s="20" t="s">
        <v>2680</v>
      </c>
      <c r="D1109" s="20" t="s">
        <v>187</v>
      </c>
      <c r="E1109" s="21" t="s">
        <v>2681</v>
      </c>
      <c r="F1109" s="21" t="n">
        <v>38145</v>
      </c>
      <c r="G1109" s="22" t="s">
        <v>471</v>
      </c>
      <c r="H1109" s="23" t="n">
        <f aca="false">COUNTIF(CAL!U:AF,B1109)</f>
        <v>2</v>
      </c>
      <c r="I1109" s="22" t="n">
        <v>16</v>
      </c>
      <c r="J1109" s="20"/>
    </row>
    <row r="1110" customFormat="false" ht="15.75" hidden="false" customHeight="true" outlineLevel="0" collapsed="false">
      <c r="B1110" s="19" t="n">
        <v>1147</v>
      </c>
      <c r="C1110" s="20" t="s">
        <v>2682</v>
      </c>
      <c r="D1110" s="20" t="s">
        <v>199</v>
      </c>
      <c r="E1110" s="21" t="s">
        <v>2683</v>
      </c>
      <c r="F1110" s="21" t="n">
        <v>35454</v>
      </c>
      <c r="G1110" s="22" t="s">
        <v>471</v>
      </c>
      <c r="H1110" s="23" t="n">
        <f aca="false">COUNTIF(CAL!U:AF,B1110)</f>
        <v>2</v>
      </c>
      <c r="I1110" s="22" t="n">
        <v>16</v>
      </c>
      <c r="J1110" s="20"/>
    </row>
    <row r="1111" customFormat="false" ht="15.75" hidden="false" customHeight="true" outlineLevel="0" collapsed="false">
      <c r="B1111" s="19" t="n">
        <v>1962</v>
      </c>
      <c r="C1111" s="20" t="s">
        <v>2684</v>
      </c>
      <c r="D1111" s="20" t="s">
        <v>38</v>
      </c>
      <c r="E1111" s="24" t="s">
        <v>2685</v>
      </c>
      <c r="F1111" s="21" t="n">
        <v>34508</v>
      </c>
      <c r="G1111" s="22" t="s">
        <v>471</v>
      </c>
      <c r="H1111" s="23" t="n">
        <f aca="false">COUNTIF(CAL!U:AF,B1111)</f>
        <v>2</v>
      </c>
      <c r="I1111" s="22" t="n">
        <v>16</v>
      </c>
      <c r="J1111" s="20"/>
    </row>
    <row r="1112" customFormat="false" ht="15.75" hidden="false" customHeight="true" outlineLevel="0" collapsed="false">
      <c r="B1112" s="19" t="n">
        <v>2853</v>
      </c>
      <c r="C1112" s="20" t="s">
        <v>2686</v>
      </c>
      <c r="D1112" s="20" t="s">
        <v>303</v>
      </c>
      <c r="E1112" s="21" t="s">
        <v>2687</v>
      </c>
      <c r="F1112" s="21" t="n">
        <v>36111</v>
      </c>
      <c r="G1112" s="22" t="s">
        <v>471</v>
      </c>
      <c r="H1112" s="23" t="n">
        <f aca="false">COUNTIF(CAL!U:AF,B1112)</f>
        <v>2</v>
      </c>
      <c r="I1112" s="22" t="n">
        <v>16</v>
      </c>
      <c r="J1112" s="20" t="s">
        <v>2688</v>
      </c>
    </row>
    <row r="1113" customFormat="false" ht="15.75" hidden="false" customHeight="true" outlineLevel="0" collapsed="false">
      <c r="B1113" s="19" t="n">
        <v>3529</v>
      </c>
      <c r="C1113" s="20" t="s">
        <v>2689</v>
      </c>
      <c r="D1113" s="20" t="s">
        <v>384</v>
      </c>
      <c r="E1113" s="21" t="s">
        <v>2690</v>
      </c>
      <c r="F1113" s="21" t="n">
        <v>33208</v>
      </c>
      <c r="G1113" s="22" t="s">
        <v>471</v>
      </c>
      <c r="H1113" s="23" t="n">
        <f aca="false">COUNTIF(CAL!U:AF,B1113)</f>
        <v>2</v>
      </c>
      <c r="I1113" s="22" t="n">
        <v>16</v>
      </c>
      <c r="J1113" s="20"/>
    </row>
    <row r="1114" customFormat="false" ht="15.75" hidden="false" customHeight="true" outlineLevel="0" collapsed="false">
      <c r="B1114" s="19" t="n">
        <v>2342</v>
      </c>
      <c r="C1114" s="20" t="s">
        <v>2691</v>
      </c>
      <c r="D1114" s="20" t="s">
        <v>176</v>
      </c>
      <c r="E1114" s="21" t="s">
        <v>2692</v>
      </c>
      <c r="F1114" s="21" t="n">
        <v>37363</v>
      </c>
      <c r="G1114" s="22" t="s">
        <v>1017</v>
      </c>
      <c r="H1114" s="23" t="n">
        <f aca="false">COUNTIF(CAL!U:AF,B1114)</f>
        <v>2</v>
      </c>
      <c r="I1114" s="22" t="n">
        <v>16</v>
      </c>
      <c r="J1114" s="20"/>
    </row>
    <row r="1115" customFormat="false" ht="15.75" hidden="false" customHeight="true" outlineLevel="0" collapsed="false">
      <c r="B1115" s="19" t="n">
        <v>1157</v>
      </c>
      <c r="C1115" s="20" t="s">
        <v>2693</v>
      </c>
      <c r="D1115" s="20" t="s">
        <v>187</v>
      </c>
      <c r="E1115" s="21" t="s">
        <v>2694</v>
      </c>
      <c r="F1115" s="21" t="n">
        <v>37873</v>
      </c>
      <c r="G1115" s="22" t="s">
        <v>471</v>
      </c>
      <c r="H1115" s="23" t="n">
        <f aca="false">COUNTIF(CAL!U:AF,B1115)</f>
        <v>2</v>
      </c>
      <c r="I1115" s="22" t="n">
        <v>16</v>
      </c>
      <c r="J1115" s="20"/>
    </row>
    <row r="1116" customFormat="false" ht="15.75" hidden="false" customHeight="true" outlineLevel="0" collapsed="false">
      <c r="B1116" s="19" t="n">
        <v>1077</v>
      </c>
      <c r="C1116" s="20" t="s">
        <v>2695</v>
      </c>
      <c r="D1116" s="20" t="s">
        <v>106</v>
      </c>
      <c r="E1116" s="21" t="s">
        <v>2696</v>
      </c>
      <c r="F1116" s="21" t="n">
        <v>36733</v>
      </c>
      <c r="G1116" s="22" t="s">
        <v>471</v>
      </c>
      <c r="H1116" s="23" t="n">
        <f aca="false">COUNTIF(CAL!U:AF,B1116)</f>
        <v>2</v>
      </c>
      <c r="I1116" s="22" t="n">
        <v>16</v>
      </c>
      <c r="J1116" s="20"/>
    </row>
    <row r="1117" customFormat="false" ht="15.75" hidden="false" customHeight="true" outlineLevel="0" collapsed="false">
      <c r="B1117" s="19" t="n">
        <v>1602</v>
      </c>
      <c r="C1117" s="20" t="s">
        <v>2697</v>
      </c>
      <c r="D1117" s="20" t="s">
        <v>116</v>
      </c>
      <c r="E1117" s="21" t="s">
        <v>2698</v>
      </c>
      <c r="F1117" s="21" t="n">
        <v>34614</v>
      </c>
      <c r="G1117" s="22" t="s">
        <v>471</v>
      </c>
      <c r="H1117" s="23" t="n">
        <f aca="false">COUNTIF(CAL!U:AF,B1117)</f>
        <v>2</v>
      </c>
      <c r="I1117" s="22" t="n">
        <v>16</v>
      </c>
      <c r="J1117" s="20"/>
    </row>
    <row r="1118" customFormat="false" ht="15.75" hidden="false" customHeight="true" outlineLevel="0" collapsed="false">
      <c r="B1118" s="19" t="n">
        <v>1562</v>
      </c>
      <c r="C1118" s="20" t="s">
        <v>2674</v>
      </c>
      <c r="D1118" s="20" t="s">
        <v>193</v>
      </c>
      <c r="E1118" s="21" t="s">
        <v>2699</v>
      </c>
      <c r="F1118" s="21" t="n">
        <v>36202</v>
      </c>
      <c r="G1118" s="22" t="s">
        <v>471</v>
      </c>
      <c r="H1118" s="23" t="n">
        <f aca="false">COUNTIF(CAL!U:AF,B1118)</f>
        <v>2</v>
      </c>
      <c r="I1118" s="22" t="n">
        <v>16</v>
      </c>
      <c r="J1118" s="20"/>
    </row>
    <row r="1119" customFormat="false" ht="15.75" hidden="false" customHeight="true" outlineLevel="0" collapsed="false">
      <c r="B1119" s="19" t="n">
        <v>1278</v>
      </c>
      <c r="C1119" s="20" t="s">
        <v>2700</v>
      </c>
      <c r="D1119" s="20" t="s">
        <v>109</v>
      </c>
      <c r="E1119" s="21" t="s">
        <v>2701</v>
      </c>
      <c r="F1119" s="21" t="n">
        <v>34721</v>
      </c>
      <c r="G1119" s="22" t="s">
        <v>471</v>
      </c>
      <c r="H1119" s="23" t="n">
        <f aca="false">COUNTIF(CAL!U:AF,B1119)</f>
        <v>2</v>
      </c>
      <c r="I1119" s="22" t="n">
        <v>16</v>
      </c>
      <c r="J1119" s="20"/>
    </row>
    <row r="1120" customFormat="false" ht="15.75" hidden="false" customHeight="true" outlineLevel="0" collapsed="false">
      <c r="B1120" s="19" t="n">
        <v>1694</v>
      </c>
      <c r="C1120" s="20" t="s">
        <v>2702</v>
      </c>
      <c r="D1120" s="20" t="s">
        <v>279</v>
      </c>
      <c r="E1120" s="21" t="s">
        <v>2703</v>
      </c>
      <c r="F1120" s="21" t="n">
        <v>34858</v>
      </c>
      <c r="G1120" s="22" t="s">
        <v>471</v>
      </c>
      <c r="H1120" s="23" t="n">
        <f aca="false">COUNTIF(CAL!U:AF,B1120)</f>
        <v>2</v>
      </c>
      <c r="I1120" s="22" t="n">
        <v>17</v>
      </c>
      <c r="J1120" s="20"/>
    </row>
    <row r="1121" customFormat="false" ht="15.75" hidden="false" customHeight="true" outlineLevel="0" collapsed="false">
      <c r="B1121" s="19" t="n">
        <v>2225</v>
      </c>
      <c r="C1121" s="20" t="s">
        <v>2704</v>
      </c>
      <c r="D1121" s="20" t="s">
        <v>76</v>
      </c>
      <c r="E1121" s="21" t="s">
        <v>2705</v>
      </c>
      <c r="F1121" s="21" t="n">
        <v>37081</v>
      </c>
      <c r="G1121" s="22" t="s">
        <v>471</v>
      </c>
      <c r="H1121" s="23" t="n">
        <f aca="false">COUNTIF(CAL!U:AF,B1121)</f>
        <v>2</v>
      </c>
      <c r="I1121" s="22" t="n">
        <v>17</v>
      </c>
      <c r="J1121" s="20"/>
    </row>
    <row r="1122" customFormat="false" ht="15.75" hidden="false" customHeight="true" outlineLevel="0" collapsed="false">
      <c r="B1122" s="19" t="n">
        <v>2929</v>
      </c>
      <c r="C1122" s="20" t="s">
        <v>2706</v>
      </c>
      <c r="D1122" s="20" t="s">
        <v>93</v>
      </c>
      <c r="E1122" s="21" t="s">
        <v>2707</v>
      </c>
      <c r="F1122" s="21" t="n">
        <v>33886</v>
      </c>
      <c r="G1122" s="22" t="s">
        <v>471</v>
      </c>
      <c r="H1122" s="23" t="n">
        <f aca="false">COUNTIF(CAL!U:AF,B1122)</f>
        <v>2</v>
      </c>
      <c r="I1122" s="22" t="n">
        <v>17</v>
      </c>
      <c r="J1122" s="20"/>
    </row>
    <row r="1123" customFormat="false" ht="15.75" hidden="false" customHeight="true" outlineLevel="0" collapsed="false">
      <c r="B1123" s="19" t="n">
        <v>2972</v>
      </c>
      <c r="C1123" s="20" t="s">
        <v>2580</v>
      </c>
      <c r="D1123" s="20" t="s">
        <v>164</v>
      </c>
      <c r="E1123" s="21" t="s">
        <v>2708</v>
      </c>
      <c r="F1123" s="21" t="n">
        <v>35565</v>
      </c>
      <c r="G1123" s="22" t="s">
        <v>471</v>
      </c>
      <c r="H1123" s="23" t="n">
        <f aca="false">COUNTIF(CAL!U:AF,B1123)</f>
        <v>2</v>
      </c>
      <c r="I1123" s="22" t="n">
        <v>17</v>
      </c>
      <c r="J1123" s="20"/>
    </row>
    <row r="1124" customFormat="false" ht="15.75" hidden="false" customHeight="true" outlineLevel="0" collapsed="false">
      <c r="B1124" s="19" t="n">
        <v>1111</v>
      </c>
      <c r="C1124" s="20" t="s">
        <v>2709</v>
      </c>
      <c r="D1124" s="20" t="s">
        <v>151</v>
      </c>
      <c r="E1124" s="21" t="s">
        <v>2710</v>
      </c>
      <c r="F1124" s="21" t="n">
        <v>35188</v>
      </c>
      <c r="G1124" s="22" t="s">
        <v>471</v>
      </c>
      <c r="H1124" s="23" t="n">
        <f aca="false">COUNTIF(CAL!U:AF,B1124)</f>
        <v>2</v>
      </c>
      <c r="I1124" s="22" t="n">
        <v>18</v>
      </c>
      <c r="J1124" s="20"/>
    </row>
    <row r="1125" customFormat="false" ht="15.75" hidden="false" customHeight="true" outlineLevel="0" collapsed="false">
      <c r="B1125" s="19" t="n">
        <v>2392</v>
      </c>
      <c r="C1125" s="20" t="s">
        <v>2711</v>
      </c>
      <c r="D1125" s="20" t="s">
        <v>279</v>
      </c>
      <c r="E1125" s="21" t="s">
        <v>2712</v>
      </c>
      <c r="F1125" s="21" t="n">
        <v>36123</v>
      </c>
      <c r="G1125" s="22" t="s">
        <v>471</v>
      </c>
      <c r="H1125" s="23" t="n">
        <f aca="false">COUNTIF(CAL!U:AF,B1125)</f>
        <v>2</v>
      </c>
      <c r="I1125" s="22" t="n">
        <v>18</v>
      </c>
      <c r="J1125" s="20" t="s">
        <v>2713</v>
      </c>
    </row>
    <row r="1126" customFormat="false" ht="15.75" hidden="false" customHeight="true" outlineLevel="0" collapsed="false">
      <c r="B1126" s="19" t="n">
        <v>2621</v>
      </c>
      <c r="C1126" s="20" t="s">
        <v>2714</v>
      </c>
      <c r="D1126" s="20" t="s">
        <v>163</v>
      </c>
      <c r="E1126" s="21" t="s">
        <v>2715</v>
      </c>
      <c r="F1126" s="21" t="n">
        <v>35065</v>
      </c>
      <c r="G1126" s="22" t="s">
        <v>2716</v>
      </c>
      <c r="H1126" s="23" t="n">
        <f aca="false">COUNTIF(CAL!U:AF,B1126)</f>
        <v>2</v>
      </c>
      <c r="I1126" s="22" t="n">
        <v>19</v>
      </c>
      <c r="J1126" s="20"/>
    </row>
    <row r="1127" customFormat="false" ht="15.75" hidden="false" customHeight="true" outlineLevel="0" collapsed="false">
      <c r="B1127" s="19" t="n">
        <v>2035</v>
      </c>
      <c r="C1127" s="20" t="s">
        <v>2717</v>
      </c>
      <c r="D1127" s="20" t="s">
        <v>164</v>
      </c>
      <c r="E1127" s="21" t="s">
        <v>2718</v>
      </c>
      <c r="F1127" s="21" t="n">
        <v>33869</v>
      </c>
      <c r="G1127" s="22" t="s">
        <v>471</v>
      </c>
      <c r="H1127" s="23" t="n">
        <f aca="false">COUNTIF(CAL!U:AF,B1127)</f>
        <v>2</v>
      </c>
      <c r="I1127" s="22" t="n">
        <v>19</v>
      </c>
      <c r="J1127" s="20"/>
    </row>
    <row r="1128" customFormat="false" ht="15.75" hidden="false" customHeight="true" outlineLevel="0" collapsed="false">
      <c r="B1128" s="19" t="n">
        <v>2804</v>
      </c>
      <c r="C1128" s="20" t="s">
        <v>2719</v>
      </c>
      <c r="D1128" s="20" t="s">
        <v>78</v>
      </c>
      <c r="E1128" s="21" t="s">
        <v>2720</v>
      </c>
      <c r="F1128" s="21" t="n">
        <v>35953</v>
      </c>
      <c r="G1128" s="22" t="s">
        <v>471</v>
      </c>
      <c r="H1128" s="23" t="n">
        <f aca="false">COUNTIF(CAL!U:AF,B1128)</f>
        <v>2</v>
      </c>
      <c r="I1128" s="22" t="n">
        <v>19</v>
      </c>
      <c r="J1128" s="20"/>
    </row>
    <row r="1129" customFormat="false" ht="15.75" hidden="false" customHeight="true" outlineLevel="0" collapsed="false">
      <c r="B1129" s="19" t="n">
        <v>3387</v>
      </c>
      <c r="C1129" s="20" t="s">
        <v>2721</v>
      </c>
      <c r="D1129" s="20" t="s">
        <v>187</v>
      </c>
      <c r="E1129" s="21" t="s">
        <v>2722</v>
      </c>
      <c r="F1129" s="21" t="n">
        <v>33638</v>
      </c>
      <c r="G1129" s="22" t="s">
        <v>471</v>
      </c>
      <c r="H1129" s="23" t="n">
        <f aca="false">COUNTIF(CAL!U:AF,B1129)</f>
        <v>2</v>
      </c>
      <c r="I1129" s="22" t="n">
        <v>19</v>
      </c>
      <c r="J1129" s="20"/>
    </row>
    <row r="1130" customFormat="false" ht="15.75" hidden="false" customHeight="true" outlineLevel="0" collapsed="false">
      <c r="B1130" s="19" t="n">
        <v>2274</v>
      </c>
      <c r="C1130" s="20" t="s">
        <v>2723</v>
      </c>
      <c r="D1130" s="20" t="s">
        <v>163</v>
      </c>
      <c r="E1130" s="24" t="s">
        <v>2724</v>
      </c>
      <c r="F1130" s="21" t="n">
        <v>34095</v>
      </c>
      <c r="G1130" s="22" t="s">
        <v>884</v>
      </c>
      <c r="H1130" s="23" t="n">
        <f aca="false">COUNTIF(CAL!U:AF,B1130)</f>
        <v>2</v>
      </c>
      <c r="I1130" s="22" t="n">
        <v>20</v>
      </c>
      <c r="J1130" s="20"/>
    </row>
    <row r="1131" customFormat="false" ht="15.75" hidden="false" customHeight="true" outlineLevel="0" collapsed="false">
      <c r="B1131" s="19" t="n">
        <v>3547</v>
      </c>
      <c r="C1131" s="20" t="s">
        <v>2725</v>
      </c>
      <c r="D1131" s="20" t="s">
        <v>163</v>
      </c>
      <c r="E1131" s="24" t="s">
        <v>2726</v>
      </c>
      <c r="F1131" s="21" t="n">
        <v>34785</v>
      </c>
      <c r="G1131" s="22" t="s">
        <v>471</v>
      </c>
      <c r="H1131" s="23" t="n">
        <f aca="false">COUNTIF(CAL!U:AF,B1131)</f>
        <v>2</v>
      </c>
      <c r="I1131" s="22" t="n">
        <v>20</v>
      </c>
      <c r="J1131" s="20"/>
    </row>
    <row r="1132" customFormat="false" ht="15.75" hidden="false" customHeight="true" outlineLevel="0" collapsed="false">
      <c r="B1132" s="19" t="n">
        <v>2671</v>
      </c>
      <c r="C1132" s="20" t="s">
        <v>2727</v>
      </c>
      <c r="D1132" s="20" t="s">
        <v>118</v>
      </c>
      <c r="E1132" s="21" t="s">
        <v>2728</v>
      </c>
      <c r="F1132" s="21" t="n">
        <v>38616</v>
      </c>
      <c r="G1132" s="22" t="s">
        <v>471</v>
      </c>
      <c r="H1132" s="23" t="n">
        <f aca="false">COUNTIF(CAL!U:AF,B1132)</f>
        <v>1</v>
      </c>
      <c r="I1132" s="22" t="n">
        <v>1</v>
      </c>
      <c r="J1132" s="20"/>
    </row>
    <row r="1133" customFormat="false" ht="15.75" hidden="false" customHeight="true" outlineLevel="0" collapsed="false">
      <c r="B1133" s="19" t="n">
        <v>1038</v>
      </c>
      <c r="C1133" s="20" t="s">
        <v>2729</v>
      </c>
      <c r="D1133" s="20" t="s">
        <v>66</v>
      </c>
      <c r="E1133" s="24" t="s">
        <v>2730</v>
      </c>
      <c r="F1133" s="21" t="n">
        <v>35059</v>
      </c>
      <c r="G1133" s="22" t="s">
        <v>471</v>
      </c>
      <c r="H1133" s="23" t="n">
        <f aca="false">COUNTIF(CAL!U:AF,B1133)</f>
        <v>1</v>
      </c>
      <c r="I1133" s="22" t="n">
        <v>1</v>
      </c>
      <c r="J1133" s="20"/>
    </row>
    <row r="1134" customFormat="false" ht="15.75" hidden="false" customHeight="true" outlineLevel="0" collapsed="false">
      <c r="B1134" s="19" t="n">
        <v>3143</v>
      </c>
      <c r="C1134" s="20" t="s">
        <v>2731</v>
      </c>
      <c r="D1134" s="20" t="s">
        <v>288</v>
      </c>
      <c r="E1134" s="21" t="s">
        <v>2732</v>
      </c>
      <c r="F1134" s="21" t="n">
        <v>38401</v>
      </c>
      <c r="G1134" s="22" t="s">
        <v>471</v>
      </c>
      <c r="H1134" s="23" t="n">
        <f aca="false">COUNTIF(CAL!U:AF,B1134)</f>
        <v>1</v>
      </c>
      <c r="I1134" s="22" t="n">
        <v>1</v>
      </c>
      <c r="J1134" s="20"/>
    </row>
    <row r="1135" customFormat="false" ht="15.75" hidden="false" customHeight="true" outlineLevel="0" collapsed="false">
      <c r="B1135" s="19" t="n">
        <v>3222</v>
      </c>
      <c r="C1135" s="20" t="s">
        <v>2733</v>
      </c>
      <c r="D1135" s="20" t="s">
        <v>262</v>
      </c>
      <c r="E1135" s="21" t="s">
        <v>2734</v>
      </c>
      <c r="F1135" s="21" t="n">
        <v>34914</v>
      </c>
      <c r="G1135" s="22" t="s">
        <v>471</v>
      </c>
      <c r="H1135" s="23" t="n">
        <f aca="false">COUNTIF(CAL!U:AF,B1135)</f>
        <v>1</v>
      </c>
      <c r="I1135" s="22" t="n">
        <v>1</v>
      </c>
      <c r="J1135" s="20"/>
    </row>
    <row r="1136" customFormat="false" ht="15.75" hidden="false" customHeight="true" outlineLevel="0" collapsed="false">
      <c r="B1136" s="19" t="n">
        <v>1143</v>
      </c>
      <c r="C1136" s="20" t="s">
        <v>2735</v>
      </c>
      <c r="D1136" s="20" t="s">
        <v>218</v>
      </c>
      <c r="E1136" s="21" t="s">
        <v>2735</v>
      </c>
      <c r="F1136" s="21" t="n">
        <v>38586</v>
      </c>
      <c r="G1136" s="22" t="s">
        <v>471</v>
      </c>
      <c r="H1136" s="23" t="n">
        <f aca="false">COUNTIF(CAL!U:AF,B1136)</f>
        <v>1</v>
      </c>
      <c r="I1136" s="22" t="n">
        <v>1</v>
      </c>
      <c r="J1136" s="20"/>
    </row>
    <row r="1137" customFormat="false" ht="15.75" hidden="false" customHeight="true" outlineLevel="0" collapsed="false">
      <c r="B1137" s="19" t="n">
        <v>1146</v>
      </c>
      <c r="C1137" s="20" t="s">
        <v>2736</v>
      </c>
      <c r="D1137" s="20" t="s">
        <v>198</v>
      </c>
      <c r="E1137" s="21" t="s">
        <v>2737</v>
      </c>
      <c r="F1137" s="21" t="n">
        <v>32868</v>
      </c>
      <c r="G1137" s="22" t="s">
        <v>471</v>
      </c>
      <c r="H1137" s="23" t="n">
        <f aca="false">COUNTIF(CAL!U:AF,B1137)</f>
        <v>1</v>
      </c>
      <c r="I1137" s="22" t="n">
        <v>1</v>
      </c>
      <c r="J1137" s="20"/>
    </row>
    <row r="1138" customFormat="false" ht="15.75" hidden="false" customHeight="true" outlineLevel="0" collapsed="false">
      <c r="B1138" s="19" t="n">
        <v>2073</v>
      </c>
      <c r="C1138" s="20" t="s">
        <v>2738</v>
      </c>
      <c r="D1138" s="20" t="s">
        <v>309</v>
      </c>
      <c r="E1138" s="21" t="s">
        <v>2739</v>
      </c>
      <c r="F1138" s="21" t="n">
        <v>37913</v>
      </c>
      <c r="G1138" s="22" t="s">
        <v>471</v>
      </c>
      <c r="H1138" s="23" t="n">
        <f aca="false">COUNTIF(CAL!U:AF,B1138)</f>
        <v>1</v>
      </c>
      <c r="I1138" s="22" t="n">
        <v>1</v>
      </c>
      <c r="J1138" s="20"/>
    </row>
    <row r="1139" customFormat="false" ht="15.75" hidden="false" customHeight="true" outlineLevel="0" collapsed="false">
      <c r="B1139" s="19" t="n">
        <v>3271</v>
      </c>
      <c r="C1139" s="20" t="s">
        <v>1820</v>
      </c>
      <c r="D1139" s="20" t="s">
        <v>434</v>
      </c>
      <c r="E1139" s="21" t="s">
        <v>2740</v>
      </c>
      <c r="F1139" s="21" t="n">
        <v>37332</v>
      </c>
      <c r="G1139" s="22" t="s">
        <v>471</v>
      </c>
      <c r="H1139" s="23" t="n">
        <f aca="false">COUNTIF(CAL!U:AF,B1139)</f>
        <v>1</v>
      </c>
      <c r="I1139" s="22" t="n">
        <v>1</v>
      </c>
      <c r="J1139" s="20"/>
    </row>
    <row r="1140" customFormat="false" ht="15.75" hidden="false" customHeight="true" outlineLevel="0" collapsed="false">
      <c r="B1140" s="19" t="n">
        <v>2564</v>
      </c>
      <c r="C1140" s="20" t="s">
        <v>2741</v>
      </c>
      <c r="D1140" s="20" t="s">
        <v>382</v>
      </c>
      <c r="E1140" s="21" t="s">
        <v>2742</v>
      </c>
      <c r="F1140" s="21" t="n">
        <v>31509</v>
      </c>
      <c r="G1140" s="22" t="s">
        <v>471</v>
      </c>
      <c r="H1140" s="23" t="n">
        <f aca="false">COUNTIF(CAL!U:AF,B1140)</f>
        <v>1</v>
      </c>
      <c r="I1140" s="22" t="n">
        <v>1</v>
      </c>
      <c r="J1140" s="20"/>
    </row>
    <row r="1141" customFormat="false" ht="15.75" hidden="false" customHeight="true" outlineLevel="0" collapsed="false">
      <c r="B1141" s="19" t="n">
        <v>1630</v>
      </c>
      <c r="C1141" s="20" t="s">
        <v>2743</v>
      </c>
      <c r="D1141" s="20" t="s">
        <v>218</v>
      </c>
      <c r="E1141" s="21" t="s">
        <v>2744</v>
      </c>
      <c r="F1141" s="21" t="n">
        <v>35441</v>
      </c>
      <c r="G1141" s="22" t="s">
        <v>661</v>
      </c>
      <c r="H1141" s="23" t="n">
        <f aca="false">COUNTIF(CAL!U:AF,B1141)</f>
        <v>1</v>
      </c>
      <c r="I1141" s="22" t="n">
        <v>1</v>
      </c>
      <c r="J1141" s="20"/>
    </row>
    <row r="1142" customFormat="false" ht="15.75" hidden="false" customHeight="true" outlineLevel="0" collapsed="false">
      <c r="B1142" s="19" t="n">
        <v>3557</v>
      </c>
      <c r="C1142" s="20" t="s">
        <v>2745</v>
      </c>
      <c r="D1142" s="20" t="s">
        <v>39</v>
      </c>
      <c r="E1142" s="24" t="s">
        <v>2746</v>
      </c>
      <c r="F1142" s="21" t="n">
        <v>33460</v>
      </c>
      <c r="G1142" s="22" t="s">
        <v>471</v>
      </c>
      <c r="H1142" s="23" t="n">
        <f aca="false">COUNTIF(CAL!U:AF,B1142)</f>
        <v>1</v>
      </c>
      <c r="I1142" s="22" t="n">
        <v>1</v>
      </c>
      <c r="J1142" s="20"/>
    </row>
    <row r="1143" customFormat="false" ht="15.75" hidden="false" customHeight="true" outlineLevel="0" collapsed="false">
      <c r="B1143" s="19" t="n">
        <v>1001</v>
      </c>
      <c r="C1143" s="20" t="s">
        <v>2747</v>
      </c>
      <c r="D1143" s="20" t="s">
        <v>35</v>
      </c>
      <c r="E1143" s="24" t="s">
        <v>2748</v>
      </c>
      <c r="F1143" s="21" t="n">
        <v>37232</v>
      </c>
      <c r="G1143" s="22" t="s">
        <v>471</v>
      </c>
      <c r="H1143" s="23" t="n">
        <f aca="false">COUNTIF(CAL!U:AF,B1143)</f>
        <v>1</v>
      </c>
      <c r="I1143" s="22" t="n">
        <v>1</v>
      </c>
      <c r="J1143" s="20"/>
    </row>
    <row r="1144" customFormat="false" ht="15.75" hidden="false" customHeight="true" outlineLevel="0" collapsed="false">
      <c r="B1144" s="19" t="n">
        <v>3041</v>
      </c>
      <c r="C1144" s="20" t="s">
        <v>2749</v>
      </c>
      <c r="D1144" s="20" t="s">
        <v>361</v>
      </c>
      <c r="E1144" s="21" t="s">
        <v>2750</v>
      </c>
      <c r="F1144" s="21" t="n">
        <v>37873</v>
      </c>
      <c r="G1144" s="22" t="s">
        <v>471</v>
      </c>
      <c r="H1144" s="23" t="n">
        <f aca="false">COUNTIF(CAL!U:AF,B1144)</f>
        <v>1</v>
      </c>
      <c r="I1144" s="22" t="n">
        <v>1</v>
      </c>
      <c r="J1144" s="20"/>
    </row>
    <row r="1145" customFormat="false" ht="15.75" hidden="false" customHeight="true" outlineLevel="0" collapsed="false">
      <c r="B1145" s="19" t="n">
        <v>3478</v>
      </c>
      <c r="C1145" s="20" t="s">
        <v>2751</v>
      </c>
      <c r="D1145" s="20" t="s">
        <v>419</v>
      </c>
      <c r="E1145" s="21" t="s">
        <v>2752</v>
      </c>
      <c r="F1145" s="21" t="n">
        <v>36689</v>
      </c>
      <c r="G1145" s="22" t="s">
        <v>471</v>
      </c>
      <c r="H1145" s="23" t="n">
        <f aca="false">COUNTIF(CAL!U:AF,B1145)</f>
        <v>1</v>
      </c>
      <c r="I1145" s="22" t="n">
        <v>1</v>
      </c>
      <c r="J1145" s="20"/>
    </row>
    <row r="1146" customFormat="false" ht="15.75" hidden="false" customHeight="true" outlineLevel="0" collapsed="false">
      <c r="B1146" s="19" t="n">
        <v>3292</v>
      </c>
      <c r="C1146" s="20" t="s">
        <v>2753</v>
      </c>
      <c r="D1146" s="20" t="s">
        <v>57</v>
      </c>
      <c r="E1146" s="21" t="s">
        <v>2754</v>
      </c>
      <c r="F1146" s="21" t="n">
        <v>39044</v>
      </c>
      <c r="G1146" s="22" t="s">
        <v>471</v>
      </c>
      <c r="H1146" s="23" t="n">
        <f aca="false">COUNTIF(CAL!U:AF,B1146)</f>
        <v>1</v>
      </c>
      <c r="I1146" s="22" t="n">
        <v>1</v>
      </c>
      <c r="J1146" s="20"/>
    </row>
    <row r="1147" customFormat="false" ht="15.75" hidden="false" customHeight="true" outlineLevel="0" collapsed="false">
      <c r="B1147" s="19" t="n">
        <v>3301</v>
      </c>
      <c r="C1147" s="20" t="s">
        <v>2755</v>
      </c>
      <c r="D1147" s="20" t="s">
        <v>372</v>
      </c>
      <c r="E1147" s="21" t="s">
        <v>2756</v>
      </c>
      <c r="F1147" s="21" t="n">
        <v>39196</v>
      </c>
      <c r="G1147" s="22" t="s">
        <v>471</v>
      </c>
      <c r="H1147" s="23" t="n">
        <f aca="false">COUNTIF(CAL!U:AF,B1147)</f>
        <v>1</v>
      </c>
      <c r="I1147" s="22" t="n">
        <v>1</v>
      </c>
      <c r="J1147" s="20"/>
    </row>
    <row r="1148" customFormat="false" ht="15.75" hidden="false" customHeight="true" outlineLevel="0" collapsed="false">
      <c r="B1148" s="19" t="n">
        <v>3522</v>
      </c>
      <c r="C1148" s="20" t="s">
        <v>2325</v>
      </c>
      <c r="D1148" s="20" t="s">
        <v>155</v>
      </c>
      <c r="E1148" s="21" t="s">
        <v>2757</v>
      </c>
      <c r="F1148" s="21" t="n">
        <v>37323</v>
      </c>
      <c r="G1148" s="22" t="s">
        <v>471</v>
      </c>
      <c r="H1148" s="23" t="n">
        <f aca="false">COUNTIF(CAL!U:AF,B1148)</f>
        <v>1</v>
      </c>
      <c r="I1148" s="22" t="n">
        <v>1</v>
      </c>
      <c r="J1148" s="20"/>
    </row>
    <row r="1149" customFormat="false" ht="15.75" hidden="false" customHeight="true" outlineLevel="0" collapsed="false">
      <c r="B1149" s="19" t="n">
        <v>3270</v>
      </c>
      <c r="C1149" s="20" t="s">
        <v>2758</v>
      </c>
      <c r="D1149" s="20" t="s">
        <v>434</v>
      </c>
      <c r="E1149" s="21" t="s">
        <v>2759</v>
      </c>
      <c r="F1149" s="21" t="n">
        <v>38267</v>
      </c>
      <c r="G1149" s="22" t="s">
        <v>504</v>
      </c>
      <c r="H1149" s="23" t="n">
        <f aca="false">COUNTIF(CAL!U:AF,B1149)</f>
        <v>1</v>
      </c>
      <c r="I1149" s="22" t="n">
        <v>1</v>
      </c>
      <c r="J1149" s="20"/>
    </row>
    <row r="1150" customFormat="false" ht="15.75" hidden="false" customHeight="true" outlineLevel="0" collapsed="false">
      <c r="B1150" s="19" t="n">
        <v>2551</v>
      </c>
      <c r="C1150" s="20" t="s">
        <v>1457</v>
      </c>
      <c r="D1150" s="20" t="s">
        <v>309</v>
      </c>
      <c r="E1150" s="21" t="s">
        <v>2760</v>
      </c>
      <c r="F1150" s="21" t="n">
        <v>37768</v>
      </c>
      <c r="G1150" s="22" t="s">
        <v>471</v>
      </c>
      <c r="H1150" s="23" t="n">
        <f aca="false">COUNTIF(CAL!U:AF,B1150)</f>
        <v>1</v>
      </c>
      <c r="I1150" s="22" t="n">
        <v>1</v>
      </c>
      <c r="J1150" s="20"/>
    </row>
    <row r="1151" customFormat="false" ht="15.75" hidden="false" customHeight="true" outlineLevel="0" collapsed="false">
      <c r="B1151" s="19" t="n">
        <v>1022</v>
      </c>
      <c r="C1151" s="20" t="s">
        <v>1415</v>
      </c>
      <c r="D1151" s="20" t="s">
        <v>44</v>
      </c>
      <c r="E1151" s="24" t="s">
        <v>2761</v>
      </c>
      <c r="F1151" s="21" t="n">
        <v>33776</v>
      </c>
      <c r="G1151" s="22" t="s">
        <v>471</v>
      </c>
      <c r="H1151" s="23" t="n">
        <f aca="false">COUNTIF(CAL!U:AF,B1151)</f>
        <v>1</v>
      </c>
      <c r="I1151" s="22" t="n">
        <v>1</v>
      </c>
      <c r="J1151" s="20"/>
    </row>
    <row r="1152" customFormat="false" ht="15.75" hidden="false" customHeight="true" outlineLevel="0" collapsed="false">
      <c r="B1152" s="19" t="n">
        <v>3036</v>
      </c>
      <c r="C1152" s="20" t="s">
        <v>2762</v>
      </c>
      <c r="D1152" s="20" t="s">
        <v>348</v>
      </c>
      <c r="E1152" s="24" t="s">
        <v>2763</v>
      </c>
      <c r="F1152" s="21" t="n">
        <v>32564</v>
      </c>
      <c r="G1152" s="22" t="s">
        <v>471</v>
      </c>
      <c r="H1152" s="23" t="n">
        <f aca="false">COUNTIF(CAL!U:AF,B1152)</f>
        <v>1</v>
      </c>
      <c r="I1152" s="22" t="n">
        <v>1</v>
      </c>
      <c r="J1152" s="20"/>
    </row>
    <row r="1153" customFormat="false" ht="15.75" hidden="false" customHeight="true" outlineLevel="0" collapsed="false">
      <c r="B1153" s="19" t="n">
        <v>3340</v>
      </c>
      <c r="C1153" s="20" t="s">
        <v>2764</v>
      </c>
      <c r="D1153" s="20" t="s">
        <v>279</v>
      </c>
      <c r="E1153" s="21" t="s">
        <v>2765</v>
      </c>
      <c r="F1153" s="21" t="n">
        <v>39304</v>
      </c>
      <c r="G1153" s="22" t="s">
        <v>471</v>
      </c>
      <c r="H1153" s="23" t="n">
        <f aca="false">COUNTIF(CAL!U:AF,B1153)</f>
        <v>1</v>
      </c>
      <c r="I1153" s="22" t="n">
        <v>1</v>
      </c>
      <c r="J1153" s="20"/>
    </row>
    <row r="1154" customFormat="false" ht="15.75" hidden="false" customHeight="true" outlineLevel="0" collapsed="false">
      <c r="B1154" s="19" t="n">
        <v>3237</v>
      </c>
      <c r="C1154" s="20" t="s">
        <v>2766</v>
      </c>
      <c r="D1154" s="20" t="s">
        <v>282</v>
      </c>
      <c r="E1154" s="21" t="s">
        <v>2767</v>
      </c>
      <c r="F1154" s="21" t="n">
        <v>36036</v>
      </c>
      <c r="G1154" s="22" t="s">
        <v>471</v>
      </c>
      <c r="H1154" s="23" t="n">
        <f aca="false">COUNTIF(CAL!U:AF,B1154)</f>
        <v>1</v>
      </c>
      <c r="I1154" s="22" t="n">
        <v>1</v>
      </c>
      <c r="J1154" s="20"/>
    </row>
    <row r="1155" customFormat="false" ht="15.75" hidden="false" customHeight="true" outlineLevel="0" collapsed="false">
      <c r="B1155" s="19" t="n">
        <v>1043</v>
      </c>
      <c r="C1155" s="20" t="s">
        <v>2768</v>
      </c>
      <c r="D1155" s="20" t="s">
        <v>69</v>
      </c>
      <c r="E1155" s="24" t="s">
        <v>2769</v>
      </c>
      <c r="F1155" s="21" t="n">
        <v>38601</v>
      </c>
      <c r="G1155" s="22" t="s">
        <v>471</v>
      </c>
      <c r="H1155" s="23" t="n">
        <f aca="false">COUNTIF(CAL!U:AF,B1155)</f>
        <v>1</v>
      </c>
      <c r="I1155" s="22" t="n">
        <v>1</v>
      </c>
      <c r="J1155" s="20"/>
    </row>
    <row r="1156" customFormat="false" ht="15.75" hidden="false" customHeight="true" outlineLevel="0" collapsed="false">
      <c r="B1156" s="19" t="n">
        <v>2774</v>
      </c>
      <c r="C1156" s="20" t="s">
        <v>2770</v>
      </c>
      <c r="D1156" s="20" t="s">
        <v>322</v>
      </c>
      <c r="E1156" s="21" t="s">
        <v>2771</v>
      </c>
      <c r="F1156" s="21" t="n">
        <v>38701</v>
      </c>
      <c r="G1156" s="22" t="s">
        <v>1000</v>
      </c>
      <c r="H1156" s="23" t="n">
        <f aca="false">COUNTIF(CAL!U:AF,B1156)</f>
        <v>1</v>
      </c>
      <c r="I1156" s="22" t="n">
        <v>1</v>
      </c>
      <c r="J1156" s="20"/>
    </row>
    <row r="1157" customFormat="false" ht="15.75" hidden="false" customHeight="true" outlineLevel="0" collapsed="false">
      <c r="B1157" s="19" t="n">
        <v>3011</v>
      </c>
      <c r="C1157" s="20" t="s">
        <v>2772</v>
      </c>
      <c r="D1157" s="20" t="s">
        <v>85</v>
      </c>
      <c r="E1157" s="24" t="s">
        <v>2773</v>
      </c>
      <c r="F1157" s="21" t="n">
        <v>37988</v>
      </c>
      <c r="G1157" s="22" t="s">
        <v>2774</v>
      </c>
      <c r="H1157" s="23" t="n">
        <f aca="false">COUNTIF(CAL!U:AF,B1157)</f>
        <v>1</v>
      </c>
      <c r="I1157" s="22" t="n">
        <v>2</v>
      </c>
      <c r="J1157" s="20"/>
    </row>
    <row r="1158" customFormat="false" ht="15.75" hidden="false" customHeight="true" outlineLevel="0" collapsed="false">
      <c r="B1158" s="19" t="n">
        <v>2816</v>
      </c>
      <c r="C1158" s="20" t="s">
        <v>2775</v>
      </c>
      <c r="D1158" s="20" t="s">
        <v>283</v>
      </c>
      <c r="E1158" s="21" t="s">
        <v>2776</v>
      </c>
      <c r="F1158" s="21" t="n">
        <v>33254</v>
      </c>
      <c r="G1158" s="22" t="s">
        <v>471</v>
      </c>
      <c r="H1158" s="23" t="n">
        <f aca="false">COUNTIF(CAL!U:AF,B1158)</f>
        <v>1</v>
      </c>
      <c r="I1158" s="22" t="n">
        <v>2</v>
      </c>
      <c r="J1158" s="20"/>
    </row>
    <row r="1159" customFormat="false" ht="15.75" hidden="false" customHeight="true" outlineLevel="0" collapsed="false">
      <c r="B1159" s="19" t="n">
        <v>2814</v>
      </c>
      <c r="C1159" s="20" t="s">
        <v>715</v>
      </c>
      <c r="D1159" s="20" t="s">
        <v>380</v>
      </c>
      <c r="E1159" s="21" t="s">
        <v>2777</v>
      </c>
      <c r="F1159" s="21" t="n">
        <v>36685</v>
      </c>
      <c r="G1159" s="22" t="s">
        <v>471</v>
      </c>
      <c r="H1159" s="23" t="n">
        <f aca="false">COUNTIF(CAL!U:AF,B1159)</f>
        <v>1</v>
      </c>
      <c r="I1159" s="22" t="n">
        <v>2</v>
      </c>
      <c r="J1159" s="20"/>
    </row>
    <row r="1160" customFormat="false" ht="15.75" hidden="false" customHeight="true" outlineLevel="0" collapsed="false">
      <c r="B1160" s="19" t="n">
        <v>2643</v>
      </c>
      <c r="C1160" s="20" t="s">
        <v>2778</v>
      </c>
      <c r="D1160" s="20" t="s">
        <v>183</v>
      </c>
      <c r="E1160" s="24" t="s">
        <v>2779</v>
      </c>
      <c r="F1160" s="21" t="n">
        <v>39509</v>
      </c>
      <c r="G1160" s="22" t="s">
        <v>471</v>
      </c>
      <c r="H1160" s="23" t="n">
        <f aca="false">COUNTIF(CAL!U:AF,B1160)</f>
        <v>1</v>
      </c>
      <c r="I1160" s="22" t="n">
        <v>2</v>
      </c>
      <c r="J1160" s="20"/>
    </row>
    <row r="1161" customFormat="false" ht="15.75" hidden="false" customHeight="true" outlineLevel="0" collapsed="false">
      <c r="B1161" s="19" t="n">
        <v>1520</v>
      </c>
      <c r="C1161" s="20" t="s">
        <v>1018</v>
      </c>
      <c r="D1161" s="20" t="s">
        <v>218</v>
      </c>
      <c r="E1161" s="24" t="s">
        <v>2780</v>
      </c>
      <c r="F1161" s="21" t="n">
        <v>32802</v>
      </c>
      <c r="G1161" s="22" t="s">
        <v>471</v>
      </c>
      <c r="H1161" s="23" t="n">
        <f aca="false">COUNTIF(CAL!U:AF,B1161)</f>
        <v>1</v>
      </c>
      <c r="I1161" s="22" t="n">
        <v>2</v>
      </c>
      <c r="J1161" s="20"/>
    </row>
    <row r="1162" customFormat="false" ht="15.75" hidden="false" customHeight="true" outlineLevel="0" collapsed="false">
      <c r="B1162" s="19" t="n">
        <v>3631</v>
      </c>
      <c r="C1162" s="20" t="s">
        <v>2781</v>
      </c>
      <c r="D1162" s="20" t="s">
        <v>432</v>
      </c>
      <c r="E1162" s="24" t="s">
        <v>2782</v>
      </c>
      <c r="F1162" s="21" t="n">
        <v>38594</v>
      </c>
      <c r="G1162" s="22" t="s">
        <v>471</v>
      </c>
      <c r="H1162" s="23" t="n">
        <f aca="false">COUNTIF(CAL!U:AF,B1162)</f>
        <v>1</v>
      </c>
      <c r="I1162" s="22" t="n">
        <v>2</v>
      </c>
      <c r="J1162" s="20"/>
    </row>
    <row r="1163" customFormat="false" ht="15.75" hidden="false" customHeight="true" outlineLevel="0" collapsed="false">
      <c r="B1163" s="19" t="n">
        <v>2961</v>
      </c>
      <c r="C1163" s="20" t="s">
        <v>2783</v>
      </c>
      <c r="D1163" s="20" t="s">
        <v>250</v>
      </c>
      <c r="E1163" s="21" t="s">
        <v>2784</v>
      </c>
      <c r="F1163" s="21" t="n">
        <v>38485</v>
      </c>
      <c r="G1163" s="22" t="s">
        <v>471</v>
      </c>
      <c r="H1163" s="23" t="n">
        <f aca="false">COUNTIF(CAL!U:AF,B1163)</f>
        <v>1</v>
      </c>
      <c r="I1163" s="22" t="n">
        <v>2</v>
      </c>
      <c r="J1163" s="20"/>
    </row>
    <row r="1164" customFormat="false" ht="15.75" hidden="false" customHeight="true" outlineLevel="0" collapsed="false">
      <c r="B1164" s="19" t="n">
        <v>2530</v>
      </c>
      <c r="C1164" s="20" t="s">
        <v>2785</v>
      </c>
      <c r="D1164" s="20" t="s">
        <v>46</v>
      </c>
      <c r="E1164" s="21" t="s">
        <v>2786</v>
      </c>
      <c r="F1164" s="21" t="n">
        <v>32148</v>
      </c>
      <c r="G1164" s="22" t="s">
        <v>471</v>
      </c>
      <c r="H1164" s="23" t="n">
        <f aca="false">COUNTIF(CAL!U:AF,B1164)</f>
        <v>1</v>
      </c>
      <c r="I1164" s="22" t="n">
        <v>2</v>
      </c>
      <c r="J1164" s="20"/>
    </row>
    <row r="1165" customFormat="false" ht="15.75" hidden="false" customHeight="true" outlineLevel="0" collapsed="false">
      <c r="B1165" s="19" t="n">
        <v>2766</v>
      </c>
      <c r="C1165" s="20" t="s">
        <v>2787</v>
      </c>
      <c r="D1165" s="20" t="s">
        <v>350</v>
      </c>
      <c r="E1165" s="21" t="s">
        <v>2788</v>
      </c>
      <c r="F1165" s="21" t="n">
        <v>33776</v>
      </c>
      <c r="G1165" s="22" t="s">
        <v>471</v>
      </c>
      <c r="H1165" s="23" t="n">
        <f aca="false">COUNTIF(CAL!U:AF,B1165)</f>
        <v>1</v>
      </c>
      <c r="I1165" s="22" t="n">
        <v>2</v>
      </c>
      <c r="J1165" s="20"/>
    </row>
    <row r="1166" customFormat="false" ht="15.75" hidden="false" customHeight="true" outlineLevel="0" collapsed="false">
      <c r="B1166" s="19" t="n">
        <v>3343</v>
      </c>
      <c r="C1166" s="20" t="s">
        <v>2789</v>
      </c>
      <c r="D1166" s="20" t="s">
        <v>251</v>
      </c>
      <c r="E1166" s="21" t="s">
        <v>2790</v>
      </c>
      <c r="F1166" s="21" t="n">
        <v>36168</v>
      </c>
      <c r="G1166" s="22" t="s">
        <v>471</v>
      </c>
      <c r="H1166" s="23" t="n">
        <f aca="false">COUNTIF(CAL!U:AF,B1166)</f>
        <v>1</v>
      </c>
      <c r="I1166" s="22" t="n">
        <v>2</v>
      </c>
      <c r="J1166" s="20"/>
    </row>
    <row r="1167" customFormat="false" ht="15.75" hidden="false" customHeight="true" outlineLevel="0" collapsed="false">
      <c r="B1167" s="19" t="n">
        <v>1557</v>
      </c>
      <c r="C1167" s="20" t="s">
        <v>2478</v>
      </c>
      <c r="D1167" s="20" t="s">
        <v>194</v>
      </c>
      <c r="E1167" s="24" t="s">
        <v>2791</v>
      </c>
      <c r="F1167" s="21" t="n">
        <v>38877</v>
      </c>
      <c r="G1167" s="22" t="s">
        <v>471</v>
      </c>
      <c r="H1167" s="23" t="n">
        <f aca="false">COUNTIF(CAL!U:AF,B1167)</f>
        <v>1</v>
      </c>
      <c r="I1167" s="22" t="n">
        <v>2</v>
      </c>
      <c r="J1167" s="20"/>
    </row>
    <row r="1168" customFormat="false" ht="15.75" hidden="false" customHeight="true" outlineLevel="0" collapsed="false">
      <c r="B1168" s="19" t="n">
        <v>2675</v>
      </c>
      <c r="C1168" s="20" t="s">
        <v>2792</v>
      </c>
      <c r="D1168" s="20" t="s">
        <v>200</v>
      </c>
      <c r="E1168" s="21" t="s">
        <v>2793</v>
      </c>
      <c r="F1168" s="21" t="n">
        <v>38392</v>
      </c>
      <c r="G1168" s="22" t="s">
        <v>471</v>
      </c>
      <c r="H1168" s="23" t="n">
        <f aca="false">COUNTIF(CAL!U:AF,B1168)</f>
        <v>1</v>
      </c>
      <c r="I1168" s="22" t="n">
        <v>2</v>
      </c>
      <c r="J1168" s="20"/>
    </row>
    <row r="1169" customFormat="false" ht="15.75" hidden="false" customHeight="true" outlineLevel="0" collapsed="false">
      <c r="B1169" s="19" t="n">
        <v>2110</v>
      </c>
      <c r="C1169" s="20" t="s">
        <v>2794</v>
      </c>
      <c r="D1169" s="20" t="s">
        <v>127</v>
      </c>
      <c r="E1169" s="21" t="s">
        <v>2795</v>
      </c>
      <c r="F1169" s="21" t="n">
        <v>37327</v>
      </c>
      <c r="G1169" s="22" t="s">
        <v>471</v>
      </c>
      <c r="H1169" s="23" t="n">
        <f aca="false">COUNTIF(CAL!U:AF,B1169)</f>
        <v>1</v>
      </c>
      <c r="I1169" s="22" t="n">
        <v>2</v>
      </c>
      <c r="J1169" s="20"/>
    </row>
    <row r="1170" customFormat="false" ht="15.75" hidden="false" customHeight="true" outlineLevel="0" collapsed="false">
      <c r="B1170" s="19" t="n">
        <v>2299</v>
      </c>
      <c r="C1170" s="20" t="s">
        <v>2796</v>
      </c>
      <c r="D1170" s="20" t="s">
        <v>126</v>
      </c>
      <c r="E1170" s="24" t="s">
        <v>2797</v>
      </c>
      <c r="F1170" s="21" t="n">
        <v>38565</v>
      </c>
      <c r="G1170" s="22" t="s">
        <v>471</v>
      </c>
      <c r="H1170" s="23" t="n">
        <f aca="false">COUNTIF(CAL!U:AF,B1170)</f>
        <v>1</v>
      </c>
      <c r="I1170" s="22" t="n">
        <v>2</v>
      </c>
      <c r="J1170" s="20"/>
    </row>
    <row r="1171" customFormat="false" ht="15.75" hidden="false" customHeight="true" outlineLevel="0" collapsed="false">
      <c r="B1171" s="19" t="n">
        <v>1936</v>
      </c>
      <c r="C1171" s="20" t="s">
        <v>2798</v>
      </c>
      <c r="D1171" s="20" t="s">
        <v>153</v>
      </c>
      <c r="E1171" s="21" t="s">
        <v>2799</v>
      </c>
      <c r="F1171" s="21" t="n">
        <v>37309</v>
      </c>
      <c r="G1171" s="22" t="s">
        <v>471</v>
      </c>
      <c r="H1171" s="23" t="n">
        <f aca="false">COUNTIF(CAL!U:AF,B1171)</f>
        <v>1</v>
      </c>
      <c r="I1171" s="22" t="n">
        <v>2</v>
      </c>
      <c r="J1171" s="20"/>
    </row>
    <row r="1172" customFormat="false" ht="15.75" hidden="false" customHeight="true" outlineLevel="0" collapsed="false">
      <c r="B1172" s="19" t="n">
        <v>2687</v>
      </c>
      <c r="C1172" s="20" t="s">
        <v>2800</v>
      </c>
      <c r="D1172" s="20" t="s">
        <v>92</v>
      </c>
      <c r="E1172" s="21" t="s">
        <v>2801</v>
      </c>
      <c r="F1172" s="21" t="n">
        <v>38537</v>
      </c>
      <c r="G1172" s="22" t="s">
        <v>471</v>
      </c>
      <c r="H1172" s="23" t="n">
        <f aca="false">COUNTIF(CAL!U:AF,B1172)</f>
        <v>1</v>
      </c>
      <c r="I1172" s="22" t="n">
        <v>2</v>
      </c>
      <c r="J1172" s="20"/>
    </row>
    <row r="1173" customFormat="false" ht="15.75" hidden="false" customHeight="true" outlineLevel="0" collapsed="false">
      <c r="B1173" s="19" t="n">
        <v>1389</v>
      </c>
      <c r="C1173" s="20" t="s">
        <v>2802</v>
      </c>
      <c r="D1173" s="20" t="s">
        <v>264</v>
      </c>
      <c r="E1173" s="21" t="s">
        <v>2803</v>
      </c>
      <c r="F1173" s="21" t="n">
        <v>38739</v>
      </c>
      <c r="G1173" s="22" t="s">
        <v>471</v>
      </c>
      <c r="H1173" s="23" t="n">
        <f aca="false">COUNTIF(CAL!U:AF,B1173)</f>
        <v>1</v>
      </c>
      <c r="I1173" s="22" t="n">
        <v>2</v>
      </c>
      <c r="J1173" s="20"/>
    </row>
    <row r="1174" customFormat="false" ht="15.75" hidden="false" customHeight="true" outlineLevel="0" collapsed="false">
      <c r="B1174" s="19" t="n">
        <v>1776</v>
      </c>
      <c r="C1174" s="20" t="s">
        <v>2804</v>
      </c>
      <c r="D1174" s="20" t="s">
        <v>349</v>
      </c>
      <c r="E1174" s="21" t="s">
        <v>2805</v>
      </c>
      <c r="F1174" s="21" t="n">
        <v>39223</v>
      </c>
      <c r="G1174" s="22" t="s">
        <v>471</v>
      </c>
      <c r="H1174" s="23" t="n">
        <f aca="false">COUNTIF(CAL!U:AF,B1174)</f>
        <v>1</v>
      </c>
      <c r="I1174" s="22" t="n">
        <v>2</v>
      </c>
      <c r="J1174" s="20"/>
    </row>
    <row r="1175" customFormat="false" ht="15.75" hidden="false" customHeight="true" outlineLevel="0" collapsed="false">
      <c r="B1175" s="19" t="n">
        <v>3626</v>
      </c>
      <c r="C1175" s="20" t="s">
        <v>2806</v>
      </c>
      <c r="D1175" s="20" t="s">
        <v>410</v>
      </c>
      <c r="E1175" s="21" t="s">
        <v>2807</v>
      </c>
      <c r="F1175" s="21" t="n">
        <v>38572</v>
      </c>
      <c r="G1175" s="22" t="s">
        <v>471</v>
      </c>
      <c r="H1175" s="23" t="n">
        <f aca="false">COUNTIF(CAL!U:AF,B1175)</f>
        <v>1</v>
      </c>
      <c r="I1175" s="22" t="n">
        <v>2</v>
      </c>
      <c r="J1175" s="20"/>
    </row>
    <row r="1176" customFormat="false" ht="15.75" hidden="false" customHeight="true" outlineLevel="0" collapsed="false">
      <c r="B1176" s="19" t="n">
        <v>3647</v>
      </c>
      <c r="C1176" s="20" t="s">
        <v>2808</v>
      </c>
      <c r="D1176" s="20" t="s">
        <v>38</v>
      </c>
      <c r="E1176" s="21" t="s">
        <v>2809</v>
      </c>
      <c r="F1176" s="21" t="n">
        <v>38493</v>
      </c>
      <c r="G1176" s="22" t="s">
        <v>471</v>
      </c>
      <c r="H1176" s="23" t="n">
        <f aca="false">COUNTIF(CAL!U:AF,B1176)</f>
        <v>1</v>
      </c>
      <c r="I1176" s="22" t="n">
        <v>2</v>
      </c>
      <c r="J1176" s="20"/>
    </row>
    <row r="1177" customFormat="false" ht="15.75" hidden="false" customHeight="true" outlineLevel="0" collapsed="false">
      <c r="B1177" s="19" t="n">
        <v>2167</v>
      </c>
      <c r="C1177" s="20" t="s">
        <v>2810</v>
      </c>
      <c r="D1177" s="20" t="s">
        <v>366</v>
      </c>
      <c r="E1177" s="21" t="s">
        <v>2811</v>
      </c>
      <c r="F1177" s="21" t="n">
        <v>37135</v>
      </c>
      <c r="G1177" s="22" t="s">
        <v>471</v>
      </c>
      <c r="H1177" s="23" t="n">
        <f aca="false">COUNTIF(CAL!U:AF,B1177)</f>
        <v>1</v>
      </c>
      <c r="I1177" s="22" t="n">
        <v>2</v>
      </c>
      <c r="J1177" s="20"/>
    </row>
    <row r="1178" customFormat="false" ht="15.75" hidden="false" customHeight="true" outlineLevel="0" collapsed="false">
      <c r="B1178" s="19" t="n">
        <v>2644</v>
      </c>
      <c r="C1178" s="20" t="s">
        <v>2812</v>
      </c>
      <c r="D1178" s="20" t="s">
        <v>184</v>
      </c>
      <c r="E1178" s="21" t="s">
        <v>2813</v>
      </c>
      <c r="F1178" s="21" t="n">
        <v>38623</v>
      </c>
      <c r="G1178" s="22" t="s">
        <v>471</v>
      </c>
      <c r="H1178" s="23" t="n">
        <f aca="false">COUNTIF(CAL!U:AF,B1178)</f>
        <v>1</v>
      </c>
      <c r="I1178" s="22" t="n">
        <v>2</v>
      </c>
      <c r="J1178" s="20"/>
    </row>
    <row r="1179" customFormat="false" ht="15.75" hidden="false" customHeight="true" outlineLevel="0" collapsed="false">
      <c r="B1179" s="19" t="n">
        <v>3469</v>
      </c>
      <c r="C1179" s="20" t="s">
        <v>2814</v>
      </c>
      <c r="D1179" s="20" t="s">
        <v>390</v>
      </c>
      <c r="E1179" s="21" t="s">
        <v>2815</v>
      </c>
      <c r="F1179" s="21" t="n">
        <v>35482</v>
      </c>
      <c r="G1179" s="22" t="s">
        <v>471</v>
      </c>
      <c r="H1179" s="23" t="n">
        <f aca="false">COUNTIF(CAL!U:AF,B1179)</f>
        <v>1</v>
      </c>
      <c r="I1179" s="22" t="n">
        <v>2</v>
      </c>
      <c r="J1179" s="20"/>
    </row>
    <row r="1180" customFormat="false" ht="15.75" hidden="false" customHeight="true" outlineLevel="0" collapsed="false">
      <c r="B1180" s="19" t="n">
        <v>3393</v>
      </c>
      <c r="C1180" s="20" t="s">
        <v>2816</v>
      </c>
      <c r="D1180" s="20" t="s">
        <v>352</v>
      </c>
      <c r="E1180" s="21" t="s">
        <v>2817</v>
      </c>
      <c r="F1180" s="21" t="n">
        <v>37194</v>
      </c>
      <c r="G1180" s="22" t="s">
        <v>471</v>
      </c>
      <c r="H1180" s="23" t="n">
        <f aca="false">COUNTIF(CAL!U:AF,B1180)</f>
        <v>1</v>
      </c>
      <c r="I1180" s="22" t="n">
        <v>2</v>
      </c>
      <c r="J1180" s="20"/>
    </row>
    <row r="1181" customFormat="false" ht="15.75" hidden="false" customHeight="true" outlineLevel="0" collapsed="false">
      <c r="B1181" s="19" t="n">
        <v>1346</v>
      </c>
      <c r="C1181" s="20" t="s">
        <v>2818</v>
      </c>
      <c r="D1181" s="20" t="s">
        <v>168</v>
      </c>
      <c r="E1181" s="21" t="s">
        <v>2819</v>
      </c>
      <c r="F1181" s="21" t="n">
        <v>39398</v>
      </c>
      <c r="G1181" s="22" t="s">
        <v>471</v>
      </c>
      <c r="H1181" s="23" t="n">
        <f aca="false">COUNTIF(CAL!U:AF,B1181)</f>
        <v>1</v>
      </c>
      <c r="I1181" s="22" t="n">
        <v>2</v>
      </c>
      <c r="J1181" s="20"/>
    </row>
    <row r="1182" customFormat="false" ht="15.75" hidden="false" customHeight="true" outlineLevel="0" collapsed="false">
      <c r="B1182" s="19" t="n">
        <v>2415</v>
      </c>
      <c r="C1182" s="20" t="s">
        <v>2820</v>
      </c>
      <c r="D1182" s="20" t="s">
        <v>213</v>
      </c>
      <c r="E1182" s="21" t="s">
        <v>2821</v>
      </c>
      <c r="F1182" s="21" t="n">
        <v>38230</v>
      </c>
      <c r="G1182" s="22" t="s">
        <v>504</v>
      </c>
      <c r="H1182" s="23" t="n">
        <f aca="false">COUNTIF(CAL!U:AF,B1182)</f>
        <v>1</v>
      </c>
      <c r="I1182" s="22" t="n">
        <v>2</v>
      </c>
      <c r="J1182" s="20"/>
    </row>
    <row r="1183" customFormat="false" ht="15.75" hidden="false" customHeight="true" outlineLevel="0" collapsed="false">
      <c r="B1183" s="19" t="n">
        <v>1243</v>
      </c>
      <c r="C1183" s="20" t="s">
        <v>2822</v>
      </c>
      <c r="D1183" s="20" t="s">
        <v>255</v>
      </c>
      <c r="E1183" s="21" t="s">
        <v>2823</v>
      </c>
      <c r="F1183" s="21" t="n">
        <v>38026</v>
      </c>
      <c r="G1183" s="22" t="s">
        <v>884</v>
      </c>
      <c r="H1183" s="23" t="n">
        <f aca="false">COUNTIF(CAL!U:AF,B1183)</f>
        <v>1</v>
      </c>
      <c r="I1183" s="22" t="n">
        <v>2</v>
      </c>
      <c r="J1183" s="20"/>
    </row>
    <row r="1184" customFormat="false" ht="15.75" hidden="false" customHeight="true" outlineLevel="0" collapsed="false">
      <c r="B1184" s="19" t="n">
        <v>2293</v>
      </c>
      <c r="C1184" s="20" t="s">
        <v>1399</v>
      </c>
      <c r="D1184" s="20" t="s">
        <v>381</v>
      </c>
      <c r="E1184" s="24" t="s">
        <v>2824</v>
      </c>
      <c r="F1184" s="21" t="n">
        <v>39378</v>
      </c>
      <c r="G1184" s="22" t="s">
        <v>471</v>
      </c>
      <c r="H1184" s="23" t="n">
        <f aca="false">COUNTIF(CAL!U:AF,B1184)</f>
        <v>1</v>
      </c>
      <c r="I1184" s="22" t="n">
        <v>2</v>
      </c>
      <c r="J1184" s="20"/>
    </row>
    <row r="1185" customFormat="false" ht="15.75" hidden="false" customHeight="true" outlineLevel="0" collapsed="false">
      <c r="B1185" s="19" t="n">
        <v>1363</v>
      </c>
      <c r="C1185" s="20" t="s">
        <v>2825</v>
      </c>
      <c r="D1185" s="20" t="s">
        <v>267</v>
      </c>
      <c r="E1185" s="21" t="s">
        <v>2826</v>
      </c>
      <c r="F1185" s="21" t="n">
        <v>38862</v>
      </c>
      <c r="G1185" s="22" t="s">
        <v>471</v>
      </c>
      <c r="H1185" s="23" t="n">
        <f aca="false">COUNTIF(CAL!U:AF,B1185)</f>
        <v>1</v>
      </c>
      <c r="I1185" s="22" t="n">
        <v>2</v>
      </c>
      <c r="J1185" s="20"/>
    </row>
    <row r="1186" customFormat="false" ht="15.75" hidden="false" customHeight="true" outlineLevel="0" collapsed="false">
      <c r="B1186" s="19" t="n">
        <v>2806</v>
      </c>
      <c r="C1186" s="20" t="s">
        <v>2827</v>
      </c>
      <c r="D1186" s="20" t="s">
        <v>275</v>
      </c>
      <c r="E1186" s="24" t="s">
        <v>2828</v>
      </c>
      <c r="F1186" s="21" t="n">
        <v>39882</v>
      </c>
      <c r="G1186" s="22" t="s">
        <v>471</v>
      </c>
      <c r="H1186" s="23" t="n">
        <f aca="false">COUNTIF(CAL!U:AF,B1186)</f>
        <v>1</v>
      </c>
      <c r="I1186" s="22" t="n">
        <v>2</v>
      </c>
      <c r="J1186" s="20"/>
    </row>
    <row r="1187" customFormat="false" ht="15.75" hidden="false" customHeight="true" outlineLevel="0" collapsed="false">
      <c r="B1187" s="19" t="n">
        <v>2878</v>
      </c>
      <c r="C1187" s="20" t="s">
        <v>2829</v>
      </c>
      <c r="D1187" s="20" t="s">
        <v>101</v>
      </c>
      <c r="E1187" s="21" t="s">
        <v>2830</v>
      </c>
      <c r="F1187" s="21" t="n">
        <v>36914</v>
      </c>
      <c r="G1187" s="22" t="s">
        <v>471</v>
      </c>
      <c r="H1187" s="23" t="n">
        <f aca="false">COUNTIF(CAL!U:AF,B1187)</f>
        <v>1</v>
      </c>
      <c r="I1187" s="22" t="n">
        <v>2</v>
      </c>
      <c r="J1187" s="20"/>
    </row>
    <row r="1188" customFormat="false" ht="15.75" hidden="false" customHeight="true" outlineLevel="0" collapsed="false">
      <c r="B1188" s="19" t="n">
        <v>2482</v>
      </c>
      <c r="C1188" s="20" t="s">
        <v>2831</v>
      </c>
      <c r="D1188" s="20" t="s">
        <v>132</v>
      </c>
      <c r="E1188" s="21" t="s">
        <v>2832</v>
      </c>
      <c r="F1188" s="21" t="n">
        <v>38817</v>
      </c>
      <c r="G1188" s="22" t="s">
        <v>471</v>
      </c>
      <c r="H1188" s="23" t="n">
        <f aca="false">COUNTIF(CAL!U:AF,B1188)</f>
        <v>1</v>
      </c>
      <c r="I1188" s="22" t="n">
        <v>2</v>
      </c>
      <c r="J1188" s="20"/>
    </row>
    <row r="1189" customFormat="false" ht="15.75" hidden="false" customHeight="true" outlineLevel="0" collapsed="false">
      <c r="B1189" s="19" t="n">
        <v>2289</v>
      </c>
      <c r="C1189" s="20" t="s">
        <v>2833</v>
      </c>
      <c r="D1189" s="20" t="s">
        <v>171</v>
      </c>
      <c r="E1189" s="24" t="s">
        <v>2834</v>
      </c>
      <c r="F1189" s="21" t="n">
        <v>39185</v>
      </c>
      <c r="G1189" s="22" t="s">
        <v>471</v>
      </c>
      <c r="H1189" s="23" t="n">
        <f aca="false">COUNTIF(CAL!U:AF,B1189)</f>
        <v>1</v>
      </c>
      <c r="I1189" s="22" t="n">
        <v>2</v>
      </c>
      <c r="J1189" s="20"/>
    </row>
    <row r="1190" customFormat="false" ht="15.75" hidden="false" customHeight="true" outlineLevel="0" collapsed="false">
      <c r="B1190" s="19" t="n">
        <v>1073</v>
      </c>
      <c r="C1190" s="20" t="s">
        <v>2835</v>
      </c>
      <c r="D1190" s="20" t="s">
        <v>51</v>
      </c>
      <c r="E1190" s="21" t="s">
        <v>2836</v>
      </c>
      <c r="F1190" s="21" t="n">
        <v>39303</v>
      </c>
      <c r="G1190" s="22" t="s">
        <v>471</v>
      </c>
      <c r="H1190" s="23" t="n">
        <f aca="false">COUNTIF(CAL!U:AF,B1190)</f>
        <v>1</v>
      </c>
      <c r="I1190" s="22" t="n">
        <v>2</v>
      </c>
      <c r="J1190" s="20"/>
    </row>
    <row r="1191" customFormat="false" ht="15.75" hidden="false" customHeight="true" outlineLevel="0" collapsed="false">
      <c r="B1191" s="19" t="n">
        <v>2082</v>
      </c>
      <c r="C1191" s="20" t="s">
        <v>2837</v>
      </c>
      <c r="D1191" s="20" t="s">
        <v>149</v>
      </c>
      <c r="E1191" s="24" t="s">
        <v>2838</v>
      </c>
      <c r="F1191" s="21" t="n">
        <v>38044</v>
      </c>
      <c r="G1191" s="22" t="s">
        <v>504</v>
      </c>
      <c r="H1191" s="23" t="n">
        <f aca="false">COUNTIF(CAL!U:AF,B1191)</f>
        <v>1</v>
      </c>
      <c r="I1191" s="22" t="n">
        <v>2</v>
      </c>
      <c r="J1191" s="20"/>
    </row>
    <row r="1192" customFormat="false" ht="15.75" hidden="false" customHeight="true" outlineLevel="0" collapsed="false">
      <c r="B1192" s="19" t="n">
        <v>1207</v>
      </c>
      <c r="C1192" s="20" t="s">
        <v>2839</v>
      </c>
      <c r="D1192" s="20" t="s">
        <v>206</v>
      </c>
      <c r="E1192" s="21" t="s">
        <v>2840</v>
      </c>
      <c r="F1192" s="21" t="n">
        <v>38445</v>
      </c>
      <c r="G1192" s="22" t="s">
        <v>471</v>
      </c>
      <c r="H1192" s="23" t="n">
        <f aca="false">COUNTIF(CAL!U:AF,B1192)</f>
        <v>1</v>
      </c>
      <c r="I1192" s="22" t="n">
        <v>2</v>
      </c>
      <c r="J1192" s="20"/>
    </row>
    <row r="1193" customFormat="false" ht="15.75" hidden="false" customHeight="true" outlineLevel="0" collapsed="false">
      <c r="B1193" s="19" t="n">
        <v>2957</v>
      </c>
      <c r="C1193" s="20" t="s">
        <v>558</v>
      </c>
      <c r="D1193" s="20" t="s">
        <v>429</v>
      </c>
      <c r="E1193" s="24" t="s">
        <v>2841</v>
      </c>
      <c r="F1193" s="21" t="n">
        <v>35267</v>
      </c>
      <c r="G1193" s="22" t="s">
        <v>471</v>
      </c>
      <c r="H1193" s="23" t="n">
        <f aca="false">COUNTIF(CAL!U:AF,B1193)</f>
        <v>1</v>
      </c>
      <c r="I1193" s="22" t="n">
        <v>2</v>
      </c>
      <c r="J1193" s="20" t="s">
        <v>2842</v>
      </c>
    </row>
    <row r="1194" customFormat="false" ht="15.75" hidden="false" customHeight="true" outlineLevel="0" collapsed="false">
      <c r="B1194" s="19" t="n">
        <v>1999</v>
      </c>
      <c r="C1194" s="20" t="s">
        <v>2843</v>
      </c>
      <c r="D1194" s="20" t="s">
        <v>132</v>
      </c>
      <c r="E1194" s="21" t="s">
        <v>2844</v>
      </c>
      <c r="F1194" s="21" t="n">
        <v>38317</v>
      </c>
      <c r="G1194" s="22" t="s">
        <v>471</v>
      </c>
      <c r="H1194" s="23" t="n">
        <f aca="false">COUNTIF(CAL!U:AF,B1194)</f>
        <v>1</v>
      </c>
      <c r="I1194" s="22" t="n">
        <v>2</v>
      </c>
      <c r="J1194" s="20"/>
    </row>
    <row r="1195" customFormat="false" ht="15.75" hidden="false" customHeight="true" outlineLevel="0" collapsed="false">
      <c r="B1195" s="19" t="n">
        <v>3318</v>
      </c>
      <c r="C1195" s="20" t="s">
        <v>2845</v>
      </c>
      <c r="D1195" s="20" t="s">
        <v>159</v>
      </c>
      <c r="E1195" s="21" t="s">
        <v>2846</v>
      </c>
      <c r="F1195" s="21" t="n">
        <v>33525</v>
      </c>
      <c r="G1195" s="22" t="s">
        <v>471</v>
      </c>
      <c r="H1195" s="23" t="n">
        <f aca="false">COUNTIF(CAL!U:AF,B1195)</f>
        <v>1</v>
      </c>
      <c r="I1195" s="22" t="n">
        <v>2</v>
      </c>
      <c r="J1195" s="20"/>
    </row>
    <row r="1196" customFormat="false" ht="15.75" hidden="false" customHeight="true" outlineLevel="0" collapsed="false">
      <c r="B1196" s="19" t="n">
        <v>3448</v>
      </c>
      <c r="C1196" s="20" t="s">
        <v>2847</v>
      </c>
      <c r="D1196" s="20" t="s">
        <v>427</v>
      </c>
      <c r="E1196" s="21" t="s">
        <v>2848</v>
      </c>
      <c r="F1196" s="21" t="n">
        <v>33312</v>
      </c>
      <c r="G1196" s="22" t="s">
        <v>471</v>
      </c>
      <c r="H1196" s="23" t="n">
        <f aca="false">COUNTIF(CAL!U:AF,B1196)</f>
        <v>1</v>
      </c>
      <c r="I1196" s="22" t="n">
        <v>2</v>
      </c>
      <c r="J1196" s="20"/>
    </row>
    <row r="1197" customFormat="false" ht="15.75" hidden="false" customHeight="true" outlineLevel="0" collapsed="false">
      <c r="B1197" s="19" t="n">
        <v>1072</v>
      </c>
      <c r="C1197" s="20" t="s">
        <v>2849</v>
      </c>
      <c r="D1197" s="20" t="s">
        <v>51</v>
      </c>
      <c r="E1197" s="21" t="s">
        <v>2850</v>
      </c>
      <c r="F1197" s="21" t="n">
        <v>39096</v>
      </c>
      <c r="G1197" s="22" t="s">
        <v>471</v>
      </c>
      <c r="H1197" s="23" t="n">
        <f aca="false">COUNTIF(CAL!U:AF,B1197)</f>
        <v>1</v>
      </c>
      <c r="I1197" s="22" t="n">
        <v>2</v>
      </c>
      <c r="J1197" s="20"/>
    </row>
    <row r="1198" customFormat="false" ht="15.75" hidden="false" customHeight="true" outlineLevel="0" collapsed="false">
      <c r="B1198" s="19" t="n">
        <v>3293</v>
      </c>
      <c r="C1198" s="20" t="s">
        <v>2851</v>
      </c>
      <c r="D1198" s="20" t="s">
        <v>57</v>
      </c>
      <c r="E1198" s="21" t="s">
        <v>2852</v>
      </c>
      <c r="F1198" s="21" t="n">
        <v>39328</v>
      </c>
      <c r="G1198" s="22" t="s">
        <v>471</v>
      </c>
      <c r="H1198" s="23" t="n">
        <f aca="false">COUNTIF(CAL!U:AF,B1198)</f>
        <v>1</v>
      </c>
      <c r="I1198" s="22" t="n">
        <v>2</v>
      </c>
      <c r="J1198" s="20"/>
    </row>
    <row r="1199" customFormat="false" ht="15.75" hidden="false" customHeight="true" outlineLevel="0" collapsed="false">
      <c r="B1199" s="19" t="n">
        <v>3359</v>
      </c>
      <c r="C1199" s="20" t="s">
        <v>2853</v>
      </c>
      <c r="D1199" s="20" t="s">
        <v>414</v>
      </c>
      <c r="E1199" s="21" t="s">
        <v>2854</v>
      </c>
      <c r="F1199" s="21" t="n">
        <v>37632</v>
      </c>
      <c r="G1199" s="22" t="s">
        <v>471</v>
      </c>
      <c r="H1199" s="23" t="n">
        <f aca="false">COUNTIF(CAL!U:AF,B1199)</f>
        <v>1</v>
      </c>
      <c r="I1199" s="22" t="n">
        <v>2</v>
      </c>
      <c r="J1199" s="20"/>
    </row>
    <row r="1200" customFormat="false" ht="15.75" hidden="false" customHeight="true" outlineLevel="0" collapsed="false">
      <c r="B1200" s="19" t="n">
        <v>3304</v>
      </c>
      <c r="C1200" s="20" t="s">
        <v>2855</v>
      </c>
      <c r="D1200" s="20" t="s">
        <v>432</v>
      </c>
      <c r="E1200" s="21" t="s">
        <v>2856</v>
      </c>
      <c r="F1200" s="21" t="n">
        <v>37336</v>
      </c>
      <c r="G1200" s="22" t="s">
        <v>471</v>
      </c>
      <c r="H1200" s="23" t="n">
        <f aca="false">COUNTIF(CAL!U:AF,B1200)</f>
        <v>1</v>
      </c>
      <c r="I1200" s="22" t="n">
        <v>3</v>
      </c>
      <c r="J1200" s="20"/>
    </row>
    <row r="1201" customFormat="false" ht="15.75" hidden="false" customHeight="true" outlineLevel="0" collapsed="false">
      <c r="B1201" s="19" t="n">
        <v>3275</v>
      </c>
      <c r="C1201" s="20" t="s">
        <v>2857</v>
      </c>
      <c r="D1201" s="20" t="s">
        <v>92</v>
      </c>
      <c r="E1201" s="21" t="s">
        <v>2858</v>
      </c>
      <c r="F1201" s="21" t="n">
        <v>39625</v>
      </c>
      <c r="G1201" s="22" t="s">
        <v>471</v>
      </c>
      <c r="H1201" s="23" t="n">
        <f aca="false">COUNTIF(CAL!U:AF,B1201)</f>
        <v>1</v>
      </c>
      <c r="I1201" s="22" t="n">
        <v>3</v>
      </c>
      <c r="J1201" s="20"/>
    </row>
    <row r="1202" customFormat="false" ht="15.75" hidden="false" customHeight="true" outlineLevel="0" collapsed="false">
      <c r="B1202" s="19" t="n">
        <v>1078</v>
      </c>
      <c r="C1202" s="20" t="s">
        <v>2859</v>
      </c>
      <c r="D1202" s="20" t="s">
        <v>108</v>
      </c>
      <c r="E1202" s="21" t="s">
        <v>2860</v>
      </c>
      <c r="F1202" s="21" t="n">
        <v>34636</v>
      </c>
      <c r="G1202" s="22" t="s">
        <v>471</v>
      </c>
      <c r="H1202" s="23" t="n">
        <f aca="false">COUNTIF(CAL!U:AF,B1202)</f>
        <v>1</v>
      </c>
      <c r="I1202" s="22" t="n">
        <v>3</v>
      </c>
      <c r="J1202" s="20"/>
    </row>
    <row r="1203" customFormat="false" ht="15.75" hidden="false" customHeight="true" outlineLevel="0" collapsed="false">
      <c r="B1203" s="19" t="n">
        <v>1393</v>
      </c>
      <c r="C1203" s="20" t="s">
        <v>2136</v>
      </c>
      <c r="D1203" s="20" t="s">
        <v>259</v>
      </c>
      <c r="E1203" s="21" t="s">
        <v>2861</v>
      </c>
      <c r="F1203" s="21" t="n">
        <v>37529</v>
      </c>
      <c r="G1203" s="22" t="s">
        <v>471</v>
      </c>
      <c r="H1203" s="23" t="n">
        <f aca="false">COUNTIF(CAL!U:AF,B1203)</f>
        <v>1</v>
      </c>
      <c r="I1203" s="22" t="n">
        <v>3</v>
      </c>
      <c r="J1203" s="20"/>
    </row>
    <row r="1204" customFormat="false" ht="15.75" hidden="false" customHeight="true" outlineLevel="0" collapsed="false">
      <c r="B1204" s="19" t="n">
        <v>3615</v>
      </c>
      <c r="C1204" s="20" t="s">
        <v>2862</v>
      </c>
      <c r="D1204" s="20" t="s">
        <v>203</v>
      </c>
      <c r="E1204" s="21" t="s">
        <v>2863</v>
      </c>
      <c r="F1204" s="21" t="n">
        <v>36548</v>
      </c>
      <c r="G1204" s="22" t="s">
        <v>471</v>
      </c>
      <c r="H1204" s="23" t="n">
        <f aca="false">COUNTIF(CAL!U:AF,B1204)</f>
        <v>1</v>
      </c>
      <c r="I1204" s="22" t="n">
        <v>3</v>
      </c>
      <c r="J1204" s="20"/>
    </row>
    <row r="1205" customFormat="false" ht="15.75" hidden="false" customHeight="true" outlineLevel="0" collapsed="false">
      <c r="B1205" s="19" t="n">
        <v>2669</v>
      </c>
      <c r="C1205" s="20" t="s">
        <v>2864</v>
      </c>
      <c r="D1205" s="20" t="s">
        <v>220</v>
      </c>
      <c r="E1205" s="21" t="s">
        <v>2865</v>
      </c>
      <c r="F1205" s="21" t="n">
        <v>38111</v>
      </c>
      <c r="G1205" s="22" t="s">
        <v>471</v>
      </c>
      <c r="H1205" s="23" t="n">
        <f aca="false">COUNTIF(CAL!U:AF,B1205)</f>
        <v>1</v>
      </c>
      <c r="I1205" s="22" t="n">
        <v>3</v>
      </c>
      <c r="J1205" s="20"/>
    </row>
    <row r="1206" customFormat="false" ht="15.75" hidden="false" customHeight="true" outlineLevel="0" collapsed="false">
      <c r="B1206" s="19" t="n">
        <v>2086</v>
      </c>
      <c r="C1206" s="20" t="s">
        <v>2866</v>
      </c>
      <c r="D1206" s="20" t="s">
        <v>219</v>
      </c>
      <c r="E1206" s="21" t="s">
        <v>2867</v>
      </c>
      <c r="F1206" s="21" t="n">
        <v>34866</v>
      </c>
      <c r="G1206" s="22" t="s">
        <v>471</v>
      </c>
      <c r="H1206" s="23" t="n">
        <f aca="false">COUNTIF(CAL!U:AF,B1206)</f>
        <v>1</v>
      </c>
      <c r="I1206" s="22" t="n">
        <v>3</v>
      </c>
      <c r="J1206" s="20"/>
    </row>
    <row r="1207" customFormat="false" ht="15.75" hidden="false" customHeight="true" outlineLevel="0" collapsed="false">
      <c r="B1207" s="19" t="n">
        <v>1211</v>
      </c>
      <c r="C1207" s="20" t="s">
        <v>2868</v>
      </c>
      <c r="D1207" s="20" t="s">
        <v>91</v>
      </c>
      <c r="E1207" s="21" t="s">
        <v>2869</v>
      </c>
      <c r="F1207" s="21" t="n">
        <v>38140</v>
      </c>
      <c r="G1207" s="22" t="s">
        <v>471</v>
      </c>
      <c r="H1207" s="23" t="n">
        <f aca="false">COUNTIF(CAL!U:AF,B1207)</f>
        <v>1</v>
      </c>
      <c r="I1207" s="22" t="n">
        <v>3</v>
      </c>
      <c r="J1207" s="20"/>
    </row>
    <row r="1208" customFormat="false" ht="15.75" hidden="false" customHeight="true" outlineLevel="0" collapsed="false">
      <c r="B1208" s="19" t="n">
        <v>1670</v>
      </c>
      <c r="C1208" s="20" t="s">
        <v>2870</v>
      </c>
      <c r="D1208" s="20" t="s">
        <v>70</v>
      </c>
      <c r="E1208" s="21" t="s">
        <v>2871</v>
      </c>
      <c r="F1208" s="21" t="n">
        <v>36213</v>
      </c>
      <c r="G1208" s="22" t="s">
        <v>471</v>
      </c>
      <c r="H1208" s="23" t="n">
        <f aca="false">COUNTIF(CAL!U:AF,B1208)</f>
        <v>1</v>
      </c>
      <c r="I1208" s="22" t="n">
        <v>3</v>
      </c>
      <c r="J1208" s="20"/>
    </row>
    <row r="1209" customFormat="false" ht="15.75" hidden="false" customHeight="true" outlineLevel="0" collapsed="false">
      <c r="B1209" s="19" t="n">
        <v>2117</v>
      </c>
      <c r="C1209" s="20" t="s">
        <v>2872</v>
      </c>
      <c r="D1209" s="20" t="s">
        <v>214</v>
      </c>
      <c r="E1209" s="21" t="s">
        <v>2873</v>
      </c>
      <c r="F1209" s="21" t="n">
        <v>36213</v>
      </c>
      <c r="G1209" s="22" t="s">
        <v>471</v>
      </c>
      <c r="H1209" s="23" t="n">
        <f aca="false">COUNTIF(CAL!U:AF,B1209)</f>
        <v>1</v>
      </c>
      <c r="I1209" s="22" t="n">
        <v>3</v>
      </c>
      <c r="J1209" s="20"/>
    </row>
    <row r="1210" customFormat="false" ht="15.75" hidden="false" customHeight="true" outlineLevel="0" collapsed="false">
      <c r="B1210" s="19" t="n">
        <v>1953</v>
      </c>
      <c r="C1210" s="20" t="s">
        <v>2874</v>
      </c>
      <c r="D1210" s="20" t="s">
        <v>413</v>
      </c>
      <c r="E1210" s="21" t="s">
        <v>2875</v>
      </c>
      <c r="F1210" s="21" t="n">
        <v>36678</v>
      </c>
      <c r="G1210" s="22" t="s">
        <v>471</v>
      </c>
      <c r="H1210" s="23" t="n">
        <f aca="false">COUNTIF(CAL!U:AF,B1210)</f>
        <v>1</v>
      </c>
      <c r="I1210" s="22" t="n">
        <v>3</v>
      </c>
      <c r="J1210" s="20" t="s">
        <v>2876</v>
      </c>
    </row>
    <row r="1211" customFormat="false" ht="15.75" hidden="false" customHeight="true" outlineLevel="0" collapsed="false">
      <c r="B1211" s="19" t="n">
        <v>3588</v>
      </c>
      <c r="C1211" s="20" t="s">
        <v>2877</v>
      </c>
      <c r="D1211" s="20" t="s">
        <v>424</v>
      </c>
      <c r="E1211" s="21" t="s">
        <v>2878</v>
      </c>
      <c r="F1211" s="21" t="n">
        <v>34220</v>
      </c>
      <c r="G1211" s="22" t="s">
        <v>471</v>
      </c>
      <c r="H1211" s="23" t="n">
        <f aca="false">COUNTIF(CAL!U:AF,B1211)</f>
        <v>1</v>
      </c>
      <c r="I1211" s="22" t="n">
        <v>3</v>
      </c>
      <c r="J1211" s="20"/>
    </row>
    <row r="1212" customFormat="false" ht="15.75" hidden="false" customHeight="true" outlineLevel="0" collapsed="false">
      <c r="B1212" s="19" t="n">
        <v>2768</v>
      </c>
      <c r="C1212" s="20" t="s">
        <v>2879</v>
      </c>
      <c r="D1212" s="20" t="s">
        <v>290</v>
      </c>
      <c r="E1212" s="21" t="s">
        <v>2880</v>
      </c>
      <c r="F1212" s="21" t="n">
        <v>37334</v>
      </c>
      <c r="G1212" s="22" t="s">
        <v>471</v>
      </c>
      <c r="H1212" s="23" t="n">
        <f aca="false">COUNTIF(CAL!U:AF,B1212)</f>
        <v>1</v>
      </c>
      <c r="I1212" s="22" t="n">
        <v>3</v>
      </c>
      <c r="J1212" s="20"/>
    </row>
    <row r="1213" customFormat="false" ht="15.75" hidden="false" customHeight="true" outlineLevel="0" collapsed="false">
      <c r="B1213" s="19" t="n">
        <v>2879</v>
      </c>
      <c r="C1213" s="20" t="s">
        <v>2881</v>
      </c>
      <c r="D1213" s="20" t="s">
        <v>101</v>
      </c>
      <c r="E1213" s="21" t="s">
        <v>2882</v>
      </c>
      <c r="F1213" s="21" t="n">
        <v>34171</v>
      </c>
      <c r="G1213" s="22" t="s">
        <v>471</v>
      </c>
      <c r="H1213" s="23" t="n">
        <f aca="false">COUNTIF(CAL!U:AF,B1213)</f>
        <v>1</v>
      </c>
      <c r="I1213" s="22" t="n">
        <v>3</v>
      </c>
      <c r="J1213" s="20"/>
    </row>
    <row r="1214" customFormat="false" ht="15.75" hidden="false" customHeight="true" outlineLevel="0" collapsed="false">
      <c r="B1214" s="19" t="n">
        <v>3358</v>
      </c>
      <c r="C1214" s="20" t="s">
        <v>2883</v>
      </c>
      <c r="D1214" s="20" t="s">
        <v>414</v>
      </c>
      <c r="E1214" s="21" t="s">
        <v>2884</v>
      </c>
      <c r="F1214" s="21" t="n">
        <v>38154</v>
      </c>
      <c r="G1214" s="22" t="s">
        <v>471</v>
      </c>
      <c r="H1214" s="23" t="n">
        <f aca="false">COUNTIF(CAL!U:AF,B1214)</f>
        <v>1</v>
      </c>
      <c r="I1214" s="22" t="n">
        <v>3</v>
      </c>
      <c r="J1214" s="20"/>
    </row>
    <row r="1215" customFormat="false" ht="15.75" hidden="false" customHeight="true" outlineLevel="0" collapsed="false">
      <c r="B1215" s="19" t="n">
        <v>3519</v>
      </c>
      <c r="C1215" s="20" t="s">
        <v>2885</v>
      </c>
      <c r="D1215" s="20" t="s">
        <v>432</v>
      </c>
      <c r="E1215" s="21" t="s">
        <v>2886</v>
      </c>
      <c r="F1215" s="21" t="n">
        <v>37950</v>
      </c>
      <c r="G1215" s="22" t="s">
        <v>471</v>
      </c>
      <c r="H1215" s="23" t="n">
        <f aca="false">COUNTIF(CAL!U:AF,B1215)</f>
        <v>1</v>
      </c>
      <c r="I1215" s="22" t="n">
        <v>3</v>
      </c>
      <c r="J1215" s="20"/>
    </row>
    <row r="1216" customFormat="false" ht="15.75" hidden="false" customHeight="true" outlineLevel="0" collapsed="false">
      <c r="B1216" s="19" t="n">
        <v>3468</v>
      </c>
      <c r="C1216" s="20" t="s">
        <v>2284</v>
      </c>
      <c r="D1216" s="20" t="s">
        <v>390</v>
      </c>
      <c r="E1216" s="21" t="s">
        <v>2887</v>
      </c>
      <c r="F1216" s="21" t="n">
        <v>38306</v>
      </c>
      <c r="G1216" s="22" t="s">
        <v>471</v>
      </c>
      <c r="H1216" s="23" t="n">
        <f aca="false">COUNTIF(CAL!U:AF,B1216)</f>
        <v>1</v>
      </c>
      <c r="I1216" s="22" t="n">
        <v>3</v>
      </c>
      <c r="J1216" s="20"/>
    </row>
    <row r="1217" customFormat="false" ht="15.75" hidden="false" customHeight="true" outlineLevel="0" collapsed="false">
      <c r="B1217" s="19" t="n">
        <v>3170</v>
      </c>
      <c r="C1217" s="20" t="s">
        <v>980</v>
      </c>
      <c r="D1217" s="20" t="s">
        <v>83</v>
      </c>
      <c r="E1217" s="21" t="s">
        <v>2888</v>
      </c>
      <c r="F1217" s="21" t="n">
        <v>38408</v>
      </c>
      <c r="G1217" s="22" t="s">
        <v>471</v>
      </c>
      <c r="H1217" s="23" t="n">
        <f aca="false">COUNTIF(CAL!U:AF,B1217)</f>
        <v>1</v>
      </c>
      <c r="I1217" s="22" t="n">
        <v>3</v>
      </c>
      <c r="J1217" s="20"/>
    </row>
    <row r="1218" customFormat="false" ht="15.75" hidden="false" customHeight="true" outlineLevel="0" collapsed="false">
      <c r="B1218" s="19" t="n">
        <v>2560</v>
      </c>
      <c r="C1218" s="20" t="s">
        <v>2889</v>
      </c>
      <c r="D1218" s="20" t="s">
        <v>179</v>
      </c>
      <c r="E1218" s="21" t="s">
        <v>2890</v>
      </c>
      <c r="F1218" s="21" t="n">
        <v>33734</v>
      </c>
      <c r="G1218" s="22" t="s">
        <v>471</v>
      </c>
      <c r="H1218" s="23" t="n">
        <f aca="false">COUNTIF(CAL!U:AF,B1218)</f>
        <v>1</v>
      </c>
      <c r="I1218" s="22" t="n">
        <v>3</v>
      </c>
      <c r="J1218" s="20"/>
    </row>
    <row r="1219" customFormat="false" ht="15.75" hidden="false" customHeight="true" outlineLevel="0" collapsed="false">
      <c r="B1219" s="19" t="n">
        <v>1582</v>
      </c>
      <c r="C1219" s="20" t="s">
        <v>2891</v>
      </c>
      <c r="D1219" s="20" t="s">
        <v>249</v>
      </c>
      <c r="E1219" s="21" t="s">
        <v>2892</v>
      </c>
      <c r="F1219" s="21" t="n">
        <v>35222</v>
      </c>
      <c r="G1219" s="22" t="s">
        <v>471</v>
      </c>
      <c r="H1219" s="23" t="n">
        <f aca="false">COUNTIF(CAL!U:AF,B1219)</f>
        <v>1</v>
      </c>
      <c r="I1219" s="22" t="n">
        <v>3</v>
      </c>
      <c r="J1219" s="20"/>
    </row>
    <row r="1220" customFormat="false" ht="15.75" hidden="false" customHeight="true" outlineLevel="0" collapsed="false">
      <c r="B1220" s="19" t="n">
        <v>2808</v>
      </c>
      <c r="C1220" s="20" t="s">
        <v>2893</v>
      </c>
      <c r="D1220" s="20" t="s">
        <v>298</v>
      </c>
      <c r="E1220" s="21" t="s">
        <v>2894</v>
      </c>
      <c r="F1220" s="21" t="n">
        <v>35868</v>
      </c>
      <c r="G1220" s="22" t="s">
        <v>471</v>
      </c>
      <c r="H1220" s="23" t="n">
        <f aca="false">COUNTIF(CAL!U:AF,B1220)</f>
        <v>1</v>
      </c>
      <c r="I1220" s="22" t="n">
        <v>3</v>
      </c>
      <c r="J1220" s="20"/>
    </row>
    <row r="1221" customFormat="false" ht="15.75" hidden="false" customHeight="true" outlineLevel="0" collapsed="false">
      <c r="B1221" s="19" t="n">
        <v>1096</v>
      </c>
      <c r="C1221" s="20" t="s">
        <v>1376</v>
      </c>
      <c r="D1221" s="20" t="s">
        <v>123</v>
      </c>
      <c r="E1221" s="21" t="s">
        <v>2895</v>
      </c>
      <c r="F1221" s="21" t="n">
        <v>36977</v>
      </c>
      <c r="G1221" s="22" t="s">
        <v>471</v>
      </c>
      <c r="H1221" s="23" t="n">
        <f aca="false">COUNTIF(CAL!U:AF,B1221)</f>
        <v>1</v>
      </c>
      <c r="I1221" s="22" t="n">
        <v>3</v>
      </c>
      <c r="J1221" s="20"/>
    </row>
    <row r="1222" customFormat="false" ht="15.75" hidden="false" customHeight="true" outlineLevel="0" collapsed="false">
      <c r="B1222" s="19" t="n">
        <v>2290</v>
      </c>
      <c r="C1222" s="20" t="s">
        <v>2896</v>
      </c>
      <c r="D1222" s="20" t="s">
        <v>170</v>
      </c>
      <c r="E1222" s="24" t="s">
        <v>2897</v>
      </c>
      <c r="F1222" s="21" t="n">
        <v>35887</v>
      </c>
      <c r="G1222" s="22" t="s">
        <v>471</v>
      </c>
      <c r="H1222" s="23" t="n">
        <f aca="false">COUNTIF(CAL!U:AF,B1222)</f>
        <v>1</v>
      </c>
      <c r="I1222" s="22" t="n">
        <v>3</v>
      </c>
      <c r="J1222" s="20"/>
    </row>
    <row r="1223" customFormat="false" ht="15.75" hidden="false" customHeight="true" outlineLevel="0" collapsed="false">
      <c r="B1223" s="19" t="n">
        <v>1091</v>
      </c>
      <c r="C1223" s="20" t="s">
        <v>2898</v>
      </c>
      <c r="D1223" s="20" t="s">
        <v>74</v>
      </c>
      <c r="E1223" s="21" t="s">
        <v>2899</v>
      </c>
      <c r="F1223" s="21" t="n">
        <v>38687</v>
      </c>
      <c r="G1223" s="22" t="s">
        <v>471</v>
      </c>
      <c r="H1223" s="23" t="n">
        <f aca="false">COUNTIF(CAL!U:AF,B1223)</f>
        <v>1</v>
      </c>
      <c r="I1223" s="22" t="n">
        <v>3</v>
      </c>
      <c r="J1223" s="20" t="s">
        <v>2900</v>
      </c>
    </row>
    <row r="1224" customFormat="false" ht="15.75" hidden="false" customHeight="true" outlineLevel="0" collapsed="false">
      <c r="B1224" s="19" t="n">
        <v>2923</v>
      </c>
      <c r="C1224" s="20" t="s">
        <v>2901</v>
      </c>
      <c r="D1224" s="20" t="s">
        <v>220</v>
      </c>
      <c r="E1224" s="24" t="s">
        <v>2902</v>
      </c>
      <c r="F1224" s="21" t="n">
        <v>35365</v>
      </c>
      <c r="G1224" s="22" t="s">
        <v>471</v>
      </c>
      <c r="H1224" s="23" t="n">
        <f aca="false">COUNTIF(CAL!U:AF,B1224)</f>
        <v>1</v>
      </c>
      <c r="I1224" s="22" t="n">
        <v>3</v>
      </c>
      <c r="J1224" s="20"/>
    </row>
    <row r="1225" customFormat="false" ht="15.75" hidden="false" customHeight="true" outlineLevel="0" collapsed="false">
      <c r="B1225" s="19" t="n">
        <v>2588</v>
      </c>
      <c r="C1225" s="20" t="s">
        <v>2903</v>
      </c>
      <c r="D1225" s="20" t="s">
        <v>389</v>
      </c>
      <c r="E1225" s="21" t="s">
        <v>2904</v>
      </c>
      <c r="F1225" s="21" t="n">
        <v>36346</v>
      </c>
      <c r="G1225" s="22" t="s">
        <v>471</v>
      </c>
      <c r="H1225" s="23" t="n">
        <f aca="false">COUNTIF(CAL!U:AF,B1225)</f>
        <v>1</v>
      </c>
      <c r="I1225" s="22" t="n">
        <v>3</v>
      </c>
      <c r="J1225" s="20"/>
    </row>
    <row r="1226" customFormat="false" ht="15.75" hidden="false" customHeight="true" outlineLevel="0" collapsed="false">
      <c r="B1226" s="19" t="n">
        <v>1941</v>
      </c>
      <c r="C1226" s="20" t="s">
        <v>2905</v>
      </c>
      <c r="D1226" s="20" t="s">
        <v>204</v>
      </c>
      <c r="E1226" s="24" t="s">
        <v>2906</v>
      </c>
      <c r="F1226" s="21" t="n">
        <v>37397</v>
      </c>
      <c r="G1226" s="22" t="s">
        <v>471</v>
      </c>
      <c r="H1226" s="23" t="n">
        <f aca="false">COUNTIF(CAL!U:AF,B1226)</f>
        <v>1</v>
      </c>
      <c r="I1226" s="22" t="n">
        <v>3</v>
      </c>
      <c r="J1226" s="20"/>
    </row>
    <row r="1227" customFormat="false" ht="15.75" hidden="false" customHeight="true" outlineLevel="0" collapsed="false">
      <c r="B1227" s="19" t="n">
        <v>2147</v>
      </c>
      <c r="C1227" s="20" t="s">
        <v>2907</v>
      </c>
      <c r="D1227" s="20" t="s">
        <v>315</v>
      </c>
      <c r="E1227" s="21" t="s">
        <v>2908</v>
      </c>
      <c r="F1227" s="21" t="n">
        <v>32107</v>
      </c>
      <c r="G1227" s="22" t="s">
        <v>471</v>
      </c>
      <c r="H1227" s="23" t="n">
        <f aca="false">COUNTIF(CAL!U:AF,B1227)</f>
        <v>1</v>
      </c>
      <c r="I1227" s="22" t="n">
        <v>3</v>
      </c>
      <c r="J1227" s="20"/>
    </row>
    <row r="1228" customFormat="false" ht="15.75" hidden="false" customHeight="true" outlineLevel="0" collapsed="false">
      <c r="B1228" s="19" t="n">
        <v>3642</v>
      </c>
      <c r="C1228" s="20" t="s">
        <v>2909</v>
      </c>
      <c r="D1228" s="20" t="s">
        <v>384</v>
      </c>
      <c r="E1228" s="21" t="s">
        <v>2910</v>
      </c>
      <c r="F1228" s="21" t="n">
        <v>36788</v>
      </c>
      <c r="G1228" s="22" t="s">
        <v>471</v>
      </c>
      <c r="H1228" s="23" t="n">
        <f aca="false">COUNTIF(CAL!U:AF,B1228)</f>
        <v>1</v>
      </c>
      <c r="I1228" s="22" t="n">
        <v>3</v>
      </c>
      <c r="J1228" s="20"/>
    </row>
    <row r="1229" customFormat="false" ht="15.75" hidden="false" customHeight="true" outlineLevel="0" collapsed="false">
      <c r="B1229" s="19" t="n">
        <v>2892</v>
      </c>
      <c r="C1229" s="20" t="s">
        <v>1444</v>
      </c>
      <c r="D1229" s="20" t="s">
        <v>351</v>
      </c>
      <c r="E1229" s="21" t="s">
        <v>2911</v>
      </c>
      <c r="F1229" s="21" t="n">
        <v>36568</v>
      </c>
      <c r="G1229" s="22" t="s">
        <v>471</v>
      </c>
      <c r="H1229" s="23" t="n">
        <f aca="false">COUNTIF(CAL!U:AF,B1229)</f>
        <v>1</v>
      </c>
      <c r="I1229" s="22" t="n">
        <v>3</v>
      </c>
      <c r="J1229" s="20"/>
    </row>
    <row r="1230" customFormat="false" ht="15.75" hidden="false" customHeight="true" outlineLevel="0" collapsed="false">
      <c r="B1230" s="19" t="n">
        <v>1246</v>
      </c>
      <c r="C1230" s="20" t="s">
        <v>2912</v>
      </c>
      <c r="D1230" s="20" t="s">
        <v>207</v>
      </c>
      <c r="E1230" s="21" t="s">
        <v>2913</v>
      </c>
      <c r="F1230" s="21" t="n">
        <v>38750</v>
      </c>
      <c r="G1230" s="22" t="s">
        <v>471</v>
      </c>
      <c r="H1230" s="23" t="n">
        <f aca="false">COUNTIF(CAL!U:AF,B1230)</f>
        <v>1</v>
      </c>
      <c r="I1230" s="22" t="n">
        <v>3</v>
      </c>
      <c r="J1230" s="20"/>
    </row>
    <row r="1231" customFormat="false" ht="15.75" hidden="false" customHeight="true" outlineLevel="0" collapsed="false">
      <c r="B1231" s="19" t="n">
        <v>2084</v>
      </c>
      <c r="C1231" s="20" t="s">
        <v>2914</v>
      </c>
      <c r="D1231" s="20" t="s">
        <v>218</v>
      </c>
      <c r="E1231" s="24" t="s">
        <v>2915</v>
      </c>
      <c r="F1231" s="21" t="n">
        <v>38509</v>
      </c>
      <c r="G1231" s="22" t="s">
        <v>471</v>
      </c>
      <c r="H1231" s="23" t="n">
        <f aca="false">COUNTIF(CAL!U:AF,B1231)</f>
        <v>1</v>
      </c>
      <c r="I1231" s="22" t="n">
        <v>3</v>
      </c>
      <c r="J1231" s="20"/>
    </row>
    <row r="1232" customFormat="false" ht="15.75" hidden="false" customHeight="true" outlineLevel="0" collapsed="false">
      <c r="B1232" s="19" t="n">
        <v>3659</v>
      </c>
      <c r="C1232" s="20" t="s">
        <v>2916</v>
      </c>
      <c r="D1232" s="20" t="s">
        <v>159</v>
      </c>
      <c r="E1232" s="21" t="s">
        <v>2917</v>
      </c>
      <c r="F1232" s="21" t="n">
        <v>38524</v>
      </c>
      <c r="G1232" s="22" t="s">
        <v>471</v>
      </c>
      <c r="H1232" s="23" t="n">
        <f aca="false">COUNTIF(CAL!U:AF,B1232)</f>
        <v>1</v>
      </c>
      <c r="I1232" s="22" t="n">
        <v>3</v>
      </c>
      <c r="J1232" s="20"/>
    </row>
    <row r="1233" customFormat="false" ht="15.75" hidden="false" customHeight="true" outlineLevel="0" collapsed="false">
      <c r="B1233" s="19" t="n">
        <v>1103</v>
      </c>
      <c r="C1233" s="20" t="s">
        <v>2918</v>
      </c>
      <c r="D1233" s="20" t="s">
        <v>140</v>
      </c>
      <c r="E1233" s="21" t="s">
        <v>2919</v>
      </c>
      <c r="F1233" s="21" t="n">
        <v>33586</v>
      </c>
      <c r="G1233" s="22" t="s">
        <v>471</v>
      </c>
      <c r="H1233" s="23" t="n">
        <f aca="false">COUNTIF(CAL!U:AF,B1233)</f>
        <v>1</v>
      </c>
      <c r="I1233" s="22" t="n">
        <v>3</v>
      </c>
      <c r="J1233" s="20"/>
    </row>
    <row r="1234" customFormat="false" ht="15.75" hidden="false" customHeight="true" outlineLevel="0" collapsed="false">
      <c r="B1234" s="19" t="n">
        <v>1139</v>
      </c>
      <c r="C1234" s="20" t="s">
        <v>2188</v>
      </c>
      <c r="D1234" s="20" t="s">
        <v>207</v>
      </c>
      <c r="E1234" s="21" t="s">
        <v>2920</v>
      </c>
      <c r="F1234" s="21" t="n">
        <v>38460</v>
      </c>
      <c r="G1234" s="22" t="s">
        <v>471</v>
      </c>
      <c r="H1234" s="23" t="n">
        <f aca="false">COUNTIF(CAL!U:AF,B1234)</f>
        <v>1</v>
      </c>
      <c r="I1234" s="22" t="n">
        <v>3</v>
      </c>
      <c r="J1234" s="20"/>
    </row>
    <row r="1235" customFormat="false" ht="15.75" hidden="false" customHeight="true" outlineLevel="0" collapsed="false">
      <c r="B1235" s="19" t="n">
        <v>3313</v>
      </c>
      <c r="C1235" s="20" t="s">
        <v>2303</v>
      </c>
      <c r="D1235" s="20" t="s">
        <v>109</v>
      </c>
      <c r="E1235" s="24" t="s">
        <v>2921</v>
      </c>
      <c r="F1235" s="21" t="n">
        <v>39203</v>
      </c>
      <c r="G1235" s="22" t="s">
        <v>471</v>
      </c>
      <c r="H1235" s="23" t="n">
        <f aca="false">COUNTIF(CAL!U:AF,B1235)</f>
        <v>1</v>
      </c>
      <c r="I1235" s="22" t="n">
        <v>3</v>
      </c>
      <c r="J1235" s="20"/>
    </row>
    <row r="1236" customFormat="false" ht="15.75" hidden="false" customHeight="true" outlineLevel="0" collapsed="false">
      <c r="B1236" s="19" t="n">
        <v>1123</v>
      </c>
      <c r="C1236" s="20" t="s">
        <v>2922</v>
      </c>
      <c r="D1236" s="20" t="s">
        <v>273</v>
      </c>
      <c r="E1236" s="21" t="s">
        <v>2923</v>
      </c>
      <c r="F1236" s="21" t="n">
        <v>36705</v>
      </c>
      <c r="G1236" s="22" t="s">
        <v>471</v>
      </c>
      <c r="H1236" s="23" t="n">
        <f aca="false">COUNTIF(CAL!U:AF,B1236)</f>
        <v>1</v>
      </c>
      <c r="I1236" s="22" t="n">
        <v>3</v>
      </c>
      <c r="J1236" s="20"/>
    </row>
    <row r="1237" customFormat="false" ht="15.75" hidden="false" customHeight="true" outlineLevel="0" collapsed="false">
      <c r="B1237" s="19" t="n">
        <v>1841</v>
      </c>
      <c r="C1237" s="20" t="s">
        <v>2924</v>
      </c>
      <c r="D1237" s="20" t="s">
        <v>76</v>
      </c>
      <c r="E1237" s="21" t="s">
        <v>2925</v>
      </c>
      <c r="F1237" s="21" t="n">
        <v>38031</v>
      </c>
      <c r="G1237" s="22" t="s">
        <v>471</v>
      </c>
      <c r="H1237" s="23" t="n">
        <f aca="false">COUNTIF(CAL!U:AF,B1237)</f>
        <v>1</v>
      </c>
      <c r="I1237" s="22" t="n">
        <v>3</v>
      </c>
      <c r="J1237" s="20"/>
    </row>
    <row r="1238" customFormat="false" ht="15.75" hidden="false" customHeight="true" outlineLevel="0" collapsed="false">
      <c r="B1238" s="19" t="n">
        <v>1740</v>
      </c>
      <c r="C1238" s="20" t="s">
        <v>2926</v>
      </c>
      <c r="D1238" s="20" t="s">
        <v>177</v>
      </c>
      <c r="E1238" s="21" t="s">
        <v>2927</v>
      </c>
      <c r="F1238" s="21" t="n">
        <v>33921</v>
      </c>
      <c r="G1238" s="22" t="s">
        <v>471</v>
      </c>
      <c r="H1238" s="23" t="n">
        <f aca="false">COUNTIF(CAL!U:AF,B1238)</f>
        <v>1</v>
      </c>
      <c r="I1238" s="22" t="n">
        <v>3</v>
      </c>
      <c r="J1238" s="20"/>
    </row>
    <row r="1239" customFormat="false" ht="15.75" hidden="false" customHeight="true" outlineLevel="0" collapsed="false">
      <c r="B1239" s="19" t="n">
        <v>1370</v>
      </c>
      <c r="C1239" s="20" t="s">
        <v>1749</v>
      </c>
      <c r="D1239" s="20" t="s">
        <v>218</v>
      </c>
      <c r="E1239" s="21" t="s">
        <v>2928</v>
      </c>
      <c r="F1239" s="21" t="n">
        <v>39290</v>
      </c>
      <c r="G1239" s="22" t="s">
        <v>471</v>
      </c>
      <c r="H1239" s="23" t="n">
        <f aca="false">COUNTIF(CAL!U:AF,B1239)</f>
        <v>1</v>
      </c>
      <c r="I1239" s="22" t="n">
        <v>3</v>
      </c>
      <c r="J1239" s="20"/>
    </row>
    <row r="1240" customFormat="false" ht="15.75" hidden="false" customHeight="true" outlineLevel="0" collapsed="false">
      <c r="B1240" s="19" t="n">
        <v>2431</v>
      </c>
      <c r="C1240" s="20" t="s">
        <v>2929</v>
      </c>
      <c r="D1240" s="20" t="s">
        <v>94</v>
      </c>
      <c r="E1240" s="21" t="s">
        <v>2930</v>
      </c>
      <c r="F1240" s="21" t="n">
        <v>32188</v>
      </c>
      <c r="G1240" s="22" t="s">
        <v>471</v>
      </c>
      <c r="H1240" s="23" t="n">
        <f aca="false">COUNTIF(CAL!U:AF,B1240)</f>
        <v>1</v>
      </c>
      <c r="I1240" s="22" t="n">
        <v>3</v>
      </c>
      <c r="J1240" s="20"/>
    </row>
    <row r="1241" customFormat="false" ht="15.75" hidden="false" customHeight="true" outlineLevel="0" collapsed="false">
      <c r="B1241" s="19" t="n">
        <v>3481</v>
      </c>
      <c r="C1241" s="20" t="s">
        <v>2931</v>
      </c>
      <c r="D1241" s="20" t="s">
        <v>414</v>
      </c>
      <c r="E1241" s="21" t="s">
        <v>2932</v>
      </c>
      <c r="F1241" s="21" t="n">
        <v>38669</v>
      </c>
      <c r="G1241" s="22" t="s">
        <v>471</v>
      </c>
      <c r="H1241" s="23" t="n">
        <f aca="false">COUNTIF(CAL!U:AF,B1241)</f>
        <v>1</v>
      </c>
      <c r="I1241" s="22" t="n">
        <v>3</v>
      </c>
      <c r="J1241" s="20"/>
    </row>
    <row r="1242" customFormat="false" ht="15.75" hidden="false" customHeight="true" outlineLevel="0" collapsed="false">
      <c r="B1242" s="19" t="n">
        <v>1124</v>
      </c>
      <c r="C1242" s="20" t="s">
        <v>2933</v>
      </c>
      <c r="D1242" s="20" t="s">
        <v>273</v>
      </c>
      <c r="E1242" s="21" t="s">
        <v>2934</v>
      </c>
      <c r="F1242" s="21" t="n">
        <v>36947</v>
      </c>
      <c r="G1242" s="22" t="s">
        <v>471</v>
      </c>
      <c r="H1242" s="23" t="n">
        <f aca="false">COUNTIF(CAL!U:AF,B1242)</f>
        <v>1</v>
      </c>
      <c r="I1242" s="22" t="n">
        <v>3</v>
      </c>
      <c r="J1242" s="20"/>
    </row>
    <row r="1243" customFormat="false" ht="15.75" hidden="false" customHeight="true" outlineLevel="0" collapsed="false">
      <c r="B1243" s="19" t="n">
        <v>3380</v>
      </c>
      <c r="C1243" s="20" t="s">
        <v>2935</v>
      </c>
      <c r="D1243" s="20" t="s">
        <v>380</v>
      </c>
      <c r="E1243" s="21" t="s">
        <v>2936</v>
      </c>
      <c r="F1243" s="21" t="n">
        <v>38101</v>
      </c>
      <c r="G1243" s="22" t="s">
        <v>471</v>
      </c>
      <c r="H1243" s="23" t="n">
        <f aca="false">COUNTIF(CAL!U:AF,B1243)</f>
        <v>1</v>
      </c>
      <c r="I1243" s="22" t="n">
        <v>3</v>
      </c>
      <c r="J1243" s="20"/>
    </row>
    <row r="1244" customFormat="false" ht="15.75" hidden="false" customHeight="true" outlineLevel="0" collapsed="false">
      <c r="B1244" s="19" t="n">
        <v>3298</v>
      </c>
      <c r="C1244" s="20" t="s">
        <v>2937</v>
      </c>
      <c r="D1244" s="20" t="s">
        <v>167</v>
      </c>
      <c r="E1244" s="24" t="s">
        <v>2938</v>
      </c>
      <c r="F1244" s="21" t="n">
        <v>38492</v>
      </c>
      <c r="G1244" s="22" t="s">
        <v>471</v>
      </c>
      <c r="H1244" s="23" t="n">
        <f aca="false">COUNTIF(CAL!U:AF,B1244)</f>
        <v>1</v>
      </c>
      <c r="I1244" s="22" t="n">
        <v>3</v>
      </c>
      <c r="J1244" s="20"/>
    </row>
    <row r="1245" customFormat="false" ht="15.75" hidden="false" customHeight="true" outlineLevel="0" collapsed="false">
      <c r="B1245" s="19" t="n">
        <v>3284</v>
      </c>
      <c r="C1245" s="20" t="s">
        <v>2939</v>
      </c>
      <c r="D1245" s="20" t="s">
        <v>183</v>
      </c>
      <c r="E1245" s="24" t="s">
        <v>2940</v>
      </c>
      <c r="F1245" s="21" t="n">
        <v>34964</v>
      </c>
      <c r="G1245" s="22" t="s">
        <v>471</v>
      </c>
      <c r="H1245" s="23" t="n">
        <f aca="false">COUNTIF(CAL!U:AF,B1245)</f>
        <v>1</v>
      </c>
      <c r="I1245" s="22" t="n">
        <v>3</v>
      </c>
      <c r="J1245" s="20"/>
    </row>
    <row r="1246" customFormat="false" ht="15.75" hidden="false" customHeight="true" outlineLevel="0" collapsed="false">
      <c r="B1246" s="19" t="n">
        <v>2285</v>
      </c>
      <c r="C1246" s="20" t="s">
        <v>2941</v>
      </c>
      <c r="D1246" s="20" t="s">
        <v>46</v>
      </c>
      <c r="E1246" s="24" t="s">
        <v>2942</v>
      </c>
      <c r="F1246" s="21" t="n">
        <v>35570</v>
      </c>
      <c r="G1246" s="22" t="s">
        <v>471</v>
      </c>
      <c r="H1246" s="23" t="n">
        <f aca="false">COUNTIF(CAL!U:AF,B1246)</f>
        <v>1</v>
      </c>
      <c r="I1246" s="22" t="n">
        <v>3</v>
      </c>
      <c r="J1246" s="20"/>
    </row>
    <row r="1247" customFormat="false" ht="15.75" hidden="false" customHeight="true" outlineLevel="0" collapsed="false">
      <c r="B1247" s="19" t="n">
        <v>1689</v>
      </c>
      <c r="C1247" s="20" t="s">
        <v>2943</v>
      </c>
      <c r="D1247" s="20" t="s">
        <v>99</v>
      </c>
      <c r="E1247" s="21" t="s">
        <v>2944</v>
      </c>
      <c r="F1247" s="21" t="n">
        <v>34761</v>
      </c>
      <c r="G1247" s="22" t="s">
        <v>471</v>
      </c>
      <c r="H1247" s="23" t="n">
        <f aca="false">COUNTIF(CAL!U:AF,B1247)</f>
        <v>1</v>
      </c>
      <c r="I1247" s="22" t="n">
        <v>3</v>
      </c>
      <c r="J1247" s="20"/>
    </row>
    <row r="1248" customFormat="false" ht="15.75" hidden="false" customHeight="true" outlineLevel="0" collapsed="false">
      <c r="B1248" s="19" t="n">
        <v>2579</v>
      </c>
      <c r="C1248" s="20" t="s">
        <v>2945</v>
      </c>
      <c r="D1248" s="20" t="s">
        <v>320</v>
      </c>
      <c r="E1248" s="21" t="s">
        <v>2946</v>
      </c>
      <c r="F1248" s="21" t="n">
        <v>35202</v>
      </c>
      <c r="G1248" s="22" t="s">
        <v>471</v>
      </c>
      <c r="H1248" s="23" t="n">
        <f aca="false">COUNTIF(CAL!U:AF,B1248)</f>
        <v>1</v>
      </c>
      <c r="I1248" s="22" t="n">
        <v>3</v>
      </c>
      <c r="J1248" s="20" t="s">
        <v>2947</v>
      </c>
    </row>
    <row r="1249" customFormat="false" ht="15.75" hidden="false" customHeight="true" outlineLevel="0" collapsed="false">
      <c r="B1249" s="19" t="n">
        <v>1424</v>
      </c>
      <c r="C1249" s="20" t="s">
        <v>2948</v>
      </c>
      <c r="D1249" s="20" t="s">
        <v>66</v>
      </c>
      <c r="E1249" s="21" t="s">
        <v>2949</v>
      </c>
      <c r="F1249" s="21" t="n">
        <v>38256</v>
      </c>
      <c r="G1249" s="22" t="s">
        <v>471</v>
      </c>
      <c r="H1249" s="23" t="n">
        <f aca="false">COUNTIF(CAL!U:AF,B1249)</f>
        <v>1</v>
      </c>
      <c r="I1249" s="22" t="n">
        <v>3</v>
      </c>
      <c r="J1249" s="20"/>
    </row>
    <row r="1250" customFormat="false" ht="15.75" hidden="false" customHeight="true" outlineLevel="0" collapsed="false">
      <c r="B1250" s="19" t="n">
        <v>3357</v>
      </c>
      <c r="C1250" s="20" t="s">
        <v>2950</v>
      </c>
      <c r="D1250" s="20" t="s">
        <v>414</v>
      </c>
      <c r="E1250" s="21" t="s">
        <v>2951</v>
      </c>
      <c r="F1250" s="21" t="n">
        <v>36260</v>
      </c>
      <c r="G1250" s="22" t="s">
        <v>471</v>
      </c>
      <c r="H1250" s="23" t="n">
        <f aca="false">COUNTIF(CAL!U:AF,B1250)</f>
        <v>1</v>
      </c>
      <c r="I1250" s="22" t="n">
        <v>3</v>
      </c>
      <c r="J1250" s="20"/>
    </row>
    <row r="1251" customFormat="false" ht="15.75" hidden="false" customHeight="true" outlineLevel="0" collapsed="false">
      <c r="B1251" s="19" t="n">
        <v>2195</v>
      </c>
      <c r="C1251" s="20" t="s">
        <v>2418</v>
      </c>
      <c r="D1251" s="20" t="s">
        <v>123</v>
      </c>
      <c r="E1251" s="24" t="s">
        <v>2952</v>
      </c>
      <c r="F1251" s="21" t="n">
        <v>32954</v>
      </c>
      <c r="G1251" s="22" t="s">
        <v>471</v>
      </c>
      <c r="H1251" s="23" t="n">
        <f aca="false">COUNTIF(CAL!U:AF,B1251)</f>
        <v>1</v>
      </c>
      <c r="I1251" s="22" t="n">
        <v>3</v>
      </c>
      <c r="J1251" s="20"/>
    </row>
    <row r="1252" customFormat="false" ht="15.75" hidden="false" customHeight="true" outlineLevel="0" collapsed="false">
      <c r="B1252" s="19" t="n">
        <v>2355</v>
      </c>
      <c r="C1252" s="20" t="s">
        <v>2953</v>
      </c>
      <c r="D1252" s="20" t="s">
        <v>149</v>
      </c>
      <c r="E1252" s="21" t="s">
        <v>2954</v>
      </c>
      <c r="F1252" s="21" t="n">
        <v>37451</v>
      </c>
      <c r="G1252" s="22" t="s">
        <v>481</v>
      </c>
      <c r="H1252" s="23" t="n">
        <f aca="false">COUNTIF(CAL!U:AF,B1252)</f>
        <v>1</v>
      </c>
      <c r="I1252" s="22" t="n">
        <v>3</v>
      </c>
      <c r="J1252" s="20"/>
    </row>
    <row r="1253" customFormat="false" ht="15.75" hidden="false" customHeight="true" outlineLevel="0" collapsed="false">
      <c r="B1253" s="19" t="n">
        <v>2146</v>
      </c>
      <c r="C1253" s="20" t="s">
        <v>1580</v>
      </c>
      <c r="D1253" s="20" t="s">
        <v>161</v>
      </c>
      <c r="E1253" s="21" t="s">
        <v>2955</v>
      </c>
      <c r="F1253" s="21" t="n">
        <v>38072</v>
      </c>
      <c r="G1253" s="22" t="s">
        <v>471</v>
      </c>
      <c r="H1253" s="23" t="n">
        <f aca="false">COUNTIF(CAL!U:AF,B1253)</f>
        <v>1</v>
      </c>
      <c r="I1253" s="22" t="n">
        <v>3</v>
      </c>
      <c r="J1253" s="20"/>
    </row>
    <row r="1254" customFormat="false" ht="15.75" hidden="false" customHeight="true" outlineLevel="0" collapsed="false">
      <c r="B1254" s="19" t="n">
        <v>3583</v>
      </c>
      <c r="C1254" s="20" t="s">
        <v>558</v>
      </c>
      <c r="D1254" s="20" t="s">
        <v>366</v>
      </c>
      <c r="E1254" s="21" t="s">
        <v>2956</v>
      </c>
      <c r="F1254" s="21" t="n">
        <v>36576</v>
      </c>
      <c r="G1254" s="22" t="s">
        <v>471</v>
      </c>
      <c r="H1254" s="23" t="n">
        <f aca="false">COUNTIF(CAL!U:AF,B1254)</f>
        <v>1</v>
      </c>
      <c r="I1254" s="22" t="n">
        <v>3</v>
      </c>
      <c r="J1254" s="20"/>
    </row>
    <row r="1255" customFormat="false" ht="15.75" hidden="false" customHeight="true" outlineLevel="0" collapsed="false">
      <c r="B1255" s="19" t="n">
        <v>2292</v>
      </c>
      <c r="C1255" s="20" t="s">
        <v>2957</v>
      </c>
      <c r="D1255" s="20" t="s">
        <v>79</v>
      </c>
      <c r="E1255" s="24" t="s">
        <v>2958</v>
      </c>
      <c r="F1255" s="21" t="n">
        <v>38229</v>
      </c>
      <c r="G1255" s="22" t="s">
        <v>471</v>
      </c>
      <c r="H1255" s="23" t="n">
        <f aca="false">COUNTIF(CAL!U:AF,B1255)</f>
        <v>1</v>
      </c>
      <c r="I1255" s="22" t="n">
        <v>3</v>
      </c>
      <c r="J1255" s="20"/>
    </row>
    <row r="1256" customFormat="false" ht="15.75" hidden="false" customHeight="true" outlineLevel="0" collapsed="false">
      <c r="B1256" s="19" t="n">
        <v>1201</v>
      </c>
      <c r="C1256" s="20" t="s">
        <v>2959</v>
      </c>
      <c r="D1256" s="20" t="s">
        <v>203</v>
      </c>
      <c r="E1256" s="21" t="s">
        <v>2960</v>
      </c>
      <c r="F1256" s="21" t="n">
        <v>37190</v>
      </c>
      <c r="G1256" s="22" t="s">
        <v>471</v>
      </c>
      <c r="H1256" s="23" t="n">
        <f aca="false">COUNTIF(CAL!U:AF,B1256)</f>
        <v>1</v>
      </c>
      <c r="I1256" s="22" t="n">
        <v>3</v>
      </c>
      <c r="J1256" s="20"/>
    </row>
    <row r="1257" customFormat="false" ht="15.75" hidden="false" customHeight="true" outlineLevel="0" collapsed="false">
      <c r="B1257" s="19" t="n">
        <v>1555</v>
      </c>
      <c r="C1257" s="20" t="s">
        <v>2961</v>
      </c>
      <c r="D1257" s="20" t="s">
        <v>195</v>
      </c>
      <c r="E1257" s="21" t="s">
        <v>2962</v>
      </c>
      <c r="F1257" s="21" t="n">
        <v>33598</v>
      </c>
      <c r="G1257" s="22" t="s">
        <v>471</v>
      </c>
      <c r="H1257" s="23" t="n">
        <f aca="false">COUNTIF(CAL!U:AF,B1257)</f>
        <v>1</v>
      </c>
      <c r="I1257" s="22" t="n">
        <v>3</v>
      </c>
      <c r="J1257" s="20"/>
    </row>
    <row r="1258" customFormat="false" ht="15.75" hidden="false" customHeight="true" outlineLevel="0" collapsed="false">
      <c r="B1258" s="19" t="n">
        <v>3421</v>
      </c>
      <c r="C1258" s="20" t="s">
        <v>2963</v>
      </c>
      <c r="D1258" s="20" t="s">
        <v>99</v>
      </c>
      <c r="E1258" s="21" t="s">
        <v>2964</v>
      </c>
      <c r="F1258" s="21" t="n">
        <v>34494</v>
      </c>
      <c r="G1258" s="22" t="s">
        <v>471</v>
      </c>
      <c r="H1258" s="23" t="n">
        <f aca="false">COUNTIF(CAL!U:AF,B1258)</f>
        <v>1</v>
      </c>
      <c r="I1258" s="22" t="n">
        <v>3</v>
      </c>
      <c r="J1258" s="20"/>
    </row>
    <row r="1259" customFormat="false" ht="15.75" hidden="false" customHeight="true" outlineLevel="0" collapsed="false">
      <c r="B1259" s="19" t="n">
        <v>3600</v>
      </c>
      <c r="C1259" s="20" t="s">
        <v>2965</v>
      </c>
      <c r="D1259" s="20" t="s">
        <v>85</v>
      </c>
      <c r="E1259" s="21" t="s">
        <v>2966</v>
      </c>
      <c r="F1259" s="21" t="n">
        <v>36172</v>
      </c>
      <c r="G1259" s="22" t="s">
        <v>1017</v>
      </c>
      <c r="H1259" s="23" t="n">
        <f aca="false">COUNTIF(CAL!U:AF,B1259)</f>
        <v>1</v>
      </c>
      <c r="I1259" s="22" t="n">
        <v>3</v>
      </c>
      <c r="J1259" s="20"/>
    </row>
    <row r="1260" customFormat="false" ht="15.75" hidden="false" customHeight="true" outlineLevel="0" collapsed="false">
      <c r="B1260" s="19" t="n">
        <v>2311</v>
      </c>
      <c r="C1260" s="20" t="s">
        <v>2967</v>
      </c>
      <c r="D1260" s="20" t="s">
        <v>214</v>
      </c>
      <c r="E1260" s="24" t="s">
        <v>2968</v>
      </c>
      <c r="F1260" s="21" t="n">
        <v>38690</v>
      </c>
      <c r="G1260" s="22" t="s">
        <v>471</v>
      </c>
      <c r="H1260" s="23" t="n">
        <f aca="false">COUNTIF(CAL!U:AF,B1260)</f>
        <v>1</v>
      </c>
      <c r="I1260" s="22" t="n">
        <v>3</v>
      </c>
      <c r="J1260" s="20"/>
    </row>
    <row r="1261" customFormat="false" ht="15.75" hidden="false" customHeight="true" outlineLevel="0" collapsed="false">
      <c r="B1261" s="19" t="n">
        <v>2608</v>
      </c>
      <c r="C1261" s="20" t="s">
        <v>2969</v>
      </c>
      <c r="D1261" s="20" t="s">
        <v>337</v>
      </c>
      <c r="E1261" s="21" t="s">
        <v>2970</v>
      </c>
      <c r="F1261" s="21" t="n">
        <v>36934</v>
      </c>
      <c r="G1261" s="22" t="s">
        <v>471</v>
      </c>
      <c r="H1261" s="23" t="n">
        <f aca="false">COUNTIF(CAL!U:AF,B1261)</f>
        <v>1</v>
      </c>
      <c r="I1261" s="22" t="n">
        <v>3</v>
      </c>
      <c r="J1261" s="20"/>
    </row>
    <row r="1262" customFormat="false" ht="15.75" hidden="false" customHeight="true" outlineLevel="0" collapsed="false">
      <c r="B1262" s="19" t="n">
        <v>3658</v>
      </c>
      <c r="C1262" s="20" t="s">
        <v>2971</v>
      </c>
      <c r="D1262" s="20" t="s">
        <v>60</v>
      </c>
      <c r="E1262" s="21" t="s">
        <v>2972</v>
      </c>
      <c r="F1262" s="21" t="n">
        <v>37098</v>
      </c>
      <c r="G1262" s="22" t="s">
        <v>471</v>
      </c>
      <c r="H1262" s="23" t="n">
        <f aca="false">COUNTIF(CAL!U:AF,B1262)</f>
        <v>1</v>
      </c>
      <c r="I1262" s="22" t="n">
        <v>3</v>
      </c>
      <c r="J1262" s="20"/>
    </row>
    <row r="1263" customFormat="false" ht="15.75" hidden="false" customHeight="true" outlineLevel="0" collapsed="false">
      <c r="B1263" s="19" t="n">
        <v>2296</v>
      </c>
      <c r="C1263" s="20" t="s">
        <v>2973</v>
      </c>
      <c r="D1263" s="20" t="s">
        <v>83</v>
      </c>
      <c r="E1263" s="24" t="s">
        <v>2974</v>
      </c>
      <c r="F1263" s="21" t="n">
        <v>37272</v>
      </c>
      <c r="G1263" s="22" t="s">
        <v>471</v>
      </c>
      <c r="H1263" s="23" t="n">
        <f aca="false">COUNTIF(CAL!U:AF,B1263)</f>
        <v>1</v>
      </c>
      <c r="I1263" s="22" t="n">
        <v>3</v>
      </c>
      <c r="J1263" s="20"/>
    </row>
    <row r="1264" customFormat="false" ht="15.75" hidden="false" customHeight="true" outlineLevel="0" collapsed="false">
      <c r="B1264" s="19" t="n">
        <v>3075</v>
      </c>
      <c r="C1264" s="20" t="s">
        <v>2975</v>
      </c>
      <c r="D1264" s="20" t="s">
        <v>184</v>
      </c>
      <c r="E1264" s="21" t="s">
        <v>2976</v>
      </c>
      <c r="F1264" s="21" t="n">
        <v>33888</v>
      </c>
      <c r="G1264" s="22" t="s">
        <v>471</v>
      </c>
      <c r="H1264" s="23" t="n">
        <f aca="false">COUNTIF(CAL!U:AF,B1264)</f>
        <v>1</v>
      </c>
      <c r="I1264" s="22" t="n">
        <v>3</v>
      </c>
      <c r="J1264" s="20"/>
    </row>
    <row r="1265" customFormat="false" ht="15.75" hidden="false" customHeight="true" outlineLevel="0" collapsed="false">
      <c r="B1265" s="19" t="n">
        <v>3515</v>
      </c>
      <c r="C1265" s="20" t="s">
        <v>2977</v>
      </c>
      <c r="D1265" s="20" t="s">
        <v>370</v>
      </c>
      <c r="E1265" s="21" t="s">
        <v>2978</v>
      </c>
      <c r="F1265" s="21" t="n">
        <v>37707</v>
      </c>
      <c r="G1265" s="22" t="s">
        <v>471</v>
      </c>
      <c r="H1265" s="23" t="n">
        <f aca="false">COUNTIF(CAL!U:AF,B1265)</f>
        <v>1</v>
      </c>
      <c r="I1265" s="22" t="n">
        <v>3</v>
      </c>
      <c r="J1265" s="20"/>
    </row>
    <row r="1266" customFormat="false" ht="15.75" hidden="false" customHeight="true" outlineLevel="0" collapsed="false">
      <c r="B1266" s="19" t="n">
        <v>2840</v>
      </c>
      <c r="C1266" s="20" t="s">
        <v>2979</v>
      </c>
      <c r="D1266" s="20" t="s">
        <v>265</v>
      </c>
      <c r="E1266" s="24" t="s">
        <v>2980</v>
      </c>
      <c r="F1266" s="21" t="n">
        <v>37559</v>
      </c>
      <c r="G1266" s="22" t="s">
        <v>471</v>
      </c>
      <c r="H1266" s="23" t="n">
        <f aca="false">COUNTIF(CAL!U:AF,B1266)</f>
        <v>1</v>
      </c>
      <c r="I1266" s="22" t="n">
        <v>4</v>
      </c>
      <c r="J1266" s="20"/>
    </row>
    <row r="1267" customFormat="false" ht="15.75" hidden="false" customHeight="true" outlineLevel="0" collapsed="false">
      <c r="B1267" s="19" t="n">
        <v>1372</v>
      </c>
      <c r="C1267" s="20" t="s">
        <v>2981</v>
      </c>
      <c r="D1267" s="20" t="s">
        <v>218</v>
      </c>
      <c r="E1267" s="21" t="s">
        <v>2982</v>
      </c>
      <c r="F1267" s="21" t="n">
        <v>38841</v>
      </c>
      <c r="G1267" s="22" t="s">
        <v>471</v>
      </c>
      <c r="H1267" s="23" t="n">
        <f aca="false">COUNTIF(CAL!U:AF,B1267)</f>
        <v>1</v>
      </c>
      <c r="I1267" s="22" t="n">
        <v>4</v>
      </c>
      <c r="J1267" s="20"/>
    </row>
    <row r="1268" customFormat="false" ht="15.75" hidden="false" customHeight="true" outlineLevel="0" collapsed="false">
      <c r="B1268" s="19" t="n">
        <v>2913</v>
      </c>
      <c r="C1268" s="20" t="s">
        <v>1642</v>
      </c>
      <c r="D1268" s="20" t="s">
        <v>371</v>
      </c>
      <c r="E1268" s="21" t="s">
        <v>2983</v>
      </c>
      <c r="F1268" s="21" t="n">
        <v>37723</v>
      </c>
      <c r="G1268" s="22" t="s">
        <v>471</v>
      </c>
      <c r="H1268" s="23" t="n">
        <f aca="false">COUNTIF(CAL!U:AF,B1268)</f>
        <v>1</v>
      </c>
      <c r="I1268" s="22" t="n">
        <v>4</v>
      </c>
      <c r="J1268" s="20"/>
    </row>
    <row r="1269" customFormat="false" ht="15.75" hidden="false" customHeight="true" outlineLevel="0" collapsed="false">
      <c r="B1269" s="19" t="n">
        <v>3532</v>
      </c>
      <c r="C1269" s="20" t="s">
        <v>2984</v>
      </c>
      <c r="D1269" s="20" t="s">
        <v>412</v>
      </c>
      <c r="E1269" s="24" t="s">
        <v>2985</v>
      </c>
      <c r="F1269" s="21" t="n">
        <v>36967</v>
      </c>
      <c r="G1269" s="22" t="s">
        <v>471</v>
      </c>
      <c r="H1269" s="23" t="n">
        <f aca="false">COUNTIF(CAL!U:AF,B1269)</f>
        <v>1</v>
      </c>
      <c r="I1269" s="22" t="n">
        <v>4</v>
      </c>
      <c r="J1269" s="20"/>
    </row>
    <row r="1270" customFormat="false" ht="15.75" hidden="false" customHeight="true" outlineLevel="0" collapsed="false">
      <c r="B1270" s="19" t="n">
        <v>1816</v>
      </c>
      <c r="C1270" s="20" t="s">
        <v>2986</v>
      </c>
      <c r="D1270" s="20" t="s">
        <v>262</v>
      </c>
      <c r="E1270" s="21" t="s">
        <v>2987</v>
      </c>
      <c r="F1270" s="21" t="n">
        <v>39338</v>
      </c>
      <c r="G1270" s="22" t="s">
        <v>471</v>
      </c>
      <c r="H1270" s="23" t="n">
        <f aca="false">COUNTIF(CAL!U:AF,B1270)</f>
        <v>1</v>
      </c>
      <c r="I1270" s="22" t="n">
        <v>4</v>
      </c>
      <c r="J1270" s="20"/>
    </row>
    <row r="1271" customFormat="false" ht="15.75" hidden="false" customHeight="true" outlineLevel="0" collapsed="false">
      <c r="B1271" s="19" t="n">
        <v>1017</v>
      </c>
      <c r="C1271" s="20" t="s">
        <v>2988</v>
      </c>
      <c r="D1271" s="20" t="s">
        <v>51</v>
      </c>
      <c r="E1271" s="24" t="s">
        <v>2989</v>
      </c>
      <c r="F1271" s="21" t="n">
        <v>38751</v>
      </c>
      <c r="G1271" s="22" t="s">
        <v>471</v>
      </c>
      <c r="H1271" s="23" t="n">
        <f aca="false">COUNTIF(CAL!U:AF,B1271)</f>
        <v>1</v>
      </c>
      <c r="I1271" s="22" t="n">
        <v>4</v>
      </c>
      <c r="J1271" s="20"/>
    </row>
    <row r="1272" customFormat="false" ht="15.75" hidden="false" customHeight="true" outlineLevel="0" collapsed="false">
      <c r="B1272" s="19" t="n">
        <v>2248</v>
      </c>
      <c r="C1272" s="20" t="s">
        <v>2990</v>
      </c>
      <c r="D1272" s="20" t="s">
        <v>55</v>
      </c>
      <c r="E1272" s="24" t="s">
        <v>2991</v>
      </c>
      <c r="F1272" s="21" t="n">
        <v>35826</v>
      </c>
      <c r="G1272" s="22" t="s">
        <v>471</v>
      </c>
      <c r="H1272" s="23" t="n">
        <f aca="false">COUNTIF(CAL!U:AF,B1272)</f>
        <v>1</v>
      </c>
      <c r="I1272" s="22" t="n">
        <v>4</v>
      </c>
      <c r="J1272" s="20"/>
    </row>
    <row r="1273" customFormat="false" ht="15.75" hidden="false" customHeight="true" outlineLevel="0" collapsed="false">
      <c r="B1273" s="19" t="n">
        <v>3472</v>
      </c>
      <c r="C1273" s="20" t="s">
        <v>2992</v>
      </c>
      <c r="D1273" s="20" t="s">
        <v>57</v>
      </c>
      <c r="E1273" s="24" t="s">
        <v>2993</v>
      </c>
      <c r="F1273" s="21" t="n">
        <v>36442</v>
      </c>
      <c r="G1273" s="22" t="s">
        <v>481</v>
      </c>
      <c r="H1273" s="23" t="n">
        <f aca="false">COUNTIF(CAL!U:AF,B1273)</f>
        <v>1</v>
      </c>
      <c r="I1273" s="22" t="n">
        <v>4</v>
      </c>
      <c r="J1273" s="20"/>
    </row>
    <row r="1274" customFormat="false" ht="15.75" hidden="false" customHeight="true" outlineLevel="0" collapsed="false">
      <c r="B1274" s="19" t="n">
        <v>1898</v>
      </c>
      <c r="C1274" s="20" t="s">
        <v>2994</v>
      </c>
      <c r="D1274" s="20" t="s">
        <v>69</v>
      </c>
      <c r="E1274" s="21" t="s">
        <v>2995</v>
      </c>
      <c r="F1274" s="21" t="n">
        <v>37082</v>
      </c>
      <c r="G1274" s="22" t="s">
        <v>471</v>
      </c>
      <c r="H1274" s="23" t="n">
        <f aca="false">COUNTIF(CAL!U:AF,B1274)</f>
        <v>1</v>
      </c>
      <c r="I1274" s="22" t="n">
        <v>4</v>
      </c>
      <c r="J1274" s="20"/>
    </row>
    <row r="1275" customFormat="false" ht="15.75" hidden="false" customHeight="true" outlineLevel="0" collapsed="false">
      <c r="B1275" s="19" t="n">
        <v>3610</v>
      </c>
      <c r="C1275" s="20" t="s">
        <v>2996</v>
      </c>
      <c r="D1275" s="20" t="s">
        <v>49</v>
      </c>
      <c r="E1275" s="21" t="s">
        <v>2997</v>
      </c>
      <c r="F1275" s="21" t="n">
        <v>38398</v>
      </c>
      <c r="G1275" s="22" t="s">
        <v>471</v>
      </c>
      <c r="H1275" s="23" t="n">
        <f aca="false">COUNTIF(CAL!U:AF,B1275)</f>
        <v>1</v>
      </c>
      <c r="I1275" s="22" t="n">
        <v>4</v>
      </c>
      <c r="J1275" s="20"/>
    </row>
    <row r="1276" customFormat="false" ht="15.75" hidden="false" customHeight="true" outlineLevel="0" collapsed="false">
      <c r="B1276" s="19" t="n">
        <v>2673</v>
      </c>
      <c r="C1276" s="20" t="s">
        <v>2998</v>
      </c>
      <c r="D1276" s="20" t="s">
        <v>197</v>
      </c>
      <c r="E1276" s="21" t="s">
        <v>2999</v>
      </c>
      <c r="F1276" s="21" t="n">
        <v>35533</v>
      </c>
      <c r="G1276" s="22" t="s">
        <v>504</v>
      </c>
      <c r="H1276" s="23" t="n">
        <f aca="false">COUNTIF(CAL!U:AF,B1276)</f>
        <v>1</v>
      </c>
      <c r="I1276" s="22" t="n">
        <v>4</v>
      </c>
      <c r="J1276" s="20"/>
    </row>
    <row r="1277" customFormat="false" ht="15.75" hidden="false" customHeight="true" outlineLevel="0" collapsed="false">
      <c r="B1277" s="19" t="n">
        <v>3416</v>
      </c>
      <c r="C1277" s="20" t="s">
        <v>3000</v>
      </c>
      <c r="D1277" s="20" t="s">
        <v>78</v>
      </c>
      <c r="E1277" s="21" t="s">
        <v>3001</v>
      </c>
      <c r="F1277" s="21" t="n">
        <v>38874</v>
      </c>
      <c r="G1277" s="22" t="s">
        <v>3002</v>
      </c>
      <c r="H1277" s="23" t="n">
        <f aca="false">COUNTIF(CAL!U:AF,B1277)</f>
        <v>1</v>
      </c>
      <c r="I1277" s="22" t="n">
        <v>4</v>
      </c>
      <c r="J1277" s="20"/>
    </row>
    <row r="1278" customFormat="false" ht="15.75" hidden="false" customHeight="true" outlineLevel="0" collapsed="false">
      <c r="B1278" s="19" t="n">
        <v>2251</v>
      </c>
      <c r="C1278" s="20" t="s">
        <v>3003</v>
      </c>
      <c r="D1278" s="20" t="s">
        <v>53</v>
      </c>
      <c r="E1278" s="21" t="s">
        <v>3004</v>
      </c>
      <c r="F1278" s="21" t="n">
        <v>33012</v>
      </c>
      <c r="G1278" s="22" t="s">
        <v>471</v>
      </c>
      <c r="H1278" s="23" t="n">
        <f aca="false">COUNTIF(CAL!U:AF,B1278)</f>
        <v>1</v>
      </c>
      <c r="I1278" s="22" t="n">
        <v>4</v>
      </c>
      <c r="J1278" s="20"/>
    </row>
    <row r="1279" customFormat="false" ht="15.75" hidden="false" customHeight="true" outlineLevel="0" collapsed="false">
      <c r="B1279" s="19" t="n">
        <v>2897</v>
      </c>
      <c r="C1279" s="20" t="s">
        <v>3005</v>
      </c>
      <c r="D1279" s="20" t="s">
        <v>393</v>
      </c>
      <c r="E1279" s="21" t="s">
        <v>3006</v>
      </c>
      <c r="F1279" s="21" t="n">
        <v>33795</v>
      </c>
      <c r="G1279" s="22" t="s">
        <v>471</v>
      </c>
      <c r="H1279" s="23" t="n">
        <f aca="false">COUNTIF(CAL!U:AF,B1279)</f>
        <v>1</v>
      </c>
      <c r="I1279" s="22" t="n">
        <v>4</v>
      </c>
      <c r="J1279" s="20"/>
    </row>
    <row r="1280" customFormat="false" ht="15.75" hidden="false" customHeight="true" outlineLevel="0" collapsed="false">
      <c r="B1280" s="19" t="n">
        <v>2985</v>
      </c>
      <c r="C1280" s="20" t="s">
        <v>3007</v>
      </c>
      <c r="D1280" s="20" t="s">
        <v>388</v>
      </c>
      <c r="E1280" s="21" t="s">
        <v>3008</v>
      </c>
      <c r="F1280" s="21" t="n">
        <v>32711</v>
      </c>
      <c r="G1280" s="22" t="s">
        <v>471</v>
      </c>
      <c r="H1280" s="23" t="n">
        <f aca="false">COUNTIF(CAL!U:AF,B1280)</f>
        <v>1</v>
      </c>
      <c r="I1280" s="22" t="n">
        <v>4</v>
      </c>
      <c r="J1280" s="20"/>
    </row>
    <row r="1281" customFormat="false" ht="15.75" hidden="false" customHeight="true" outlineLevel="0" collapsed="false">
      <c r="B1281" s="19" t="n">
        <v>3597</v>
      </c>
      <c r="C1281" s="20" t="s">
        <v>3009</v>
      </c>
      <c r="D1281" s="20" t="s">
        <v>44</v>
      </c>
      <c r="E1281" s="21" t="s">
        <v>3010</v>
      </c>
      <c r="F1281" s="21" t="n">
        <v>38446</v>
      </c>
      <c r="G1281" s="22" t="s">
        <v>471</v>
      </c>
      <c r="H1281" s="23" t="n">
        <f aca="false">COUNTIF(CAL!U:AF,B1281)</f>
        <v>1</v>
      </c>
      <c r="I1281" s="22" t="n">
        <v>4</v>
      </c>
      <c r="J1281" s="20"/>
    </row>
    <row r="1282" customFormat="false" ht="15.75" hidden="false" customHeight="true" outlineLevel="0" collapsed="false">
      <c r="B1282" s="19" t="n">
        <v>3162</v>
      </c>
      <c r="C1282" s="20" t="s">
        <v>3011</v>
      </c>
      <c r="D1282" s="20" t="s">
        <v>413</v>
      </c>
      <c r="E1282" s="21" t="s">
        <v>3012</v>
      </c>
      <c r="F1282" s="21" t="n">
        <v>38006</v>
      </c>
      <c r="G1282" s="22" t="s">
        <v>471</v>
      </c>
      <c r="H1282" s="23" t="n">
        <f aca="false">COUNTIF(CAL!U:AF,B1282)</f>
        <v>1</v>
      </c>
      <c r="I1282" s="22" t="n">
        <v>4</v>
      </c>
      <c r="J1282" s="20"/>
    </row>
    <row r="1283" customFormat="false" ht="15.75" hidden="false" customHeight="true" outlineLevel="0" collapsed="false">
      <c r="B1283" s="19" t="n">
        <v>1774</v>
      </c>
      <c r="C1283" s="20" t="s">
        <v>3011</v>
      </c>
      <c r="D1283" s="20" t="s">
        <v>232</v>
      </c>
      <c r="E1283" s="21" t="s">
        <v>3013</v>
      </c>
      <c r="F1283" s="21" t="n">
        <v>36524</v>
      </c>
      <c r="G1283" s="22" t="s">
        <v>471</v>
      </c>
      <c r="H1283" s="23" t="n">
        <f aca="false">COUNTIF(CAL!U:AF,B1283)</f>
        <v>1</v>
      </c>
      <c r="I1283" s="22" t="n">
        <v>4</v>
      </c>
      <c r="J1283" s="20"/>
    </row>
    <row r="1284" customFormat="false" ht="15.75" hidden="false" customHeight="true" outlineLevel="0" collapsed="false">
      <c r="B1284" s="19" t="n">
        <v>1640</v>
      </c>
      <c r="C1284" s="20" t="s">
        <v>3014</v>
      </c>
      <c r="D1284" s="20" t="s">
        <v>270</v>
      </c>
      <c r="E1284" s="21" t="s">
        <v>3015</v>
      </c>
      <c r="F1284" s="21" t="n">
        <v>38838</v>
      </c>
      <c r="G1284" s="22" t="s">
        <v>471</v>
      </c>
      <c r="H1284" s="23" t="n">
        <f aca="false">COUNTIF(CAL!U:AF,B1284)</f>
        <v>1</v>
      </c>
      <c r="I1284" s="22" t="n">
        <v>4</v>
      </c>
      <c r="J1284" s="20"/>
    </row>
    <row r="1285" customFormat="false" ht="15.75" hidden="false" customHeight="true" outlineLevel="0" collapsed="false">
      <c r="B1285" s="19" t="n">
        <v>2070</v>
      </c>
      <c r="C1285" s="20" t="s">
        <v>3016</v>
      </c>
      <c r="D1285" s="20" t="s">
        <v>309</v>
      </c>
      <c r="E1285" s="21" t="s">
        <v>3017</v>
      </c>
      <c r="F1285" s="21" t="n">
        <v>37761</v>
      </c>
      <c r="G1285" s="22" t="s">
        <v>471</v>
      </c>
      <c r="H1285" s="23" t="n">
        <f aca="false">COUNTIF(CAL!U:AF,B1285)</f>
        <v>1</v>
      </c>
      <c r="I1285" s="22" t="n">
        <v>4</v>
      </c>
      <c r="J1285" s="20"/>
    </row>
    <row r="1286" customFormat="false" ht="15.75" hidden="false" customHeight="true" outlineLevel="0" collapsed="false">
      <c r="B1286" s="19" t="n">
        <v>1739</v>
      </c>
      <c r="C1286" s="20" t="s">
        <v>3018</v>
      </c>
      <c r="D1286" s="20" t="s">
        <v>177</v>
      </c>
      <c r="E1286" s="21" t="s">
        <v>3019</v>
      </c>
      <c r="F1286" s="21" t="n">
        <v>35168</v>
      </c>
      <c r="G1286" s="22" t="s">
        <v>471</v>
      </c>
      <c r="H1286" s="23" t="n">
        <f aca="false">COUNTIF(CAL!U:AF,B1286)</f>
        <v>1</v>
      </c>
      <c r="I1286" s="22" t="n">
        <v>4</v>
      </c>
      <c r="J1286" s="20"/>
    </row>
    <row r="1287" customFormat="false" ht="15.75" hidden="false" customHeight="true" outlineLevel="0" collapsed="false">
      <c r="B1287" s="19" t="n">
        <v>1489</v>
      </c>
      <c r="C1287" s="20" t="s">
        <v>2284</v>
      </c>
      <c r="D1287" s="20" t="s">
        <v>284</v>
      </c>
      <c r="E1287" s="21" t="s">
        <v>3020</v>
      </c>
      <c r="F1287" s="21" t="n">
        <v>37839</v>
      </c>
      <c r="G1287" s="22" t="s">
        <v>471</v>
      </c>
      <c r="H1287" s="23" t="n">
        <f aca="false">COUNTIF(CAL!U:AF,B1287)</f>
        <v>1</v>
      </c>
      <c r="I1287" s="22" t="n">
        <v>4</v>
      </c>
      <c r="J1287" s="20"/>
    </row>
    <row r="1288" customFormat="false" ht="15.75" hidden="false" customHeight="true" outlineLevel="0" collapsed="false">
      <c r="B1288" s="19" t="n">
        <v>2376</v>
      </c>
      <c r="C1288" s="20" t="s">
        <v>3021</v>
      </c>
      <c r="D1288" s="20" t="s">
        <v>207</v>
      </c>
      <c r="E1288" s="21" t="s">
        <v>3022</v>
      </c>
      <c r="F1288" s="21" t="n">
        <v>39234</v>
      </c>
      <c r="G1288" s="22" t="s">
        <v>471</v>
      </c>
      <c r="H1288" s="23" t="n">
        <f aca="false">COUNTIF(CAL!U:AF,B1288)</f>
        <v>1</v>
      </c>
      <c r="I1288" s="22" t="n">
        <v>4</v>
      </c>
      <c r="J1288" s="20"/>
    </row>
    <row r="1289" customFormat="false" ht="15.75" hidden="false" customHeight="true" outlineLevel="0" collapsed="false">
      <c r="B1289" s="19" t="n">
        <v>1312</v>
      </c>
      <c r="C1289" s="20" t="s">
        <v>3023</v>
      </c>
      <c r="D1289" s="20" t="s">
        <v>128</v>
      </c>
      <c r="E1289" s="21" t="s">
        <v>3024</v>
      </c>
      <c r="F1289" s="21" t="n">
        <v>34681</v>
      </c>
      <c r="G1289" s="22" t="s">
        <v>471</v>
      </c>
      <c r="H1289" s="23" t="n">
        <f aca="false">COUNTIF(CAL!U:AF,B1289)</f>
        <v>1</v>
      </c>
      <c r="I1289" s="22" t="n">
        <v>4</v>
      </c>
      <c r="J1289" s="20"/>
    </row>
    <row r="1290" customFormat="false" ht="15.75" hidden="false" customHeight="true" outlineLevel="0" collapsed="false">
      <c r="B1290" s="19" t="n">
        <v>2663</v>
      </c>
      <c r="C1290" s="20" t="s">
        <v>3025</v>
      </c>
      <c r="D1290" s="20" t="s">
        <v>393</v>
      </c>
      <c r="E1290" s="24" t="s">
        <v>3026</v>
      </c>
      <c r="F1290" s="21" t="n">
        <v>37668</v>
      </c>
      <c r="G1290" s="22" t="s">
        <v>471</v>
      </c>
      <c r="H1290" s="23" t="n">
        <f aca="false">COUNTIF(CAL!U:AF,B1290)</f>
        <v>1</v>
      </c>
      <c r="I1290" s="22" t="n">
        <v>4</v>
      </c>
      <c r="J1290" s="20"/>
    </row>
    <row r="1291" customFormat="false" ht="15.75" hidden="false" customHeight="true" outlineLevel="0" collapsed="false">
      <c r="B1291" s="19" t="n">
        <v>2988</v>
      </c>
      <c r="C1291" s="20" t="s">
        <v>3027</v>
      </c>
      <c r="D1291" s="20" t="s">
        <v>390</v>
      </c>
      <c r="E1291" s="21" t="s">
        <v>3028</v>
      </c>
      <c r="F1291" s="21" t="n">
        <v>35279</v>
      </c>
      <c r="G1291" s="22" t="s">
        <v>1781</v>
      </c>
      <c r="H1291" s="23" t="n">
        <f aca="false">COUNTIF(CAL!U:AF,B1291)</f>
        <v>1</v>
      </c>
      <c r="I1291" s="22" t="n">
        <v>4</v>
      </c>
      <c r="J1291" s="20"/>
    </row>
    <row r="1292" customFormat="false" ht="15.75" hidden="false" customHeight="true" outlineLevel="0" collapsed="false">
      <c r="B1292" s="19" t="n">
        <v>2444</v>
      </c>
      <c r="C1292" s="20" t="s">
        <v>3029</v>
      </c>
      <c r="D1292" s="20" t="s">
        <v>364</v>
      </c>
      <c r="E1292" s="21" t="s">
        <v>3030</v>
      </c>
      <c r="F1292" s="21" t="n">
        <v>38209</v>
      </c>
      <c r="G1292" s="22" t="s">
        <v>471</v>
      </c>
      <c r="H1292" s="23" t="n">
        <f aca="false">COUNTIF(CAL!U:AF,B1292)</f>
        <v>1</v>
      </c>
      <c r="I1292" s="22" t="n">
        <v>4</v>
      </c>
      <c r="J1292" s="20"/>
    </row>
    <row r="1293" customFormat="false" ht="15.75" hidden="false" customHeight="true" outlineLevel="0" collapsed="false">
      <c r="B1293" s="19" t="n">
        <v>1270</v>
      </c>
      <c r="C1293" s="20" t="s">
        <v>3031</v>
      </c>
      <c r="D1293" s="20" t="s">
        <v>66</v>
      </c>
      <c r="E1293" s="21" t="s">
        <v>3032</v>
      </c>
      <c r="F1293" s="21" t="n">
        <v>36826</v>
      </c>
      <c r="G1293" s="22" t="s">
        <v>471</v>
      </c>
      <c r="H1293" s="23" t="n">
        <f aca="false">COUNTIF(CAL!U:AF,B1293)</f>
        <v>1</v>
      </c>
      <c r="I1293" s="22" t="n">
        <v>4</v>
      </c>
      <c r="J1293" s="20"/>
    </row>
    <row r="1294" customFormat="false" ht="15.75" hidden="false" customHeight="true" outlineLevel="0" collapsed="false">
      <c r="B1294" s="19" t="n">
        <v>3595</v>
      </c>
      <c r="C1294" s="20" t="s">
        <v>3033</v>
      </c>
      <c r="D1294" s="20" t="s">
        <v>167</v>
      </c>
      <c r="E1294" s="21" t="s">
        <v>3034</v>
      </c>
      <c r="F1294" s="21" t="n">
        <v>33661</v>
      </c>
      <c r="G1294" s="22" t="s">
        <v>471</v>
      </c>
      <c r="H1294" s="23" t="n">
        <f aca="false">COUNTIF(CAL!U:AF,B1294)</f>
        <v>1</v>
      </c>
      <c r="I1294" s="22" t="n">
        <v>4</v>
      </c>
      <c r="J1294" s="20"/>
    </row>
    <row r="1295" customFormat="false" ht="15.75" hidden="false" customHeight="true" outlineLevel="0" collapsed="false">
      <c r="B1295" s="19" t="n">
        <v>3524</v>
      </c>
      <c r="C1295" s="20" t="s">
        <v>3035</v>
      </c>
      <c r="D1295" s="20" t="s">
        <v>413</v>
      </c>
      <c r="E1295" s="21" t="s">
        <v>3036</v>
      </c>
      <c r="F1295" s="21" t="n">
        <v>37426</v>
      </c>
      <c r="G1295" s="22" t="s">
        <v>471</v>
      </c>
      <c r="H1295" s="23" t="n">
        <f aca="false">COUNTIF(CAL!U:AF,B1295)</f>
        <v>1</v>
      </c>
      <c r="I1295" s="22" t="n">
        <v>4</v>
      </c>
      <c r="J1295" s="20"/>
    </row>
    <row r="1296" customFormat="false" ht="15.75" hidden="false" customHeight="true" outlineLevel="0" collapsed="false">
      <c r="B1296" s="19" t="n">
        <v>1608</v>
      </c>
      <c r="C1296" s="20" t="s">
        <v>3037</v>
      </c>
      <c r="D1296" s="20" t="s">
        <v>47</v>
      </c>
      <c r="E1296" s="21" t="s">
        <v>3038</v>
      </c>
      <c r="F1296" s="21" t="n">
        <v>36401</v>
      </c>
      <c r="G1296" s="22" t="s">
        <v>471</v>
      </c>
      <c r="H1296" s="23" t="n">
        <f aca="false">COUNTIF(CAL!U:AF,B1296)</f>
        <v>1</v>
      </c>
      <c r="I1296" s="22" t="n">
        <v>4</v>
      </c>
      <c r="J1296" s="20"/>
    </row>
    <row r="1297" customFormat="false" ht="15.75" hidden="false" customHeight="true" outlineLevel="0" collapsed="false">
      <c r="B1297" s="19" t="n">
        <v>2557</v>
      </c>
      <c r="C1297" s="20" t="s">
        <v>3039</v>
      </c>
      <c r="D1297" s="20" t="s">
        <v>64</v>
      </c>
      <c r="E1297" s="21" t="s">
        <v>3040</v>
      </c>
      <c r="F1297" s="21" t="n">
        <v>38604</v>
      </c>
      <c r="G1297" s="22" t="s">
        <v>471</v>
      </c>
      <c r="H1297" s="23" t="n">
        <f aca="false">COUNTIF(CAL!U:AF,B1297)</f>
        <v>1</v>
      </c>
      <c r="I1297" s="22" t="n">
        <v>4</v>
      </c>
      <c r="J1297" s="20"/>
    </row>
    <row r="1298" customFormat="false" ht="15.75" hidden="false" customHeight="true" outlineLevel="0" collapsed="false">
      <c r="B1298" s="19" t="n">
        <v>2817</v>
      </c>
      <c r="C1298" s="20" t="s">
        <v>3041</v>
      </c>
      <c r="D1298" s="20" t="s">
        <v>282</v>
      </c>
      <c r="E1298" s="24" t="s">
        <v>3042</v>
      </c>
      <c r="F1298" s="21" t="n">
        <v>32869</v>
      </c>
      <c r="G1298" s="22" t="s">
        <v>471</v>
      </c>
      <c r="H1298" s="23" t="n">
        <f aca="false">COUNTIF(CAL!U:AF,B1298)</f>
        <v>1</v>
      </c>
      <c r="I1298" s="22" t="n">
        <v>4</v>
      </c>
      <c r="J1298" s="20"/>
    </row>
    <row r="1299" customFormat="false" ht="15.75" hidden="false" customHeight="true" outlineLevel="0" collapsed="false">
      <c r="B1299" s="19" t="n">
        <v>2889</v>
      </c>
      <c r="C1299" s="20" t="s">
        <v>3043</v>
      </c>
      <c r="D1299" s="20" t="s">
        <v>351</v>
      </c>
      <c r="E1299" s="24" t="s">
        <v>3044</v>
      </c>
      <c r="F1299" s="21" t="n">
        <v>35186</v>
      </c>
      <c r="G1299" s="22" t="s">
        <v>471</v>
      </c>
      <c r="H1299" s="23" t="n">
        <f aca="false">COUNTIF(CAL!U:AF,B1299)</f>
        <v>1</v>
      </c>
      <c r="I1299" s="22" t="n">
        <v>4</v>
      </c>
      <c r="J1299" s="20"/>
    </row>
    <row r="1300" customFormat="false" ht="15.75" hidden="false" customHeight="true" outlineLevel="0" collapsed="false">
      <c r="B1300" s="19" t="n">
        <v>2779</v>
      </c>
      <c r="C1300" s="20" t="s">
        <v>806</v>
      </c>
      <c r="D1300" s="20" t="s">
        <v>391</v>
      </c>
      <c r="E1300" s="21" t="s">
        <v>3045</v>
      </c>
      <c r="F1300" s="21" t="n">
        <v>36900</v>
      </c>
      <c r="G1300" s="22" t="s">
        <v>471</v>
      </c>
      <c r="H1300" s="23" t="n">
        <f aca="false">COUNTIF(CAL!U:AF,B1300)</f>
        <v>1</v>
      </c>
      <c r="I1300" s="22" t="n">
        <v>4</v>
      </c>
      <c r="J1300" s="20"/>
    </row>
    <row r="1301" customFormat="false" ht="15.75" hidden="false" customHeight="true" outlineLevel="0" collapsed="false">
      <c r="B1301" s="19" t="n">
        <v>3224</v>
      </c>
      <c r="C1301" s="20" t="s">
        <v>3046</v>
      </c>
      <c r="D1301" s="20" t="s">
        <v>270</v>
      </c>
      <c r="E1301" s="21" t="s">
        <v>3047</v>
      </c>
      <c r="F1301" s="21" t="n">
        <v>34635</v>
      </c>
      <c r="G1301" s="22" t="s">
        <v>3048</v>
      </c>
      <c r="H1301" s="23" t="n">
        <f aca="false">COUNTIF(CAL!U:AF,B1301)</f>
        <v>1</v>
      </c>
      <c r="I1301" s="22" t="n">
        <v>4</v>
      </c>
      <c r="J1301" s="20"/>
    </row>
    <row r="1302" customFormat="false" ht="15.75" hidden="false" customHeight="true" outlineLevel="0" collapsed="false">
      <c r="B1302" s="19" t="n">
        <v>2563</v>
      </c>
      <c r="C1302" s="20" t="s">
        <v>2499</v>
      </c>
      <c r="D1302" s="20" t="s">
        <v>78</v>
      </c>
      <c r="E1302" s="21" t="s">
        <v>3049</v>
      </c>
      <c r="F1302" s="21" t="n">
        <v>38867</v>
      </c>
      <c r="G1302" s="22" t="s">
        <v>471</v>
      </c>
      <c r="H1302" s="23" t="n">
        <f aca="false">COUNTIF(CAL!U:AF,B1302)</f>
        <v>1</v>
      </c>
      <c r="I1302" s="22" t="n">
        <v>4</v>
      </c>
      <c r="J1302" s="20"/>
    </row>
    <row r="1303" customFormat="false" ht="15.75" hidden="false" customHeight="true" outlineLevel="0" collapsed="false">
      <c r="B1303" s="19" t="n">
        <v>1549</v>
      </c>
      <c r="C1303" s="20" t="s">
        <v>3050</v>
      </c>
      <c r="D1303" s="20" t="s">
        <v>141</v>
      </c>
      <c r="E1303" s="24" t="s">
        <v>3051</v>
      </c>
      <c r="F1303" s="21" t="n">
        <v>35523</v>
      </c>
      <c r="G1303" s="22" t="s">
        <v>3052</v>
      </c>
      <c r="H1303" s="23" t="n">
        <f aca="false">COUNTIF(CAL!U:AF,B1303)</f>
        <v>1</v>
      </c>
      <c r="I1303" s="22" t="n">
        <v>4</v>
      </c>
      <c r="J1303" s="20"/>
    </row>
    <row r="1304" customFormat="false" ht="15.75" hidden="false" customHeight="true" outlineLevel="0" collapsed="false">
      <c r="B1304" s="19" t="n">
        <v>3378</v>
      </c>
      <c r="C1304" s="20" t="s">
        <v>3053</v>
      </c>
      <c r="D1304" s="20" t="s">
        <v>380</v>
      </c>
      <c r="E1304" s="21" t="s">
        <v>3054</v>
      </c>
      <c r="F1304" s="21" t="n">
        <v>35991</v>
      </c>
      <c r="G1304" s="22" t="s">
        <v>471</v>
      </c>
      <c r="H1304" s="23" t="n">
        <f aca="false">COUNTIF(CAL!U:AF,B1304)</f>
        <v>1</v>
      </c>
      <c r="I1304" s="22" t="n">
        <v>4</v>
      </c>
      <c r="J1304" s="20"/>
    </row>
    <row r="1305" customFormat="false" ht="15.75" hidden="false" customHeight="true" outlineLevel="0" collapsed="false">
      <c r="B1305" s="19" t="n">
        <v>2647</v>
      </c>
      <c r="C1305" s="20" t="s">
        <v>2303</v>
      </c>
      <c r="D1305" s="20" t="s">
        <v>249</v>
      </c>
      <c r="E1305" s="21" t="s">
        <v>3055</v>
      </c>
      <c r="F1305" s="21" t="n">
        <v>37551</v>
      </c>
      <c r="G1305" s="22" t="s">
        <v>471</v>
      </c>
      <c r="H1305" s="23" t="n">
        <f aca="false">COUNTIF(CAL!U:AF,B1305)</f>
        <v>1</v>
      </c>
      <c r="I1305" s="22" t="n">
        <v>4</v>
      </c>
      <c r="J1305" s="20"/>
    </row>
    <row r="1306" customFormat="false" ht="15.75" hidden="false" customHeight="true" outlineLevel="0" collapsed="false">
      <c r="B1306" s="19" t="n">
        <v>2090</v>
      </c>
      <c r="C1306" s="20" t="s">
        <v>3056</v>
      </c>
      <c r="D1306" s="20" t="s">
        <v>113</v>
      </c>
      <c r="E1306" s="21" t="s">
        <v>3057</v>
      </c>
      <c r="F1306" s="21" t="n">
        <v>35122</v>
      </c>
      <c r="G1306" s="22" t="s">
        <v>471</v>
      </c>
      <c r="H1306" s="23" t="n">
        <f aca="false">COUNTIF(CAL!U:AF,B1306)</f>
        <v>1</v>
      </c>
      <c r="I1306" s="22" t="n">
        <v>4</v>
      </c>
      <c r="J1306" s="20"/>
    </row>
    <row r="1307" customFormat="false" ht="15.75" hidden="false" customHeight="true" outlineLevel="0" collapsed="false">
      <c r="B1307" s="19" t="n">
        <v>2203</v>
      </c>
      <c r="C1307" s="20" t="s">
        <v>3058</v>
      </c>
      <c r="D1307" s="20" t="s">
        <v>210</v>
      </c>
      <c r="E1307" s="21" t="s">
        <v>3059</v>
      </c>
      <c r="F1307" s="21" t="n">
        <v>37324</v>
      </c>
      <c r="G1307" s="22" t="s">
        <v>471</v>
      </c>
      <c r="H1307" s="23" t="n">
        <f aca="false">COUNTIF(CAL!U:AF,B1307)</f>
        <v>1</v>
      </c>
      <c r="I1307" s="22" t="n">
        <v>4</v>
      </c>
      <c r="J1307" s="20"/>
    </row>
    <row r="1308" customFormat="false" ht="15.75" hidden="false" customHeight="true" outlineLevel="0" collapsed="false">
      <c r="B1308" s="19" t="n">
        <v>3175</v>
      </c>
      <c r="C1308" s="20" t="s">
        <v>3060</v>
      </c>
      <c r="D1308" s="20" t="s">
        <v>391</v>
      </c>
      <c r="E1308" s="24" t="s">
        <v>3061</v>
      </c>
      <c r="F1308" s="21" t="n">
        <v>35888</v>
      </c>
      <c r="G1308" s="22" t="s">
        <v>471</v>
      </c>
      <c r="H1308" s="23" t="n">
        <f aca="false">COUNTIF(CAL!U:AF,B1308)</f>
        <v>1</v>
      </c>
      <c r="I1308" s="22" t="n">
        <v>4</v>
      </c>
      <c r="J1308" s="20"/>
    </row>
    <row r="1309" customFormat="false" ht="15.75" hidden="false" customHeight="true" outlineLevel="0" collapsed="false">
      <c r="B1309" s="19" t="n">
        <v>2999</v>
      </c>
      <c r="C1309" s="20" t="s">
        <v>1389</v>
      </c>
      <c r="D1309" s="20" t="s">
        <v>228</v>
      </c>
      <c r="E1309" s="21" t="s">
        <v>3062</v>
      </c>
      <c r="F1309" s="21" t="n">
        <v>37986</v>
      </c>
      <c r="G1309" s="22" t="s">
        <v>471</v>
      </c>
      <c r="H1309" s="23" t="n">
        <f aca="false">COUNTIF(CAL!U:AF,B1309)</f>
        <v>1</v>
      </c>
      <c r="I1309" s="22" t="n">
        <v>4</v>
      </c>
      <c r="J1309" s="20"/>
    </row>
    <row r="1310" customFormat="false" ht="15.75" hidden="false" customHeight="true" outlineLevel="0" collapsed="false">
      <c r="B1310" s="19" t="n">
        <v>2874</v>
      </c>
      <c r="C1310" s="20" t="s">
        <v>3063</v>
      </c>
      <c r="D1310" s="20" t="s">
        <v>183</v>
      </c>
      <c r="E1310" s="21" t="s">
        <v>3064</v>
      </c>
      <c r="F1310" s="21" t="n">
        <v>38050</v>
      </c>
      <c r="G1310" s="22" t="s">
        <v>471</v>
      </c>
      <c r="H1310" s="23" t="n">
        <f aca="false">COUNTIF(CAL!U:AF,B1310)</f>
        <v>1</v>
      </c>
      <c r="I1310" s="22" t="n">
        <v>4</v>
      </c>
      <c r="J1310" s="20"/>
    </row>
    <row r="1311" customFormat="false" ht="15.75" hidden="false" customHeight="true" outlineLevel="0" collapsed="false">
      <c r="B1311" s="19" t="n">
        <v>2210</v>
      </c>
      <c r="C1311" s="20" t="s">
        <v>3065</v>
      </c>
      <c r="D1311" s="20" t="s">
        <v>194</v>
      </c>
      <c r="E1311" s="21" t="s">
        <v>3066</v>
      </c>
      <c r="F1311" s="21" t="n">
        <v>36819</v>
      </c>
      <c r="G1311" s="22" t="s">
        <v>471</v>
      </c>
      <c r="H1311" s="23" t="n">
        <f aca="false">COUNTIF(CAL!U:AF,B1311)</f>
        <v>1</v>
      </c>
      <c r="I1311" s="22" t="n">
        <v>4</v>
      </c>
      <c r="J1311" s="20"/>
    </row>
    <row r="1312" customFormat="false" ht="15.75" hidden="false" customHeight="true" outlineLevel="0" collapsed="false">
      <c r="B1312" s="19" t="n">
        <v>3369</v>
      </c>
      <c r="C1312" s="20" t="s">
        <v>2570</v>
      </c>
      <c r="D1312" s="20" t="s">
        <v>321</v>
      </c>
      <c r="E1312" s="21" t="s">
        <v>3067</v>
      </c>
      <c r="F1312" s="21" t="n">
        <v>37790</v>
      </c>
      <c r="G1312" s="22" t="s">
        <v>471</v>
      </c>
      <c r="H1312" s="23" t="n">
        <f aca="false">COUNTIF(CAL!U:AF,B1312)</f>
        <v>1</v>
      </c>
      <c r="I1312" s="22" t="n">
        <v>4</v>
      </c>
      <c r="J1312" s="20"/>
    </row>
    <row r="1313" customFormat="false" ht="15.75" hidden="false" customHeight="true" outlineLevel="0" collapsed="false">
      <c r="B1313" s="19" t="n">
        <v>1296</v>
      </c>
      <c r="C1313" s="20" t="s">
        <v>3068</v>
      </c>
      <c r="D1313" s="20" t="s">
        <v>73</v>
      </c>
      <c r="E1313" s="21" t="s">
        <v>3069</v>
      </c>
      <c r="F1313" s="21" t="n">
        <v>36310</v>
      </c>
      <c r="G1313" s="22" t="s">
        <v>471</v>
      </c>
      <c r="H1313" s="23" t="n">
        <f aca="false">COUNTIF(CAL!U:AF,B1313)</f>
        <v>1</v>
      </c>
      <c r="I1313" s="22" t="n">
        <v>4</v>
      </c>
      <c r="J1313" s="20"/>
    </row>
    <row r="1314" customFormat="false" ht="15.75" hidden="false" customHeight="true" outlineLevel="0" collapsed="false">
      <c r="B1314" s="19" t="n">
        <v>2125</v>
      </c>
      <c r="C1314" s="20" t="s">
        <v>3070</v>
      </c>
      <c r="D1314" s="20" t="s">
        <v>204</v>
      </c>
      <c r="E1314" s="24" t="s">
        <v>3071</v>
      </c>
      <c r="F1314" s="21" t="n">
        <v>37343</v>
      </c>
      <c r="G1314" s="22" t="s">
        <v>471</v>
      </c>
      <c r="H1314" s="23" t="n">
        <f aca="false">COUNTIF(CAL!U:AF,B1314)</f>
        <v>1</v>
      </c>
      <c r="I1314" s="22" t="n">
        <v>4</v>
      </c>
      <c r="J1314" s="20"/>
    </row>
    <row r="1315" customFormat="false" ht="15.75" hidden="false" customHeight="true" outlineLevel="0" collapsed="false">
      <c r="B1315" s="19" t="n">
        <v>1641</v>
      </c>
      <c r="C1315" s="20" t="s">
        <v>3072</v>
      </c>
      <c r="D1315" s="20" t="s">
        <v>349</v>
      </c>
      <c r="E1315" s="21" t="s">
        <v>3073</v>
      </c>
      <c r="F1315" s="21" t="n">
        <v>38581</v>
      </c>
      <c r="G1315" s="22" t="s">
        <v>471</v>
      </c>
      <c r="H1315" s="23" t="n">
        <f aca="false">COUNTIF(CAL!U:AF,B1315)</f>
        <v>1</v>
      </c>
      <c r="I1315" s="22" t="n">
        <v>4</v>
      </c>
      <c r="J1315" s="20"/>
    </row>
    <row r="1316" customFormat="false" ht="15.75" hidden="false" customHeight="true" outlineLevel="0" collapsed="false">
      <c r="B1316" s="19" t="n">
        <v>3118</v>
      </c>
      <c r="C1316" s="20" t="s">
        <v>3074</v>
      </c>
      <c r="D1316" s="20" t="s">
        <v>410</v>
      </c>
      <c r="E1316" s="21" t="s">
        <v>3075</v>
      </c>
      <c r="F1316" s="21" t="n">
        <v>38203</v>
      </c>
      <c r="G1316" s="22" t="s">
        <v>471</v>
      </c>
      <c r="H1316" s="23" t="n">
        <f aca="false">COUNTIF(CAL!U:AF,B1316)</f>
        <v>1</v>
      </c>
      <c r="I1316" s="22" t="n">
        <v>4</v>
      </c>
      <c r="J1316" s="20"/>
    </row>
    <row r="1317" customFormat="false" ht="15.75" hidden="false" customHeight="true" outlineLevel="0" collapsed="false">
      <c r="B1317" s="19" t="n">
        <v>2617</v>
      </c>
      <c r="C1317" s="20" t="s">
        <v>3076</v>
      </c>
      <c r="D1317" s="20" t="s">
        <v>371</v>
      </c>
      <c r="E1317" s="21" t="s">
        <v>3077</v>
      </c>
      <c r="F1317" s="21" t="n">
        <v>38033</v>
      </c>
      <c r="G1317" s="22" t="s">
        <v>471</v>
      </c>
      <c r="H1317" s="23" t="n">
        <f aca="false">COUNTIF(CAL!U:AF,B1317)</f>
        <v>1</v>
      </c>
      <c r="I1317" s="22" t="n">
        <v>4</v>
      </c>
      <c r="J1317" s="20"/>
    </row>
    <row r="1318" customFormat="false" ht="15.75" hidden="false" customHeight="true" outlineLevel="0" collapsed="false">
      <c r="B1318" s="19" t="n">
        <v>2641</v>
      </c>
      <c r="C1318" s="20" t="s">
        <v>2572</v>
      </c>
      <c r="D1318" s="20" t="s">
        <v>98</v>
      </c>
      <c r="E1318" s="21" t="s">
        <v>3078</v>
      </c>
      <c r="F1318" s="21" t="n">
        <v>38009</v>
      </c>
      <c r="G1318" s="22" t="s">
        <v>471</v>
      </c>
      <c r="H1318" s="23" t="n">
        <f aca="false">COUNTIF(CAL!U:AF,B1318)</f>
        <v>1</v>
      </c>
      <c r="I1318" s="22" t="n">
        <v>4</v>
      </c>
      <c r="J1318" s="20"/>
    </row>
    <row r="1319" customFormat="false" ht="15.75" hidden="false" customHeight="true" outlineLevel="0" collapsed="false">
      <c r="B1319" s="19" t="n">
        <v>2782</v>
      </c>
      <c r="C1319" s="20" t="s">
        <v>3079</v>
      </c>
      <c r="D1319" s="20" t="s">
        <v>313</v>
      </c>
      <c r="E1319" s="24" t="s">
        <v>3080</v>
      </c>
      <c r="F1319" s="21" t="n">
        <v>38228</v>
      </c>
      <c r="G1319" s="22" t="s">
        <v>471</v>
      </c>
      <c r="H1319" s="23" t="n">
        <f aca="false">COUNTIF(CAL!U:AF,B1319)</f>
        <v>1</v>
      </c>
      <c r="I1319" s="22" t="n">
        <v>4</v>
      </c>
      <c r="J1319" s="20"/>
    </row>
    <row r="1320" customFormat="false" ht="15.75" hidden="false" customHeight="true" outlineLevel="0" collapsed="false">
      <c r="B1320" s="19" t="n">
        <v>1789</v>
      </c>
      <c r="C1320" s="20" t="s">
        <v>3081</v>
      </c>
      <c r="D1320" s="20" t="s">
        <v>118</v>
      </c>
      <c r="E1320" s="21" t="s">
        <v>3082</v>
      </c>
      <c r="F1320" s="21" t="n">
        <v>36822</v>
      </c>
      <c r="G1320" s="22" t="s">
        <v>471</v>
      </c>
      <c r="H1320" s="23" t="n">
        <f aca="false">COUNTIF(CAL!U:AF,B1320)</f>
        <v>1</v>
      </c>
      <c r="I1320" s="22" t="n">
        <v>4</v>
      </c>
      <c r="J1320" s="20"/>
    </row>
    <row r="1321" customFormat="false" ht="15.75" hidden="false" customHeight="true" outlineLevel="0" collapsed="false">
      <c r="B1321" s="19" t="n">
        <v>1232</v>
      </c>
      <c r="C1321" s="20" t="s">
        <v>3083</v>
      </c>
      <c r="D1321" s="20" t="s">
        <v>248</v>
      </c>
      <c r="E1321" s="21" t="s">
        <v>3084</v>
      </c>
      <c r="F1321" s="21" t="n">
        <v>37082</v>
      </c>
      <c r="G1321" s="22" t="s">
        <v>471</v>
      </c>
      <c r="H1321" s="23" t="n">
        <f aca="false">COUNTIF(CAL!U:AF,B1321)</f>
        <v>1</v>
      </c>
      <c r="I1321" s="22" t="n">
        <v>4</v>
      </c>
      <c r="J1321" s="20"/>
    </row>
    <row r="1322" customFormat="false" ht="15.75" hidden="false" customHeight="true" outlineLevel="0" collapsed="false">
      <c r="B1322" s="19" t="n">
        <v>2893</v>
      </c>
      <c r="C1322" s="20" t="s">
        <v>3085</v>
      </c>
      <c r="D1322" s="20" t="s">
        <v>351</v>
      </c>
      <c r="E1322" s="21" t="s">
        <v>3086</v>
      </c>
      <c r="F1322" s="21" t="n">
        <v>38443</v>
      </c>
      <c r="G1322" s="22" t="s">
        <v>471</v>
      </c>
      <c r="H1322" s="23" t="n">
        <f aca="false">COUNTIF(CAL!U:AF,B1322)</f>
        <v>1</v>
      </c>
      <c r="I1322" s="22" t="n">
        <v>4</v>
      </c>
      <c r="J1322" s="20"/>
    </row>
    <row r="1323" customFormat="false" ht="15.75" hidden="false" customHeight="true" outlineLevel="0" collapsed="false">
      <c r="B1323" s="19" t="n">
        <v>2552</v>
      </c>
      <c r="C1323" s="20" t="s">
        <v>3087</v>
      </c>
      <c r="D1323" s="20" t="s">
        <v>309</v>
      </c>
      <c r="E1323" s="21" t="s">
        <v>3088</v>
      </c>
      <c r="F1323" s="21" t="n">
        <v>37502</v>
      </c>
      <c r="G1323" s="22" t="s">
        <v>471</v>
      </c>
      <c r="H1323" s="23" t="n">
        <f aca="false">COUNTIF(CAL!U:AF,B1323)</f>
        <v>1</v>
      </c>
      <c r="I1323" s="22" t="n">
        <v>4</v>
      </c>
      <c r="J1323" s="20"/>
    </row>
    <row r="1324" customFormat="false" ht="15.75" hidden="false" customHeight="true" outlineLevel="0" collapsed="false">
      <c r="B1324" s="19" t="n">
        <v>2997</v>
      </c>
      <c r="C1324" s="20" t="s">
        <v>3089</v>
      </c>
      <c r="D1324" s="20" t="s">
        <v>303</v>
      </c>
      <c r="E1324" s="24" t="s">
        <v>3090</v>
      </c>
      <c r="F1324" s="21" t="n">
        <v>36090</v>
      </c>
      <c r="G1324" s="22" t="s">
        <v>481</v>
      </c>
      <c r="H1324" s="23" t="n">
        <f aca="false">COUNTIF(CAL!U:AF,B1324)</f>
        <v>1</v>
      </c>
      <c r="I1324" s="22" t="n">
        <v>4</v>
      </c>
      <c r="J1324" s="20"/>
    </row>
    <row r="1325" customFormat="false" ht="15.75" hidden="false" customHeight="true" outlineLevel="0" collapsed="false">
      <c r="B1325" s="19" t="n">
        <v>3055</v>
      </c>
      <c r="C1325" s="20" t="s">
        <v>754</v>
      </c>
      <c r="D1325" s="20" t="s">
        <v>255</v>
      </c>
      <c r="E1325" s="21" t="s">
        <v>3091</v>
      </c>
      <c r="F1325" s="21" t="n">
        <v>39276</v>
      </c>
      <c r="G1325" s="22" t="s">
        <v>471</v>
      </c>
      <c r="H1325" s="23" t="n">
        <f aca="false">COUNTIF(CAL!U:AF,B1325)</f>
        <v>1</v>
      </c>
      <c r="I1325" s="22" t="n">
        <v>4</v>
      </c>
      <c r="J1325" s="20" t="s">
        <v>3092</v>
      </c>
    </row>
    <row r="1326" customFormat="false" ht="15.75" hidden="false" customHeight="true" outlineLevel="0" collapsed="false">
      <c r="B1326" s="19" t="n">
        <v>2533</v>
      </c>
      <c r="C1326" s="20" t="s">
        <v>3093</v>
      </c>
      <c r="D1326" s="20" t="s">
        <v>32</v>
      </c>
      <c r="E1326" s="21" t="s">
        <v>3094</v>
      </c>
      <c r="F1326" s="21" t="n">
        <v>38300</v>
      </c>
      <c r="G1326" s="22" t="s">
        <v>471</v>
      </c>
      <c r="H1326" s="23" t="n">
        <f aca="false">COUNTIF(CAL!U:AF,B1326)</f>
        <v>1</v>
      </c>
      <c r="I1326" s="22" t="n">
        <v>4</v>
      </c>
      <c r="J1326" s="20"/>
    </row>
    <row r="1327" customFormat="false" ht="15.75" hidden="false" customHeight="true" outlineLevel="0" collapsed="false">
      <c r="B1327" s="19" t="n">
        <v>3212</v>
      </c>
      <c r="C1327" s="20" t="s">
        <v>535</v>
      </c>
      <c r="D1327" s="20" t="s">
        <v>367</v>
      </c>
      <c r="E1327" s="24" t="s">
        <v>3095</v>
      </c>
      <c r="F1327" s="21" t="n">
        <v>36652</v>
      </c>
      <c r="G1327" s="22" t="s">
        <v>471</v>
      </c>
      <c r="H1327" s="23" t="n">
        <f aca="false">COUNTIF(CAL!U:AF,B1327)</f>
        <v>1</v>
      </c>
      <c r="I1327" s="22" t="n">
        <v>4</v>
      </c>
      <c r="J1327" s="20"/>
    </row>
    <row r="1328" customFormat="false" ht="15.75" hidden="false" customHeight="true" outlineLevel="0" collapsed="false">
      <c r="B1328" s="19" t="n">
        <v>1510</v>
      </c>
      <c r="C1328" s="20" t="s">
        <v>1235</v>
      </c>
      <c r="D1328" s="20" t="s">
        <v>233</v>
      </c>
      <c r="E1328" s="24" t="s">
        <v>3096</v>
      </c>
      <c r="F1328" s="21" t="n">
        <v>38215</v>
      </c>
      <c r="G1328" s="22" t="s">
        <v>471</v>
      </c>
      <c r="H1328" s="23" t="n">
        <f aca="false">COUNTIF(CAL!U:AF,B1328)</f>
        <v>1</v>
      </c>
      <c r="I1328" s="22" t="n">
        <v>4</v>
      </c>
      <c r="J1328" s="20"/>
    </row>
    <row r="1329" customFormat="false" ht="15.75" hidden="false" customHeight="true" outlineLevel="0" collapsed="false">
      <c r="B1329" s="19" t="n">
        <v>2652</v>
      </c>
      <c r="C1329" s="20" t="s">
        <v>2833</v>
      </c>
      <c r="D1329" s="20" t="s">
        <v>390</v>
      </c>
      <c r="E1329" s="24" t="s">
        <v>3097</v>
      </c>
      <c r="F1329" s="21" t="n">
        <v>36571</v>
      </c>
      <c r="G1329" s="22" t="s">
        <v>471</v>
      </c>
      <c r="H1329" s="23" t="n">
        <f aca="false">COUNTIF(CAL!U:AF,B1329)</f>
        <v>1</v>
      </c>
      <c r="I1329" s="22" t="n">
        <v>4</v>
      </c>
      <c r="J1329" s="20"/>
    </row>
    <row r="1330" customFormat="false" ht="15.75" hidden="false" customHeight="true" outlineLevel="0" collapsed="false">
      <c r="B1330" s="19" t="n">
        <v>2846</v>
      </c>
      <c r="C1330" s="20" t="s">
        <v>3098</v>
      </c>
      <c r="D1330" s="20" t="s">
        <v>391</v>
      </c>
      <c r="E1330" s="24" t="s">
        <v>3099</v>
      </c>
      <c r="F1330" s="21" t="n">
        <v>34557</v>
      </c>
      <c r="G1330" s="22" t="s">
        <v>471</v>
      </c>
      <c r="H1330" s="23" t="n">
        <f aca="false">COUNTIF(CAL!U:AF,B1330)</f>
        <v>1</v>
      </c>
      <c r="I1330" s="22" t="n">
        <v>4</v>
      </c>
      <c r="J1330" s="20"/>
    </row>
    <row r="1331" customFormat="false" ht="15.75" hidden="false" customHeight="true" outlineLevel="0" collapsed="false">
      <c r="B1331" s="19" t="n">
        <v>1301</v>
      </c>
      <c r="C1331" s="20" t="s">
        <v>2080</v>
      </c>
      <c r="D1331" s="20" t="s">
        <v>170</v>
      </c>
      <c r="E1331" s="21" t="s">
        <v>3100</v>
      </c>
      <c r="F1331" s="21" t="n">
        <v>35485</v>
      </c>
      <c r="G1331" s="22" t="s">
        <v>471</v>
      </c>
      <c r="H1331" s="23" t="n">
        <f aca="false">COUNTIF(CAL!U:AF,B1331)</f>
        <v>1</v>
      </c>
      <c r="I1331" s="22" t="n">
        <v>4</v>
      </c>
      <c r="J1331" s="20"/>
    </row>
    <row r="1332" customFormat="false" ht="15.75" hidden="false" customHeight="true" outlineLevel="0" collapsed="false">
      <c r="B1332" s="19" t="n">
        <v>2596</v>
      </c>
      <c r="C1332" s="20" t="s">
        <v>3101</v>
      </c>
      <c r="D1332" s="20" t="s">
        <v>75</v>
      </c>
      <c r="E1332" s="21" t="s">
        <v>3102</v>
      </c>
      <c r="F1332" s="21" t="n">
        <v>35886</v>
      </c>
      <c r="G1332" s="22" t="s">
        <v>471</v>
      </c>
      <c r="H1332" s="23" t="n">
        <f aca="false">COUNTIF(CAL!U:AF,B1332)</f>
        <v>1</v>
      </c>
      <c r="I1332" s="22" t="n">
        <v>4</v>
      </c>
      <c r="J1332" s="20"/>
    </row>
    <row r="1333" customFormat="false" ht="15.75" hidden="false" customHeight="true" outlineLevel="0" collapsed="false">
      <c r="B1333" s="19" t="n">
        <v>3247</v>
      </c>
      <c r="C1333" s="20" t="s">
        <v>3103</v>
      </c>
      <c r="D1333" s="20" t="s">
        <v>382</v>
      </c>
      <c r="E1333" s="21" t="s">
        <v>3104</v>
      </c>
      <c r="F1333" s="21" t="n">
        <v>39194</v>
      </c>
      <c r="G1333" s="22" t="s">
        <v>471</v>
      </c>
      <c r="H1333" s="23" t="n">
        <f aca="false">COUNTIF(CAL!U:AF,B1333)</f>
        <v>1</v>
      </c>
      <c r="I1333" s="22" t="n">
        <v>4</v>
      </c>
      <c r="J1333" s="20"/>
    </row>
    <row r="1334" customFormat="false" ht="15.75" hidden="false" customHeight="true" outlineLevel="0" collapsed="false">
      <c r="B1334" s="19" t="n">
        <v>3088</v>
      </c>
      <c r="C1334" s="20" t="s">
        <v>3105</v>
      </c>
      <c r="D1334" s="20" t="s">
        <v>352</v>
      </c>
      <c r="E1334" s="21" t="s">
        <v>3106</v>
      </c>
      <c r="F1334" s="21" t="n">
        <v>38564</v>
      </c>
      <c r="G1334" s="22" t="s">
        <v>1000</v>
      </c>
      <c r="H1334" s="23" t="n">
        <f aca="false">COUNTIF(CAL!U:AF,B1334)</f>
        <v>1</v>
      </c>
      <c r="I1334" s="22" t="n">
        <v>4</v>
      </c>
      <c r="J1334" s="20"/>
    </row>
    <row r="1335" customFormat="false" ht="15.75" hidden="false" customHeight="true" outlineLevel="0" collapsed="false">
      <c r="B1335" s="19" t="n">
        <v>1918</v>
      </c>
      <c r="C1335" s="20" t="s">
        <v>3107</v>
      </c>
      <c r="D1335" s="20" t="s">
        <v>212</v>
      </c>
      <c r="E1335" s="21" t="s">
        <v>3107</v>
      </c>
      <c r="F1335" s="21" t="n">
        <v>37222</v>
      </c>
      <c r="G1335" s="22" t="s">
        <v>471</v>
      </c>
      <c r="H1335" s="23" t="n">
        <f aca="false">COUNTIF(CAL!U:AF,B1335)</f>
        <v>1</v>
      </c>
      <c r="I1335" s="22" t="n">
        <v>4</v>
      </c>
      <c r="J1335" s="20"/>
    </row>
    <row r="1336" customFormat="false" ht="15.75" hidden="false" customHeight="true" outlineLevel="0" collapsed="false">
      <c r="B1336" s="19" t="n">
        <v>3660</v>
      </c>
      <c r="C1336" s="20" t="s">
        <v>3108</v>
      </c>
      <c r="D1336" s="20" t="s">
        <v>54</v>
      </c>
      <c r="E1336" s="21" t="s">
        <v>3109</v>
      </c>
      <c r="F1336" s="21" t="n">
        <v>33917</v>
      </c>
      <c r="G1336" s="22" t="s">
        <v>1000</v>
      </c>
      <c r="H1336" s="23" t="n">
        <f aca="false">COUNTIF(CAL!U:AF,B1336)</f>
        <v>1</v>
      </c>
      <c r="I1336" s="22" t="n">
        <v>4</v>
      </c>
      <c r="J1336" s="20"/>
    </row>
    <row r="1337" customFormat="false" ht="15.75" hidden="false" customHeight="true" outlineLevel="0" collapsed="false">
      <c r="B1337" s="19" t="n">
        <v>2014</v>
      </c>
      <c r="C1337" s="20" t="s">
        <v>3110</v>
      </c>
      <c r="D1337" s="20" t="s">
        <v>83</v>
      </c>
      <c r="E1337" s="24" t="s">
        <v>3111</v>
      </c>
      <c r="F1337" s="21" t="n">
        <v>35800</v>
      </c>
      <c r="G1337" s="22" t="s">
        <v>471</v>
      </c>
      <c r="H1337" s="23" t="n">
        <f aca="false">COUNTIF(CAL!U:AF,B1337)</f>
        <v>1</v>
      </c>
      <c r="I1337" s="22" t="n">
        <v>4</v>
      </c>
      <c r="J1337" s="20" t="s">
        <v>3112</v>
      </c>
    </row>
    <row r="1338" customFormat="false" ht="15.75" hidden="false" customHeight="true" outlineLevel="0" collapsed="false">
      <c r="B1338" s="19" t="n">
        <v>1167</v>
      </c>
      <c r="C1338" s="20" t="s">
        <v>3113</v>
      </c>
      <c r="D1338" s="20" t="s">
        <v>39</v>
      </c>
      <c r="E1338" s="21" t="s">
        <v>3114</v>
      </c>
      <c r="F1338" s="21" t="n">
        <v>37328</v>
      </c>
      <c r="G1338" s="22" t="s">
        <v>471</v>
      </c>
      <c r="H1338" s="23" t="n">
        <f aca="false">COUNTIF(CAL!U:AF,B1338)</f>
        <v>1</v>
      </c>
      <c r="I1338" s="22" t="n">
        <v>4</v>
      </c>
      <c r="J1338" s="20"/>
    </row>
    <row r="1339" customFormat="false" ht="15.75" hidden="false" customHeight="true" outlineLevel="0" collapsed="false">
      <c r="B1339" s="19" t="n">
        <v>2092</v>
      </c>
      <c r="C1339" s="20" t="s">
        <v>3115</v>
      </c>
      <c r="D1339" s="20" t="s">
        <v>51</v>
      </c>
      <c r="E1339" s="21" t="s">
        <v>3116</v>
      </c>
      <c r="F1339" s="21" t="n">
        <v>36706</v>
      </c>
      <c r="G1339" s="22" t="s">
        <v>471</v>
      </c>
      <c r="H1339" s="23" t="n">
        <f aca="false">COUNTIF(CAL!U:AF,B1339)</f>
        <v>1</v>
      </c>
      <c r="I1339" s="22" t="n">
        <v>4</v>
      </c>
      <c r="J1339" s="20"/>
    </row>
    <row r="1340" customFormat="false" ht="15.75" hidden="false" customHeight="true" outlineLevel="0" collapsed="false">
      <c r="B1340" s="19" t="n">
        <v>1939</v>
      </c>
      <c r="C1340" s="20" t="s">
        <v>3117</v>
      </c>
      <c r="D1340" s="20" t="s">
        <v>150</v>
      </c>
      <c r="E1340" s="21" t="s">
        <v>3118</v>
      </c>
      <c r="F1340" s="21" t="n">
        <v>38803</v>
      </c>
      <c r="G1340" s="22" t="s">
        <v>471</v>
      </c>
      <c r="H1340" s="23" t="n">
        <f aca="false">COUNTIF(CAL!U:AF,B1340)</f>
        <v>1</v>
      </c>
      <c r="I1340" s="22" t="n">
        <v>4</v>
      </c>
      <c r="J1340" s="20"/>
    </row>
    <row r="1341" customFormat="false" ht="15.75" hidden="false" customHeight="true" outlineLevel="0" collapsed="false">
      <c r="B1341" s="19" t="n">
        <v>2891</v>
      </c>
      <c r="C1341" s="20" t="s">
        <v>3119</v>
      </c>
      <c r="D1341" s="20" t="s">
        <v>351</v>
      </c>
      <c r="E1341" s="21" t="s">
        <v>3120</v>
      </c>
      <c r="F1341" s="21" t="n">
        <v>37618</v>
      </c>
      <c r="G1341" s="22" t="s">
        <v>471</v>
      </c>
      <c r="H1341" s="23" t="n">
        <f aca="false">COUNTIF(CAL!U:AF,B1341)</f>
        <v>1</v>
      </c>
      <c r="I1341" s="22" t="n">
        <v>4</v>
      </c>
      <c r="J1341" s="20"/>
    </row>
    <row r="1342" customFormat="false" ht="15.75" hidden="false" customHeight="true" outlineLevel="0" collapsed="false">
      <c r="B1342" s="19" t="n">
        <v>3046</v>
      </c>
      <c r="C1342" s="20" t="s">
        <v>3121</v>
      </c>
      <c r="D1342" s="20" t="s">
        <v>373</v>
      </c>
      <c r="E1342" s="24" t="s">
        <v>3122</v>
      </c>
      <c r="F1342" s="21" t="n">
        <v>38608</v>
      </c>
      <c r="G1342" s="22" t="s">
        <v>471</v>
      </c>
      <c r="H1342" s="23" t="n">
        <f aca="false">COUNTIF(CAL!U:AF,B1342)</f>
        <v>1</v>
      </c>
      <c r="I1342" s="22" t="n">
        <v>4</v>
      </c>
      <c r="J1342" s="20"/>
    </row>
    <row r="1343" customFormat="false" ht="15.75" hidden="false" customHeight="true" outlineLevel="0" collapsed="false">
      <c r="B1343" s="19" t="n">
        <v>2391</v>
      </c>
      <c r="C1343" s="20" t="s">
        <v>3123</v>
      </c>
      <c r="D1343" s="20" t="s">
        <v>130</v>
      </c>
      <c r="E1343" s="21" t="s">
        <v>3124</v>
      </c>
      <c r="F1343" s="21" t="n">
        <v>35257</v>
      </c>
      <c r="G1343" s="22" t="s">
        <v>471</v>
      </c>
      <c r="H1343" s="23" t="n">
        <f aca="false">COUNTIF(CAL!U:AF,B1343)</f>
        <v>1</v>
      </c>
      <c r="I1343" s="22" t="n">
        <v>4</v>
      </c>
      <c r="J1343" s="20" t="s">
        <v>2217</v>
      </c>
    </row>
    <row r="1344" customFormat="false" ht="15.75" hidden="false" customHeight="true" outlineLevel="0" collapsed="false">
      <c r="B1344" s="19" t="n">
        <v>2525</v>
      </c>
      <c r="C1344" s="20" t="s">
        <v>1498</v>
      </c>
      <c r="D1344" s="20" t="s">
        <v>143</v>
      </c>
      <c r="E1344" s="21" t="s">
        <v>3125</v>
      </c>
      <c r="F1344" s="21" t="n">
        <v>38230</v>
      </c>
      <c r="G1344" s="22" t="s">
        <v>471</v>
      </c>
      <c r="H1344" s="23" t="n">
        <f aca="false">COUNTIF(CAL!U:AF,B1344)</f>
        <v>1</v>
      </c>
      <c r="I1344" s="22" t="n">
        <v>4</v>
      </c>
      <c r="J1344" s="20"/>
    </row>
    <row r="1345" customFormat="false" ht="15.75" hidden="false" customHeight="true" outlineLevel="0" collapsed="false">
      <c r="B1345" s="19" t="n">
        <v>1290</v>
      </c>
      <c r="C1345" s="20" t="s">
        <v>3126</v>
      </c>
      <c r="D1345" s="20" t="s">
        <v>176</v>
      </c>
      <c r="E1345" s="21" t="s">
        <v>3127</v>
      </c>
      <c r="F1345" s="21" t="n">
        <v>34701</v>
      </c>
      <c r="G1345" s="22" t="s">
        <v>471</v>
      </c>
      <c r="H1345" s="23" t="n">
        <f aca="false">COUNTIF(CAL!U:AF,B1345)</f>
        <v>1</v>
      </c>
      <c r="I1345" s="22" t="n">
        <v>4</v>
      </c>
      <c r="J1345" s="20"/>
    </row>
    <row r="1346" customFormat="false" ht="15.75" hidden="false" customHeight="true" outlineLevel="0" collapsed="false">
      <c r="B1346" s="19" t="n">
        <v>2411</v>
      </c>
      <c r="C1346" s="20" t="s">
        <v>3128</v>
      </c>
      <c r="D1346" s="20" t="s">
        <v>171</v>
      </c>
      <c r="E1346" s="21" t="s">
        <v>3129</v>
      </c>
      <c r="F1346" s="21" t="n">
        <v>34604</v>
      </c>
      <c r="G1346" s="22" t="s">
        <v>471</v>
      </c>
      <c r="H1346" s="23" t="n">
        <f aca="false">COUNTIF(CAL!U:AF,B1346)</f>
        <v>1</v>
      </c>
      <c r="I1346" s="22" t="n">
        <v>4</v>
      </c>
      <c r="J1346" s="20"/>
    </row>
    <row r="1347" customFormat="false" ht="15.75" hidden="false" customHeight="true" outlineLevel="0" collapsed="false">
      <c r="B1347" s="19" t="n">
        <v>2003</v>
      </c>
      <c r="C1347" s="20" t="s">
        <v>3130</v>
      </c>
      <c r="D1347" s="20" t="s">
        <v>192</v>
      </c>
      <c r="E1347" s="21" t="s">
        <v>3131</v>
      </c>
      <c r="F1347" s="21" t="n">
        <v>37761</v>
      </c>
      <c r="G1347" s="22" t="s">
        <v>471</v>
      </c>
      <c r="H1347" s="23" t="n">
        <f aca="false">COUNTIF(CAL!U:AF,B1347)</f>
        <v>1</v>
      </c>
      <c r="I1347" s="22" t="n">
        <v>4</v>
      </c>
      <c r="J1347" s="20"/>
    </row>
    <row r="1348" customFormat="false" ht="15.75" hidden="false" customHeight="true" outlineLevel="0" collapsed="false">
      <c r="B1348" s="19" t="n">
        <v>2211</v>
      </c>
      <c r="C1348" s="20" t="s">
        <v>786</v>
      </c>
      <c r="D1348" s="20" t="s">
        <v>191</v>
      </c>
      <c r="E1348" s="21" t="s">
        <v>3132</v>
      </c>
      <c r="F1348" s="21" t="n">
        <v>34750</v>
      </c>
      <c r="G1348" s="22" t="s">
        <v>471</v>
      </c>
      <c r="H1348" s="23" t="n">
        <f aca="false">COUNTIF(CAL!U:AF,B1348)</f>
        <v>1</v>
      </c>
      <c r="I1348" s="22" t="n">
        <v>4</v>
      </c>
      <c r="J1348" s="20"/>
    </row>
    <row r="1349" customFormat="false" ht="15.75" hidden="false" customHeight="true" outlineLevel="0" collapsed="false">
      <c r="B1349" s="19" t="n">
        <v>2260</v>
      </c>
      <c r="C1349" s="20" t="s">
        <v>3133</v>
      </c>
      <c r="D1349" s="20" t="s">
        <v>352</v>
      </c>
      <c r="E1349" s="21" t="s">
        <v>3134</v>
      </c>
      <c r="F1349" s="21" t="n">
        <v>38431</v>
      </c>
      <c r="G1349" s="22" t="s">
        <v>471</v>
      </c>
      <c r="H1349" s="23" t="n">
        <f aca="false">COUNTIF(CAL!U:AF,B1349)</f>
        <v>1</v>
      </c>
      <c r="I1349" s="22" t="n">
        <v>4</v>
      </c>
      <c r="J1349" s="20"/>
    </row>
    <row r="1350" customFormat="false" ht="15.75" hidden="false" customHeight="true" outlineLevel="0" collapsed="false">
      <c r="B1350" s="19" t="n">
        <v>3059</v>
      </c>
      <c r="C1350" s="20" t="s">
        <v>3135</v>
      </c>
      <c r="D1350" s="20" t="s">
        <v>197</v>
      </c>
      <c r="E1350" s="21" t="s">
        <v>3136</v>
      </c>
      <c r="F1350" s="21" t="n">
        <v>38910</v>
      </c>
      <c r="G1350" s="22" t="s">
        <v>2529</v>
      </c>
      <c r="H1350" s="23" t="n">
        <f aca="false">COUNTIF(CAL!U:AF,B1350)</f>
        <v>1</v>
      </c>
      <c r="I1350" s="22" t="n">
        <v>4</v>
      </c>
      <c r="J1350" s="20"/>
    </row>
    <row r="1351" customFormat="false" ht="15.75" hidden="false" customHeight="true" outlineLevel="0" collapsed="false">
      <c r="B1351" s="19" t="n">
        <v>2179</v>
      </c>
      <c r="C1351" s="20" t="s">
        <v>3137</v>
      </c>
      <c r="D1351" s="20" t="s">
        <v>232</v>
      </c>
      <c r="E1351" s="21" t="s">
        <v>3138</v>
      </c>
      <c r="F1351" s="21" t="n">
        <v>32698</v>
      </c>
      <c r="G1351" s="22" t="s">
        <v>471</v>
      </c>
      <c r="H1351" s="23" t="n">
        <f aca="false">COUNTIF(CAL!U:AF,B1351)</f>
        <v>1</v>
      </c>
      <c r="I1351" s="22" t="n">
        <v>4</v>
      </c>
      <c r="J1351" s="20"/>
    </row>
    <row r="1352" customFormat="false" ht="15.75" hidden="false" customHeight="true" outlineLevel="0" collapsed="false">
      <c r="B1352" s="19" t="n">
        <v>2101</v>
      </c>
      <c r="C1352" s="20" t="s">
        <v>3139</v>
      </c>
      <c r="D1352" s="20" t="s">
        <v>73</v>
      </c>
      <c r="E1352" s="21" t="s">
        <v>3140</v>
      </c>
      <c r="F1352" s="21" t="n">
        <v>39523</v>
      </c>
      <c r="G1352" s="22" t="s">
        <v>471</v>
      </c>
      <c r="H1352" s="23" t="n">
        <f aca="false">COUNTIF(CAL!U:AF,B1352)</f>
        <v>1</v>
      </c>
      <c r="I1352" s="22" t="n">
        <v>4</v>
      </c>
      <c r="J1352" s="20"/>
    </row>
    <row r="1353" customFormat="false" ht="15.75" hidden="false" customHeight="true" outlineLevel="0" collapsed="false">
      <c r="B1353" s="19" t="n">
        <v>1262</v>
      </c>
      <c r="C1353" s="20" t="s">
        <v>2339</v>
      </c>
      <c r="D1353" s="20" t="s">
        <v>118</v>
      </c>
      <c r="E1353" s="21" t="s">
        <v>3141</v>
      </c>
      <c r="F1353" s="21" t="n">
        <v>37146</v>
      </c>
      <c r="G1353" s="22" t="s">
        <v>471</v>
      </c>
      <c r="H1353" s="23" t="n">
        <f aca="false">COUNTIF(CAL!U:AF,B1353)</f>
        <v>1</v>
      </c>
      <c r="I1353" s="22" t="n">
        <v>4</v>
      </c>
      <c r="J1353" s="20"/>
    </row>
    <row r="1354" customFormat="false" ht="15.75" hidden="false" customHeight="true" outlineLevel="0" collapsed="false">
      <c r="B1354" s="19" t="n">
        <v>2829</v>
      </c>
      <c r="C1354" s="20" t="s">
        <v>2339</v>
      </c>
      <c r="D1354" s="20" t="s">
        <v>230</v>
      </c>
      <c r="E1354" s="21" t="s">
        <v>3142</v>
      </c>
      <c r="F1354" s="21" t="n">
        <v>36135</v>
      </c>
      <c r="G1354" s="22" t="s">
        <v>471</v>
      </c>
      <c r="H1354" s="23" t="n">
        <f aca="false">COUNTIF(CAL!U:AF,B1354)</f>
        <v>1</v>
      </c>
      <c r="I1354" s="22" t="n">
        <v>4</v>
      </c>
      <c r="J1354" s="20"/>
    </row>
    <row r="1355" customFormat="false" ht="15.75" hidden="false" customHeight="true" outlineLevel="0" collapsed="false">
      <c r="B1355" s="19" t="n">
        <v>2633</v>
      </c>
      <c r="C1355" s="20" t="s">
        <v>3143</v>
      </c>
      <c r="D1355" s="20" t="s">
        <v>393</v>
      </c>
      <c r="E1355" s="21" t="s">
        <v>3144</v>
      </c>
      <c r="F1355" s="21" t="n">
        <v>35321</v>
      </c>
      <c r="G1355" s="22" t="s">
        <v>471</v>
      </c>
      <c r="H1355" s="23" t="n">
        <f aca="false">COUNTIF(CAL!U:AF,B1355)</f>
        <v>1</v>
      </c>
      <c r="I1355" s="22" t="n">
        <v>4</v>
      </c>
      <c r="J1355" s="20" t="s">
        <v>3145</v>
      </c>
    </row>
    <row r="1356" customFormat="false" ht="15.75" hidden="false" customHeight="true" outlineLevel="0" collapsed="false">
      <c r="B1356" s="19" t="n">
        <v>2787</v>
      </c>
      <c r="C1356" s="20" t="s">
        <v>3146</v>
      </c>
      <c r="D1356" s="20" t="s">
        <v>255</v>
      </c>
      <c r="E1356" s="24" t="s">
        <v>3147</v>
      </c>
      <c r="F1356" s="21" t="n">
        <v>35380</v>
      </c>
      <c r="G1356" s="22" t="s">
        <v>1000</v>
      </c>
      <c r="H1356" s="23" t="n">
        <f aca="false">COUNTIF(CAL!U:AF,B1356)</f>
        <v>1</v>
      </c>
      <c r="I1356" s="22" t="n">
        <v>4</v>
      </c>
      <c r="J1356" s="20"/>
    </row>
    <row r="1357" customFormat="false" ht="15.75" hidden="false" customHeight="true" outlineLevel="0" collapsed="false">
      <c r="B1357" s="19" t="n">
        <v>2574</v>
      </c>
      <c r="C1357" s="20" t="s">
        <v>3148</v>
      </c>
      <c r="D1357" s="20" t="s">
        <v>172</v>
      </c>
      <c r="E1357" s="21" t="s">
        <v>3149</v>
      </c>
      <c r="F1357" s="21" t="n">
        <v>33250</v>
      </c>
      <c r="G1357" s="22" t="s">
        <v>471</v>
      </c>
      <c r="H1357" s="23" t="n">
        <f aca="false">COUNTIF(CAL!U:AF,B1357)</f>
        <v>1</v>
      </c>
      <c r="I1357" s="22" t="n">
        <v>4</v>
      </c>
      <c r="J1357" s="20"/>
    </row>
    <row r="1358" customFormat="false" ht="15.75" hidden="false" customHeight="true" outlineLevel="0" collapsed="false">
      <c r="B1358" s="19" t="n">
        <v>3060</v>
      </c>
      <c r="C1358" s="20" t="s">
        <v>3150</v>
      </c>
      <c r="D1358" s="20" t="s">
        <v>393</v>
      </c>
      <c r="E1358" s="24" t="s">
        <v>3151</v>
      </c>
      <c r="F1358" s="21" t="n">
        <v>33819</v>
      </c>
      <c r="G1358" s="22" t="s">
        <v>471</v>
      </c>
      <c r="H1358" s="23" t="n">
        <f aca="false">COUNTIF(CAL!U:AF,B1358)</f>
        <v>1</v>
      </c>
      <c r="I1358" s="22" t="n">
        <v>4</v>
      </c>
      <c r="J1358" s="20"/>
    </row>
    <row r="1359" customFormat="false" ht="15.75" hidden="false" customHeight="true" outlineLevel="0" collapsed="false">
      <c r="B1359" s="19" t="n">
        <v>2638</v>
      </c>
      <c r="C1359" s="20" t="s">
        <v>3152</v>
      </c>
      <c r="D1359" s="20" t="s">
        <v>303</v>
      </c>
      <c r="E1359" s="21" t="s">
        <v>3153</v>
      </c>
      <c r="F1359" s="21" t="n">
        <v>37276</v>
      </c>
      <c r="G1359" s="22" t="s">
        <v>471</v>
      </c>
      <c r="H1359" s="23" t="n">
        <f aca="false">COUNTIF(CAL!U:AF,B1359)</f>
        <v>1</v>
      </c>
      <c r="I1359" s="22" t="n">
        <v>4</v>
      </c>
      <c r="J1359" s="20"/>
    </row>
    <row r="1360" customFormat="false" ht="15.75" hidden="false" customHeight="true" outlineLevel="0" collapsed="false">
      <c r="B1360" s="19" t="n">
        <v>2760</v>
      </c>
      <c r="C1360" s="20" t="s">
        <v>3154</v>
      </c>
      <c r="D1360" s="20" t="s">
        <v>218</v>
      </c>
      <c r="E1360" s="24" t="s">
        <v>3155</v>
      </c>
      <c r="F1360" s="21" t="n">
        <v>35512</v>
      </c>
      <c r="G1360" s="22" t="s">
        <v>471</v>
      </c>
      <c r="H1360" s="23" t="n">
        <f aca="false">COUNTIF(CAL!U:AF,B1360)</f>
        <v>1</v>
      </c>
      <c r="I1360" s="22" t="n">
        <v>4</v>
      </c>
      <c r="J1360" s="20"/>
    </row>
    <row r="1361" customFormat="false" ht="15.75" hidden="false" customHeight="true" outlineLevel="0" collapsed="false">
      <c r="B1361" s="19" t="n">
        <v>2056</v>
      </c>
      <c r="C1361" s="20" t="s">
        <v>3156</v>
      </c>
      <c r="D1361" s="20" t="s">
        <v>336</v>
      </c>
      <c r="E1361" s="21" t="s">
        <v>3157</v>
      </c>
      <c r="F1361" s="21" t="n">
        <v>35960</v>
      </c>
      <c r="G1361" s="22" t="s">
        <v>471</v>
      </c>
      <c r="H1361" s="23" t="n">
        <f aca="false">COUNTIF(CAL!U:AF,B1361)</f>
        <v>1</v>
      </c>
      <c r="I1361" s="22" t="n">
        <v>4</v>
      </c>
      <c r="J1361" s="20"/>
    </row>
    <row r="1362" customFormat="false" ht="15.75" hidden="false" customHeight="true" outlineLevel="0" collapsed="false">
      <c r="B1362" s="19" t="n">
        <v>3169</v>
      </c>
      <c r="C1362" s="20" t="s">
        <v>3158</v>
      </c>
      <c r="D1362" s="20" t="s">
        <v>216</v>
      </c>
      <c r="E1362" s="21" t="s">
        <v>3159</v>
      </c>
      <c r="F1362" s="21" t="n">
        <v>37722</v>
      </c>
      <c r="G1362" s="22" t="s">
        <v>471</v>
      </c>
      <c r="H1362" s="23" t="n">
        <f aca="false">COUNTIF(CAL!U:AF,B1362)</f>
        <v>1</v>
      </c>
      <c r="I1362" s="22" t="n">
        <v>4</v>
      </c>
      <c r="J1362" s="20"/>
    </row>
    <row r="1363" customFormat="false" ht="15.75" hidden="false" customHeight="true" outlineLevel="0" collapsed="false">
      <c r="B1363" s="19" t="n">
        <v>1041</v>
      </c>
      <c r="C1363" s="20" t="s">
        <v>3160</v>
      </c>
      <c r="D1363" s="20" t="s">
        <v>433</v>
      </c>
      <c r="E1363" s="24" t="s">
        <v>3161</v>
      </c>
      <c r="F1363" s="21" t="n">
        <v>34681</v>
      </c>
      <c r="G1363" s="22" t="s">
        <v>471</v>
      </c>
      <c r="H1363" s="23" t="n">
        <f aca="false">COUNTIF(CAL!U:AF,B1363)</f>
        <v>1</v>
      </c>
      <c r="I1363" s="22" t="n">
        <v>4</v>
      </c>
      <c r="J1363" s="20" t="s">
        <v>2313</v>
      </c>
    </row>
    <row r="1364" customFormat="false" ht="15.75" hidden="false" customHeight="true" outlineLevel="0" collapsed="false">
      <c r="B1364" s="19" t="n">
        <v>3561</v>
      </c>
      <c r="C1364" s="20" t="s">
        <v>3162</v>
      </c>
      <c r="D1364" s="20" t="s">
        <v>32</v>
      </c>
      <c r="E1364" s="24" t="s">
        <v>3163</v>
      </c>
      <c r="F1364" s="21" t="n">
        <v>36168</v>
      </c>
      <c r="G1364" s="22" t="s">
        <v>471</v>
      </c>
      <c r="H1364" s="23" t="n">
        <f aca="false">COUNTIF(CAL!U:AF,B1364)</f>
        <v>1</v>
      </c>
      <c r="I1364" s="22" t="n">
        <v>4</v>
      </c>
      <c r="J1364" s="20"/>
    </row>
    <row r="1365" customFormat="false" ht="15.75" hidden="false" customHeight="true" outlineLevel="0" collapsed="false">
      <c r="B1365" s="19" t="n">
        <v>1919</v>
      </c>
      <c r="C1365" s="20" t="s">
        <v>1091</v>
      </c>
      <c r="D1365" s="20" t="s">
        <v>211</v>
      </c>
      <c r="E1365" s="21" t="s">
        <v>3164</v>
      </c>
      <c r="F1365" s="21" t="n">
        <v>37640</v>
      </c>
      <c r="G1365" s="22" t="s">
        <v>471</v>
      </c>
      <c r="H1365" s="23" t="n">
        <f aca="false">COUNTIF(CAL!U:AF,B1365)</f>
        <v>1</v>
      </c>
      <c r="I1365" s="22" t="n">
        <v>4</v>
      </c>
      <c r="J1365" s="20"/>
    </row>
    <row r="1366" customFormat="false" ht="15.75" hidden="false" customHeight="true" outlineLevel="0" collapsed="false">
      <c r="B1366" s="19" t="n">
        <v>3414</v>
      </c>
      <c r="C1366" s="20" t="s">
        <v>1091</v>
      </c>
      <c r="D1366" s="20" t="s">
        <v>382</v>
      </c>
      <c r="E1366" s="21" t="s">
        <v>3165</v>
      </c>
      <c r="F1366" s="21" t="n">
        <v>38950</v>
      </c>
      <c r="G1366" s="22" t="s">
        <v>471</v>
      </c>
      <c r="H1366" s="23" t="n">
        <f aca="false">COUNTIF(CAL!U:AF,B1366)</f>
        <v>1</v>
      </c>
      <c r="I1366" s="22" t="n">
        <v>4</v>
      </c>
      <c r="J1366" s="20"/>
    </row>
    <row r="1367" customFormat="false" ht="15.75" hidden="false" customHeight="true" outlineLevel="0" collapsed="false">
      <c r="B1367" s="19" t="n">
        <v>1100</v>
      </c>
      <c r="C1367" s="20" t="s">
        <v>3166</v>
      </c>
      <c r="D1367" s="20" t="s">
        <v>129</v>
      </c>
      <c r="E1367" s="21" t="s">
        <v>3167</v>
      </c>
      <c r="F1367" s="21" t="n">
        <v>36786</v>
      </c>
      <c r="G1367" s="22" t="s">
        <v>471</v>
      </c>
      <c r="H1367" s="23" t="n">
        <f aca="false">COUNTIF(CAL!U:AF,B1367)</f>
        <v>1</v>
      </c>
      <c r="I1367" s="22" t="n">
        <v>4</v>
      </c>
      <c r="J1367" s="20"/>
    </row>
    <row r="1368" customFormat="false" ht="15.75" hidden="false" customHeight="true" outlineLevel="0" collapsed="false">
      <c r="B1368" s="19" t="n">
        <v>3365</v>
      </c>
      <c r="C1368" s="20" t="s">
        <v>1886</v>
      </c>
      <c r="D1368" s="20" t="s">
        <v>381</v>
      </c>
      <c r="E1368" s="21" t="s">
        <v>3168</v>
      </c>
      <c r="F1368" s="21" t="n">
        <v>39296</v>
      </c>
      <c r="G1368" s="22" t="s">
        <v>471</v>
      </c>
      <c r="H1368" s="23" t="n">
        <f aca="false">COUNTIF(CAL!U:AF,B1368)</f>
        <v>1</v>
      </c>
      <c r="I1368" s="22" t="n">
        <v>4</v>
      </c>
      <c r="J1368" s="20"/>
    </row>
    <row r="1369" customFormat="false" ht="15.75" hidden="false" customHeight="true" outlineLevel="0" collapsed="false">
      <c r="B1369" s="19" t="n">
        <v>3342</v>
      </c>
      <c r="C1369" s="20" t="s">
        <v>3169</v>
      </c>
      <c r="D1369" s="20" t="s">
        <v>285</v>
      </c>
      <c r="E1369" s="21" t="s">
        <v>3170</v>
      </c>
      <c r="F1369" s="21" t="n">
        <v>38198</v>
      </c>
      <c r="G1369" s="22" t="s">
        <v>471</v>
      </c>
      <c r="H1369" s="23" t="n">
        <f aca="false">COUNTIF(CAL!U:AF,B1369)</f>
        <v>1</v>
      </c>
      <c r="I1369" s="22" t="n">
        <v>4</v>
      </c>
      <c r="J1369" s="20"/>
    </row>
    <row r="1370" customFormat="false" ht="15.75" hidden="false" customHeight="true" outlineLevel="0" collapsed="false">
      <c r="B1370" s="19" t="n">
        <v>3356</v>
      </c>
      <c r="C1370" s="20" t="s">
        <v>3171</v>
      </c>
      <c r="D1370" s="20" t="s">
        <v>415</v>
      </c>
      <c r="E1370" s="24" t="s">
        <v>3172</v>
      </c>
      <c r="F1370" s="21" t="n">
        <v>38026</v>
      </c>
      <c r="G1370" s="22" t="s">
        <v>770</v>
      </c>
      <c r="H1370" s="23" t="n">
        <f aca="false">COUNTIF(CAL!U:AF,B1370)</f>
        <v>1</v>
      </c>
      <c r="I1370" s="22" t="n">
        <v>5</v>
      </c>
      <c r="J1370" s="20"/>
    </row>
    <row r="1371" customFormat="false" ht="15.75" hidden="false" customHeight="true" outlineLevel="0" collapsed="false">
      <c r="B1371" s="19" t="n">
        <v>3554</v>
      </c>
      <c r="C1371" s="20" t="s">
        <v>3173</v>
      </c>
      <c r="D1371" s="20" t="s">
        <v>143</v>
      </c>
      <c r="E1371" s="21" t="s">
        <v>3174</v>
      </c>
      <c r="F1371" s="21" t="n">
        <v>32520</v>
      </c>
      <c r="G1371" s="22" t="s">
        <v>471</v>
      </c>
      <c r="H1371" s="23" t="n">
        <f aca="false">COUNTIF(CAL!U:AF,B1371)</f>
        <v>1</v>
      </c>
      <c r="I1371" s="22" t="n">
        <v>5</v>
      </c>
      <c r="J1371" s="20"/>
    </row>
    <row r="1372" customFormat="false" ht="15.75" hidden="false" customHeight="true" outlineLevel="0" collapsed="false">
      <c r="B1372" s="19" t="n">
        <v>2947</v>
      </c>
      <c r="C1372" s="20" t="s">
        <v>3175</v>
      </c>
      <c r="D1372" s="20" t="s">
        <v>359</v>
      </c>
      <c r="E1372" s="24" t="s">
        <v>3176</v>
      </c>
      <c r="F1372" s="21" t="n">
        <v>34680</v>
      </c>
      <c r="G1372" s="22" t="s">
        <v>471</v>
      </c>
      <c r="H1372" s="23" t="n">
        <f aca="false">COUNTIF(CAL!U:AF,B1372)</f>
        <v>1</v>
      </c>
      <c r="I1372" s="22" t="n">
        <v>5</v>
      </c>
      <c r="J1372" s="20"/>
    </row>
    <row r="1373" customFormat="false" ht="15.75" hidden="false" customHeight="true" outlineLevel="0" collapsed="false">
      <c r="B1373" s="19" t="n">
        <v>2726</v>
      </c>
      <c r="C1373" s="20" t="s">
        <v>3177</v>
      </c>
      <c r="D1373" s="20" t="s">
        <v>241</v>
      </c>
      <c r="E1373" s="21" t="s">
        <v>3178</v>
      </c>
      <c r="F1373" s="21" t="n">
        <v>37440</v>
      </c>
      <c r="G1373" s="22" t="s">
        <v>471</v>
      </c>
      <c r="H1373" s="23" t="n">
        <f aca="false">COUNTIF(CAL!U:AF,B1373)</f>
        <v>1</v>
      </c>
      <c r="I1373" s="22" t="n">
        <v>5</v>
      </c>
      <c r="J1373" s="20"/>
    </row>
    <row r="1374" customFormat="false" ht="15.75" hidden="false" customHeight="true" outlineLevel="0" collapsed="false">
      <c r="B1374" s="19" t="n">
        <v>3450</v>
      </c>
      <c r="C1374" s="20" t="s">
        <v>3179</v>
      </c>
      <c r="D1374" s="20" t="s">
        <v>428</v>
      </c>
      <c r="E1374" s="21" t="s">
        <v>3180</v>
      </c>
      <c r="F1374" s="21" t="n">
        <v>38654</v>
      </c>
      <c r="G1374" s="22" t="s">
        <v>471</v>
      </c>
      <c r="H1374" s="23" t="n">
        <f aca="false">COUNTIF(CAL!U:AF,B1374)</f>
        <v>1</v>
      </c>
      <c r="I1374" s="22" t="n">
        <v>5</v>
      </c>
      <c r="J1374" s="20"/>
    </row>
    <row r="1375" customFormat="false" ht="15.75" hidden="false" customHeight="true" outlineLevel="0" collapsed="false">
      <c r="B1375" s="19" t="n">
        <v>2201</v>
      </c>
      <c r="C1375" s="20" t="s">
        <v>3181</v>
      </c>
      <c r="D1375" s="20" t="s">
        <v>3182</v>
      </c>
      <c r="E1375" s="21" t="s">
        <v>3183</v>
      </c>
      <c r="F1375" s="21" t="n">
        <v>37338</v>
      </c>
      <c r="G1375" s="22" t="s">
        <v>471</v>
      </c>
      <c r="H1375" s="23" t="n">
        <f aca="false">COUNTIF(CAL!U:AF,B1375)</f>
        <v>1</v>
      </c>
      <c r="I1375" s="22" t="n">
        <v>5</v>
      </c>
      <c r="J1375" s="20" t="s">
        <v>3184</v>
      </c>
    </row>
    <row r="1376" customFormat="false" ht="15.75" hidden="false" customHeight="true" outlineLevel="0" collapsed="false">
      <c r="B1376" s="19" t="n">
        <v>3177</v>
      </c>
      <c r="C1376" s="20" t="s">
        <v>3185</v>
      </c>
      <c r="D1376" s="20" t="s">
        <v>198</v>
      </c>
      <c r="E1376" s="21" t="s">
        <v>3186</v>
      </c>
      <c r="F1376" s="21" t="n">
        <v>34303</v>
      </c>
      <c r="G1376" s="22" t="s">
        <v>471</v>
      </c>
      <c r="H1376" s="23" t="n">
        <f aca="false">COUNTIF(CAL!U:AF,B1376)</f>
        <v>1</v>
      </c>
      <c r="I1376" s="22" t="n">
        <v>5</v>
      </c>
      <c r="J1376" s="20"/>
    </row>
    <row r="1377" customFormat="false" ht="15.75" hidden="false" customHeight="true" outlineLevel="0" collapsed="false">
      <c r="B1377" s="19" t="n">
        <v>3525</v>
      </c>
      <c r="C1377" s="20" t="s">
        <v>3187</v>
      </c>
      <c r="D1377" s="20" t="s">
        <v>416</v>
      </c>
      <c r="E1377" s="21" t="s">
        <v>3188</v>
      </c>
      <c r="F1377" s="21" t="n">
        <v>36937</v>
      </c>
      <c r="G1377" s="22" t="s">
        <v>471</v>
      </c>
      <c r="H1377" s="23" t="n">
        <f aca="false">COUNTIF(CAL!U:AF,B1377)</f>
        <v>1</v>
      </c>
      <c r="I1377" s="22" t="n">
        <v>5</v>
      </c>
      <c r="J1377" s="20"/>
    </row>
    <row r="1378" customFormat="false" ht="15.75" hidden="false" customHeight="true" outlineLevel="0" collapsed="false">
      <c r="B1378" s="19" t="n">
        <v>1376</v>
      </c>
      <c r="C1378" s="20" t="s">
        <v>3189</v>
      </c>
      <c r="D1378" s="20" t="s">
        <v>186</v>
      </c>
      <c r="E1378" s="21" t="s">
        <v>3190</v>
      </c>
      <c r="F1378" s="21" t="n">
        <v>39154</v>
      </c>
      <c r="G1378" s="22" t="s">
        <v>471</v>
      </c>
      <c r="H1378" s="23" t="n">
        <f aca="false">COUNTIF(CAL!U:AF,B1378)</f>
        <v>1</v>
      </c>
      <c r="I1378" s="22" t="n">
        <v>5</v>
      </c>
      <c r="J1378" s="20"/>
    </row>
    <row r="1379" customFormat="false" ht="15.75" hidden="false" customHeight="true" outlineLevel="0" collapsed="false">
      <c r="B1379" s="19" t="n">
        <v>2206</v>
      </c>
      <c r="C1379" s="20" t="s">
        <v>3191</v>
      </c>
      <c r="D1379" s="20" t="s">
        <v>111</v>
      </c>
      <c r="E1379" s="21" t="s">
        <v>3192</v>
      </c>
      <c r="F1379" s="21" t="n">
        <v>35918</v>
      </c>
      <c r="G1379" s="22" t="s">
        <v>471</v>
      </c>
      <c r="H1379" s="23" t="n">
        <f aca="false">COUNTIF(CAL!U:AF,B1379)</f>
        <v>1</v>
      </c>
      <c r="I1379" s="22" t="n">
        <v>5</v>
      </c>
      <c r="J1379" s="20"/>
    </row>
    <row r="1380" customFormat="false" ht="15.75" hidden="false" customHeight="true" outlineLevel="0" collapsed="false">
      <c r="B1380" s="19" t="n">
        <v>3511</v>
      </c>
      <c r="C1380" s="20" t="s">
        <v>3193</v>
      </c>
      <c r="D1380" s="20" t="s">
        <v>368</v>
      </c>
      <c r="E1380" s="21" t="s">
        <v>3194</v>
      </c>
      <c r="F1380" s="21" t="n">
        <v>38609</v>
      </c>
      <c r="G1380" s="22" t="s">
        <v>471</v>
      </c>
      <c r="H1380" s="23" t="n">
        <f aca="false">COUNTIF(CAL!U:AF,B1380)</f>
        <v>1</v>
      </c>
      <c r="I1380" s="22" t="n">
        <v>5</v>
      </c>
      <c r="J1380" s="20"/>
    </row>
    <row r="1381" customFormat="false" ht="15.75" hidden="false" customHeight="true" outlineLevel="0" collapsed="false">
      <c r="B1381" s="19" t="n">
        <v>2602</v>
      </c>
      <c r="C1381" s="20" t="s">
        <v>3195</v>
      </c>
      <c r="D1381" s="20" t="s">
        <v>314</v>
      </c>
      <c r="E1381" s="24" t="s">
        <v>3196</v>
      </c>
      <c r="F1381" s="21" t="n">
        <v>37406</v>
      </c>
      <c r="G1381" s="22" t="s">
        <v>471</v>
      </c>
      <c r="H1381" s="23" t="n">
        <f aca="false">COUNTIF(CAL!U:AF,B1381)</f>
        <v>1</v>
      </c>
      <c r="I1381" s="22" t="n">
        <v>5</v>
      </c>
      <c r="J1381" s="20"/>
    </row>
    <row r="1382" customFormat="false" ht="15.75" hidden="false" customHeight="true" outlineLevel="0" collapsed="false">
      <c r="B1382" s="19" t="n">
        <v>2799</v>
      </c>
      <c r="C1382" s="20" t="s">
        <v>3197</v>
      </c>
      <c r="D1382" s="20" t="s">
        <v>329</v>
      </c>
      <c r="E1382" s="21" t="s">
        <v>3197</v>
      </c>
      <c r="F1382" s="21" t="n">
        <v>36665</v>
      </c>
      <c r="G1382" s="22" t="s">
        <v>471</v>
      </c>
      <c r="H1382" s="23" t="n">
        <f aca="false">COUNTIF(CAL!U:AF,B1382)</f>
        <v>1</v>
      </c>
      <c r="I1382" s="22" t="n">
        <v>5</v>
      </c>
      <c r="J1382" s="20"/>
    </row>
    <row r="1383" customFormat="false" ht="15.75" hidden="false" customHeight="true" outlineLevel="0" collapsed="false">
      <c r="B1383" s="19" t="n">
        <v>3204</v>
      </c>
      <c r="C1383" s="20" t="s">
        <v>3198</v>
      </c>
      <c r="D1383" s="20" t="s">
        <v>376</v>
      </c>
      <c r="E1383" s="21" t="s">
        <v>3199</v>
      </c>
      <c r="F1383" s="21" t="n">
        <v>37441</v>
      </c>
      <c r="G1383" s="22" t="s">
        <v>471</v>
      </c>
      <c r="H1383" s="23" t="n">
        <f aca="false">COUNTIF(CAL!U:AF,B1383)</f>
        <v>1</v>
      </c>
      <c r="I1383" s="22" t="n">
        <v>5</v>
      </c>
      <c r="J1383" s="20"/>
    </row>
    <row r="1384" customFormat="false" ht="15.75" hidden="false" customHeight="true" outlineLevel="0" collapsed="false">
      <c r="B1384" s="19" t="n">
        <v>2537</v>
      </c>
      <c r="C1384" s="20" t="s">
        <v>3200</v>
      </c>
      <c r="D1384" s="20" t="s">
        <v>174</v>
      </c>
      <c r="E1384" s="21" t="s">
        <v>3201</v>
      </c>
      <c r="F1384" s="21" t="n">
        <v>35340</v>
      </c>
      <c r="G1384" s="22" t="s">
        <v>471</v>
      </c>
      <c r="H1384" s="23" t="n">
        <f aca="false">COUNTIF(CAL!U:AF,B1384)</f>
        <v>1</v>
      </c>
      <c r="I1384" s="22" t="n">
        <v>5</v>
      </c>
      <c r="J1384" s="20"/>
    </row>
    <row r="1385" customFormat="false" ht="15.75" hidden="false" customHeight="true" outlineLevel="0" collapsed="false">
      <c r="B1385" s="19" t="n">
        <v>3218</v>
      </c>
      <c r="C1385" s="20" t="s">
        <v>3202</v>
      </c>
      <c r="D1385" s="20" t="s">
        <v>170</v>
      </c>
      <c r="E1385" s="21" t="s">
        <v>3203</v>
      </c>
      <c r="F1385" s="21" t="n">
        <v>38865</v>
      </c>
      <c r="G1385" s="22" t="s">
        <v>471</v>
      </c>
      <c r="H1385" s="23" t="n">
        <f aca="false">COUNTIF(CAL!U:AF,B1385)</f>
        <v>1</v>
      </c>
      <c r="I1385" s="22" t="n">
        <v>5</v>
      </c>
      <c r="J1385" s="20"/>
    </row>
    <row r="1386" customFormat="false" ht="15.75" hidden="false" customHeight="true" outlineLevel="0" collapsed="false">
      <c r="B1386" s="19" t="n">
        <v>2945</v>
      </c>
      <c r="C1386" s="20" t="s">
        <v>1257</v>
      </c>
      <c r="D1386" s="20" t="s">
        <v>303</v>
      </c>
      <c r="E1386" s="24" t="s">
        <v>3204</v>
      </c>
      <c r="F1386" s="21" t="n">
        <v>35473</v>
      </c>
      <c r="G1386" s="22" t="s">
        <v>471</v>
      </c>
      <c r="H1386" s="23" t="n">
        <f aca="false">COUNTIF(CAL!U:AF,B1386)</f>
        <v>1</v>
      </c>
      <c r="I1386" s="22" t="n">
        <v>5</v>
      </c>
      <c r="J1386" s="20"/>
    </row>
    <row r="1387" customFormat="false" ht="15.75" hidden="false" customHeight="true" outlineLevel="0" collapsed="false">
      <c r="B1387" s="19" t="n">
        <v>1256</v>
      </c>
      <c r="C1387" s="20" t="s">
        <v>1480</v>
      </c>
      <c r="D1387" s="20" t="s">
        <v>120</v>
      </c>
      <c r="E1387" s="21" t="s">
        <v>3205</v>
      </c>
      <c r="F1387" s="21" t="n">
        <v>35489</v>
      </c>
      <c r="G1387" s="22" t="s">
        <v>471</v>
      </c>
      <c r="H1387" s="23" t="n">
        <f aca="false">COUNTIF(CAL!U:AF,B1387)</f>
        <v>1</v>
      </c>
      <c r="I1387" s="22" t="n">
        <v>5</v>
      </c>
      <c r="J1387" s="20"/>
    </row>
    <row r="1388" customFormat="false" ht="15.75" hidden="false" customHeight="true" outlineLevel="0" collapsed="false">
      <c r="B1388" s="19" t="n">
        <v>1419</v>
      </c>
      <c r="C1388" s="20" t="s">
        <v>3206</v>
      </c>
      <c r="D1388" s="20" t="s">
        <v>149</v>
      </c>
      <c r="E1388" s="21" t="s">
        <v>3207</v>
      </c>
      <c r="F1388" s="21" t="n">
        <v>35292</v>
      </c>
      <c r="G1388" s="22" t="s">
        <v>481</v>
      </c>
      <c r="H1388" s="23" t="n">
        <f aca="false">COUNTIF(CAL!U:AF,B1388)</f>
        <v>1</v>
      </c>
      <c r="I1388" s="22" t="n">
        <v>5</v>
      </c>
      <c r="J1388" s="20"/>
    </row>
    <row r="1389" customFormat="false" ht="15.75" hidden="false" customHeight="true" outlineLevel="0" collapsed="false">
      <c r="B1389" s="19" t="n">
        <v>1772</v>
      </c>
      <c r="C1389" s="20" t="s">
        <v>1429</v>
      </c>
      <c r="D1389" s="20" t="s">
        <v>57</v>
      </c>
      <c r="E1389" s="24" t="s">
        <v>3208</v>
      </c>
      <c r="F1389" s="21" t="n">
        <v>31789</v>
      </c>
      <c r="G1389" s="22" t="s">
        <v>471</v>
      </c>
      <c r="H1389" s="23" t="n">
        <f aca="false">COUNTIF(CAL!U:AF,B1389)</f>
        <v>1</v>
      </c>
      <c r="I1389" s="22" t="n">
        <v>5</v>
      </c>
      <c r="J1389" s="20" t="s">
        <v>3209</v>
      </c>
    </row>
    <row r="1390" customFormat="false" ht="15.75" hidden="false" customHeight="true" outlineLevel="0" collapsed="false">
      <c r="B1390" s="19" t="n">
        <v>2177</v>
      </c>
      <c r="C1390" s="20" t="s">
        <v>3210</v>
      </c>
      <c r="D1390" s="20" t="s">
        <v>233</v>
      </c>
      <c r="E1390" s="21" t="s">
        <v>3211</v>
      </c>
      <c r="F1390" s="21" t="n">
        <v>38509</v>
      </c>
      <c r="G1390" s="22" t="s">
        <v>471</v>
      </c>
      <c r="H1390" s="23" t="n">
        <f aca="false">COUNTIF(CAL!U:AF,B1390)</f>
        <v>1</v>
      </c>
      <c r="I1390" s="22" t="n">
        <v>5</v>
      </c>
      <c r="J1390" s="20"/>
    </row>
    <row r="1391" customFormat="false" ht="15.75" hidden="false" customHeight="true" outlineLevel="0" collapsed="false">
      <c r="B1391" s="19" t="n">
        <v>3257</v>
      </c>
      <c r="C1391" s="20" t="s">
        <v>3212</v>
      </c>
      <c r="D1391" s="20" t="s">
        <v>365</v>
      </c>
      <c r="E1391" s="21" t="s">
        <v>3213</v>
      </c>
      <c r="F1391" s="21" t="n">
        <v>32611</v>
      </c>
      <c r="G1391" s="22" t="s">
        <v>471</v>
      </c>
      <c r="H1391" s="23" t="n">
        <f aca="false">COUNTIF(CAL!U:AF,B1391)</f>
        <v>1</v>
      </c>
      <c r="I1391" s="22" t="n">
        <v>5</v>
      </c>
      <c r="J1391" s="20"/>
    </row>
    <row r="1392" customFormat="false" ht="15.75" hidden="false" customHeight="true" outlineLevel="0" collapsed="false">
      <c r="B1392" s="19" t="n">
        <v>3592</v>
      </c>
      <c r="C1392" s="20" t="s">
        <v>3214</v>
      </c>
      <c r="D1392" s="20" t="s">
        <v>176</v>
      </c>
      <c r="E1392" s="21" t="s">
        <v>3215</v>
      </c>
      <c r="F1392" s="21" t="n">
        <v>34723</v>
      </c>
      <c r="G1392" s="22" t="s">
        <v>471</v>
      </c>
      <c r="H1392" s="23" t="n">
        <f aca="false">COUNTIF(CAL!U:AF,B1392)</f>
        <v>1</v>
      </c>
      <c r="I1392" s="22" t="n">
        <v>5</v>
      </c>
      <c r="J1392" s="20"/>
    </row>
    <row r="1393" customFormat="false" ht="15.75" hidden="false" customHeight="true" outlineLevel="0" collapsed="false">
      <c r="B1393" s="19" t="n">
        <v>1588</v>
      </c>
      <c r="C1393" s="20" t="s">
        <v>3216</v>
      </c>
      <c r="D1393" s="20" t="s">
        <v>306</v>
      </c>
      <c r="E1393" s="24" t="s">
        <v>3217</v>
      </c>
      <c r="F1393" s="21" t="n">
        <v>33620</v>
      </c>
      <c r="G1393" s="22" t="s">
        <v>471</v>
      </c>
      <c r="H1393" s="23" t="n">
        <f aca="false">COUNTIF(CAL!U:AF,B1393)</f>
        <v>1</v>
      </c>
      <c r="I1393" s="22" t="n">
        <v>5</v>
      </c>
      <c r="J1393" s="20"/>
    </row>
    <row r="1394" customFormat="false" ht="15.75" hidden="false" customHeight="true" outlineLevel="0" collapsed="false">
      <c r="B1394" s="19" t="n">
        <v>2181</v>
      </c>
      <c r="C1394" s="20" t="s">
        <v>3218</v>
      </c>
      <c r="D1394" s="20" t="s">
        <v>118</v>
      </c>
      <c r="E1394" s="21" t="s">
        <v>3219</v>
      </c>
      <c r="F1394" s="21" t="n">
        <v>37851</v>
      </c>
      <c r="G1394" s="22" t="s">
        <v>471</v>
      </c>
      <c r="H1394" s="23" t="n">
        <f aca="false">COUNTIF(CAL!U:AF,B1394)</f>
        <v>1</v>
      </c>
      <c r="I1394" s="22" t="n">
        <v>5</v>
      </c>
      <c r="J1394" s="20"/>
    </row>
    <row r="1395" customFormat="false" ht="15.75" hidden="false" customHeight="true" outlineLevel="0" collapsed="false">
      <c r="B1395" s="19" t="n">
        <v>3530</v>
      </c>
      <c r="C1395" s="20" t="s">
        <v>1679</v>
      </c>
      <c r="D1395" s="20" t="s">
        <v>417</v>
      </c>
      <c r="E1395" s="21" t="s">
        <v>3220</v>
      </c>
      <c r="F1395" s="21" t="n">
        <v>38290</v>
      </c>
      <c r="G1395" s="22" t="s">
        <v>471</v>
      </c>
      <c r="H1395" s="23" t="n">
        <f aca="false">COUNTIF(CAL!U:AF,B1395)</f>
        <v>1</v>
      </c>
      <c r="I1395" s="22" t="n">
        <v>5</v>
      </c>
      <c r="J1395" s="20"/>
    </row>
    <row r="1396" customFormat="false" ht="15.75" hidden="false" customHeight="true" outlineLevel="0" collapsed="false">
      <c r="B1396" s="19" t="n">
        <v>3625</v>
      </c>
      <c r="C1396" s="20" t="s">
        <v>3221</v>
      </c>
      <c r="D1396" s="20" t="s">
        <v>410</v>
      </c>
      <c r="E1396" s="21" t="s">
        <v>3222</v>
      </c>
      <c r="F1396" s="21" t="n">
        <v>34054</v>
      </c>
      <c r="G1396" s="22" t="s">
        <v>471</v>
      </c>
      <c r="H1396" s="23" t="n">
        <f aca="false">COUNTIF(CAL!U:AF,B1396)</f>
        <v>1</v>
      </c>
      <c r="I1396" s="22" t="n">
        <v>5</v>
      </c>
      <c r="J1396" s="20"/>
    </row>
    <row r="1397" customFormat="false" ht="15.75" hidden="false" customHeight="true" outlineLevel="0" collapsed="false">
      <c r="B1397" s="19" t="n">
        <v>2345</v>
      </c>
      <c r="C1397" s="20" t="s">
        <v>3223</v>
      </c>
      <c r="D1397" s="20" t="s">
        <v>228</v>
      </c>
      <c r="E1397" s="21" t="s">
        <v>3224</v>
      </c>
      <c r="F1397" s="21" t="n">
        <v>39341</v>
      </c>
      <c r="G1397" s="22" t="s">
        <v>471</v>
      </c>
      <c r="H1397" s="23" t="n">
        <f aca="false">COUNTIF(CAL!U:AF,B1397)</f>
        <v>1</v>
      </c>
      <c r="I1397" s="22" t="n">
        <v>5</v>
      </c>
      <c r="J1397" s="20"/>
    </row>
    <row r="1398" customFormat="false" ht="15.75" hidden="false" customHeight="true" outlineLevel="0" collapsed="false">
      <c r="B1398" s="19" t="n">
        <v>2026</v>
      </c>
      <c r="C1398" s="20" t="s">
        <v>3225</v>
      </c>
      <c r="D1398" s="20" t="s">
        <v>272</v>
      </c>
      <c r="E1398" s="21" t="s">
        <v>3226</v>
      </c>
      <c r="F1398" s="21" t="n">
        <v>38080</v>
      </c>
      <c r="G1398" s="22" t="s">
        <v>471</v>
      </c>
      <c r="H1398" s="23" t="n">
        <f aca="false">COUNTIF(CAL!U:AF,B1398)</f>
        <v>1</v>
      </c>
      <c r="I1398" s="22" t="n">
        <v>5</v>
      </c>
      <c r="J1398" s="20"/>
    </row>
    <row r="1399" customFormat="false" ht="15.75" hidden="false" customHeight="true" outlineLevel="0" collapsed="false">
      <c r="B1399" s="19" t="n">
        <v>2526</v>
      </c>
      <c r="C1399" s="20" t="s">
        <v>3227</v>
      </c>
      <c r="D1399" s="20" t="s">
        <v>220</v>
      </c>
      <c r="E1399" s="21" t="s">
        <v>3228</v>
      </c>
      <c r="F1399" s="21" t="n">
        <v>36565</v>
      </c>
      <c r="G1399" s="22" t="s">
        <v>471</v>
      </c>
      <c r="H1399" s="23" t="n">
        <f aca="false">COUNTIF(CAL!U:AF,B1399)</f>
        <v>1</v>
      </c>
      <c r="I1399" s="22" t="n">
        <v>5</v>
      </c>
      <c r="J1399" s="20"/>
    </row>
    <row r="1400" customFormat="false" ht="15.75" hidden="false" customHeight="true" outlineLevel="0" collapsed="false">
      <c r="B1400" s="19" t="n">
        <v>2277</v>
      </c>
      <c r="C1400" s="20" t="s">
        <v>980</v>
      </c>
      <c r="D1400" s="20" t="s">
        <v>88</v>
      </c>
      <c r="E1400" s="24" t="s">
        <v>3229</v>
      </c>
      <c r="F1400" s="21" t="n">
        <v>36316</v>
      </c>
      <c r="G1400" s="22" t="s">
        <v>471</v>
      </c>
      <c r="H1400" s="23" t="n">
        <f aca="false">COUNTIF(CAL!U:AF,B1400)</f>
        <v>1</v>
      </c>
      <c r="I1400" s="22" t="n">
        <v>5</v>
      </c>
      <c r="J1400" s="20"/>
    </row>
    <row r="1401" customFormat="false" ht="15.75" hidden="false" customHeight="true" outlineLevel="0" collapsed="false">
      <c r="B1401" s="19" t="n">
        <v>3415</v>
      </c>
      <c r="C1401" s="20" t="s">
        <v>3230</v>
      </c>
      <c r="D1401" s="20" t="s">
        <v>78</v>
      </c>
      <c r="E1401" s="21" t="s">
        <v>3231</v>
      </c>
      <c r="F1401" s="21" t="n">
        <v>39302</v>
      </c>
      <c r="G1401" s="22" t="s">
        <v>471</v>
      </c>
      <c r="H1401" s="23" t="n">
        <f aca="false">COUNTIF(CAL!U:AF,B1401)</f>
        <v>1</v>
      </c>
      <c r="I1401" s="22" t="n">
        <v>5</v>
      </c>
      <c r="J1401" s="20"/>
    </row>
    <row r="1402" customFormat="false" ht="15.75" hidden="false" customHeight="true" outlineLevel="0" collapsed="false">
      <c r="B1402" s="19" t="n">
        <v>1444</v>
      </c>
      <c r="C1402" s="20" t="s">
        <v>3232</v>
      </c>
      <c r="D1402" s="20" t="s">
        <v>202</v>
      </c>
      <c r="E1402" s="21" t="s">
        <v>3233</v>
      </c>
      <c r="F1402" s="21" t="n">
        <v>36347</v>
      </c>
      <c r="G1402" s="22" t="s">
        <v>471</v>
      </c>
      <c r="H1402" s="23" t="n">
        <f aca="false">COUNTIF(CAL!U:AF,B1402)</f>
        <v>1</v>
      </c>
      <c r="I1402" s="22" t="n">
        <v>5</v>
      </c>
      <c r="J1402" s="20"/>
    </row>
    <row r="1403" customFormat="false" ht="15.75" hidden="false" customHeight="true" outlineLevel="0" collapsed="false">
      <c r="B1403" s="19" t="n">
        <v>3390</v>
      </c>
      <c r="C1403" s="20" t="s">
        <v>3234</v>
      </c>
      <c r="D1403" s="20" t="s">
        <v>208</v>
      </c>
      <c r="E1403" s="21" t="s">
        <v>3235</v>
      </c>
      <c r="F1403" s="21" t="n">
        <v>36330</v>
      </c>
      <c r="G1403" s="22" t="s">
        <v>471</v>
      </c>
      <c r="H1403" s="23" t="n">
        <f aca="false">COUNTIF(CAL!U:AF,B1403)</f>
        <v>1</v>
      </c>
      <c r="I1403" s="22" t="n">
        <v>5</v>
      </c>
      <c r="J1403" s="20"/>
    </row>
    <row r="1404" customFormat="false" ht="15.75" hidden="false" customHeight="true" outlineLevel="0" collapsed="false">
      <c r="B1404" s="19" t="n">
        <v>2834</v>
      </c>
      <c r="C1404" s="20" t="s">
        <v>3236</v>
      </c>
      <c r="D1404" s="20" t="s">
        <v>341</v>
      </c>
      <c r="E1404" s="21" t="s">
        <v>3237</v>
      </c>
      <c r="F1404" s="21" t="n">
        <v>35360</v>
      </c>
      <c r="G1404" s="22" t="s">
        <v>471</v>
      </c>
      <c r="H1404" s="23" t="n">
        <f aca="false">COUNTIF(CAL!U:AF,B1404)</f>
        <v>1</v>
      </c>
      <c r="I1404" s="22" t="n">
        <v>5</v>
      </c>
      <c r="J1404" s="20"/>
    </row>
    <row r="1405" customFormat="false" ht="15.75" hidden="false" customHeight="true" outlineLevel="0" collapsed="false">
      <c r="B1405" s="19" t="n">
        <v>3479</v>
      </c>
      <c r="C1405" s="20" t="s">
        <v>3238</v>
      </c>
      <c r="D1405" s="20" t="s">
        <v>415</v>
      </c>
      <c r="E1405" s="21" t="s">
        <v>3239</v>
      </c>
      <c r="F1405" s="21" t="n">
        <v>36425</v>
      </c>
      <c r="G1405" s="22" t="s">
        <v>471</v>
      </c>
      <c r="H1405" s="23" t="n">
        <f aca="false">COUNTIF(CAL!U:AF,B1405)</f>
        <v>1</v>
      </c>
      <c r="I1405" s="22" t="n">
        <v>5</v>
      </c>
      <c r="J1405" s="20"/>
    </row>
    <row r="1406" customFormat="false" ht="15.75" hidden="false" customHeight="true" outlineLevel="0" collapsed="false">
      <c r="B1406" s="19" t="n">
        <v>3329</v>
      </c>
      <c r="C1406" s="20" t="s">
        <v>3240</v>
      </c>
      <c r="D1406" s="20" t="s">
        <v>373</v>
      </c>
      <c r="E1406" s="21" t="s">
        <v>3241</v>
      </c>
      <c r="F1406" s="21" t="n">
        <v>38107</v>
      </c>
      <c r="G1406" s="22" t="s">
        <v>471</v>
      </c>
      <c r="H1406" s="23" t="n">
        <f aca="false">COUNTIF(CAL!U:AF,B1406)</f>
        <v>1</v>
      </c>
      <c r="I1406" s="22" t="n">
        <v>5</v>
      </c>
      <c r="J1406" s="20"/>
    </row>
    <row r="1407" customFormat="false" ht="15.75" hidden="false" customHeight="true" outlineLevel="0" collapsed="false">
      <c r="B1407" s="19" t="n">
        <v>2875</v>
      </c>
      <c r="C1407" s="20" t="s">
        <v>3242</v>
      </c>
      <c r="D1407" s="20" t="s">
        <v>273</v>
      </c>
      <c r="E1407" s="21" t="s">
        <v>3243</v>
      </c>
      <c r="F1407" s="21" t="n">
        <v>33801</v>
      </c>
      <c r="G1407" s="22" t="s">
        <v>471</v>
      </c>
      <c r="H1407" s="23" t="n">
        <f aca="false">COUNTIF(CAL!U:AF,B1407)</f>
        <v>1</v>
      </c>
      <c r="I1407" s="22" t="n">
        <v>5</v>
      </c>
      <c r="J1407" s="20"/>
    </row>
    <row r="1408" customFormat="false" ht="15.75" hidden="false" customHeight="true" outlineLevel="0" collapsed="false">
      <c r="B1408" s="19" t="n">
        <v>1465</v>
      </c>
      <c r="C1408" s="20" t="s">
        <v>3244</v>
      </c>
      <c r="D1408" s="20" t="s">
        <v>277</v>
      </c>
      <c r="E1408" s="21" t="s">
        <v>3245</v>
      </c>
      <c r="F1408" s="21" t="n">
        <v>35686</v>
      </c>
      <c r="G1408" s="22" t="s">
        <v>471</v>
      </c>
      <c r="H1408" s="23" t="n">
        <f aca="false">COUNTIF(CAL!U:AF,B1408)</f>
        <v>1</v>
      </c>
      <c r="I1408" s="22" t="n">
        <v>5</v>
      </c>
      <c r="J1408" s="20"/>
    </row>
    <row r="1409" customFormat="false" ht="15.75" hidden="false" customHeight="true" outlineLevel="0" collapsed="false">
      <c r="B1409" s="19" t="n">
        <v>3613</v>
      </c>
      <c r="C1409" s="20" t="s">
        <v>3246</v>
      </c>
      <c r="D1409" s="20" t="s">
        <v>188</v>
      </c>
      <c r="E1409" s="21" t="s">
        <v>3246</v>
      </c>
      <c r="F1409" s="21" t="n">
        <v>34840</v>
      </c>
      <c r="G1409" s="22" t="s">
        <v>471</v>
      </c>
      <c r="H1409" s="23" t="n">
        <f aca="false">COUNTIF(CAL!U:AF,B1409)</f>
        <v>1</v>
      </c>
      <c r="I1409" s="22" t="n">
        <v>5</v>
      </c>
      <c r="J1409" s="20"/>
    </row>
    <row r="1410" customFormat="false" ht="15.75" hidden="false" customHeight="true" outlineLevel="0" collapsed="false">
      <c r="B1410" s="19" t="n">
        <v>1947</v>
      </c>
      <c r="C1410" s="20" t="s">
        <v>612</v>
      </c>
      <c r="D1410" s="20" t="s">
        <v>99</v>
      </c>
      <c r="E1410" s="21" t="s">
        <v>3247</v>
      </c>
      <c r="F1410" s="21" t="n">
        <v>37276</v>
      </c>
      <c r="G1410" s="22" t="s">
        <v>471</v>
      </c>
      <c r="H1410" s="23" t="n">
        <f aca="false">COUNTIF(CAL!U:AF,B1410)</f>
        <v>1</v>
      </c>
      <c r="I1410" s="22" t="n">
        <v>5</v>
      </c>
      <c r="J1410" s="20"/>
    </row>
    <row r="1411" customFormat="false" ht="15.75" hidden="false" customHeight="true" outlineLevel="0" collapsed="false">
      <c r="B1411" s="19" t="n">
        <v>3300</v>
      </c>
      <c r="C1411" s="20" t="s">
        <v>2478</v>
      </c>
      <c r="D1411" s="20" t="s">
        <v>369</v>
      </c>
      <c r="E1411" s="21" t="s">
        <v>3248</v>
      </c>
      <c r="F1411" s="21" t="n">
        <v>38088</v>
      </c>
      <c r="G1411" s="22" t="s">
        <v>471</v>
      </c>
      <c r="H1411" s="23" t="n">
        <f aca="false">COUNTIF(CAL!U:AF,B1411)</f>
        <v>1</v>
      </c>
      <c r="I1411" s="22" t="n">
        <v>5</v>
      </c>
      <c r="J1411" s="20"/>
    </row>
    <row r="1412" customFormat="false" ht="15.75" hidden="false" customHeight="true" outlineLevel="0" collapsed="false">
      <c r="B1412" s="19" t="n">
        <v>1748</v>
      </c>
      <c r="C1412" s="20" t="s">
        <v>3249</v>
      </c>
      <c r="D1412" s="20" t="s">
        <v>297</v>
      </c>
      <c r="E1412" s="21" t="s">
        <v>3250</v>
      </c>
      <c r="F1412" s="21" t="n">
        <v>35829</v>
      </c>
      <c r="G1412" s="22" t="s">
        <v>471</v>
      </c>
      <c r="H1412" s="23" t="n">
        <f aca="false">COUNTIF(CAL!U:AF,B1412)</f>
        <v>1</v>
      </c>
      <c r="I1412" s="22" t="n">
        <v>5</v>
      </c>
      <c r="J1412" s="20"/>
    </row>
    <row r="1413" customFormat="false" ht="15.75" hidden="false" customHeight="true" outlineLevel="0" collapsed="false">
      <c r="B1413" s="19" t="n">
        <v>3129</v>
      </c>
      <c r="C1413" s="20" t="s">
        <v>3251</v>
      </c>
      <c r="D1413" s="20" t="s">
        <v>288</v>
      </c>
      <c r="E1413" s="21" t="s">
        <v>3252</v>
      </c>
      <c r="F1413" s="21" t="n">
        <v>37138</v>
      </c>
      <c r="G1413" s="22" t="s">
        <v>471</v>
      </c>
      <c r="H1413" s="23" t="n">
        <f aca="false">COUNTIF(CAL!U:AF,B1413)</f>
        <v>1</v>
      </c>
      <c r="I1413" s="22" t="n">
        <v>5</v>
      </c>
      <c r="J1413" s="20"/>
    </row>
    <row r="1414" customFormat="false" ht="15.75" hidden="false" customHeight="true" outlineLevel="0" collapsed="false">
      <c r="B1414" s="19" t="n">
        <v>2824</v>
      </c>
      <c r="C1414" s="20" t="s">
        <v>3253</v>
      </c>
      <c r="D1414" s="20" t="s">
        <v>239</v>
      </c>
      <c r="E1414" s="21" t="s">
        <v>3254</v>
      </c>
      <c r="F1414" s="21" t="n">
        <v>38419</v>
      </c>
      <c r="G1414" s="22" t="s">
        <v>471</v>
      </c>
      <c r="H1414" s="23" t="n">
        <f aca="false">COUNTIF(CAL!U:AF,B1414)</f>
        <v>1</v>
      </c>
      <c r="I1414" s="22" t="n">
        <v>5</v>
      </c>
      <c r="J1414" s="20"/>
    </row>
    <row r="1415" customFormat="false" ht="15.75" hidden="false" customHeight="true" outlineLevel="0" collapsed="false">
      <c r="B1415" s="19" t="n">
        <v>3526</v>
      </c>
      <c r="C1415" s="20" t="s">
        <v>3255</v>
      </c>
      <c r="D1415" s="20" t="s">
        <v>384</v>
      </c>
      <c r="E1415" s="21" t="s">
        <v>3256</v>
      </c>
      <c r="F1415" s="21" t="n">
        <v>36554</v>
      </c>
      <c r="G1415" s="22" t="s">
        <v>471</v>
      </c>
      <c r="H1415" s="23" t="n">
        <f aca="false">COUNTIF(CAL!U:AF,B1415)</f>
        <v>1</v>
      </c>
      <c r="I1415" s="22" t="n">
        <v>5</v>
      </c>
      <c r="J1415" s="20"/>
    </row>
    <row r="1416" customFormat="false" ht="15.75" hidden="false" customHeight="true" outlineLevel="0" collapsed="false">
      <c r="B1416" s="19" t="n">
        <v>2400</v>
      </c>
      <c r="C1416" s="20" t="s">
        <v>3257</v>
      </c>
      <c r="D1416" s="20" t="s">
        <v>188</v>
      </c>
      <c r="E1416" s="21" t="s">
        <v>3258</v>
      </c>
      <c r="F1416" s="21" t="n">
        <v>36953</v>
      </c>
      <c r="G1416" s="22" t="s">
        <v>471</v>
      </c>
      <c r="H1416" s="23" t="n">
        <f aca="false">COUNTIF(CAL!U:AF,B1416)</f>
        <v>1</v>
      </c>
      <c r="I1416" s="22" t="n">
        <v>5</v>
      </c>
      <c r="J1416" s="20"/>
    </row>
    <row r="1417" customFormat="false" ht="15.75" hidden="false" customHeight="true" outlineLevel="0" collapsed="false">
      <c r="B1417" s="19" t="n">
        <v>2102</v>
      </c>
      <c r="C1417" s="20" t="s">
        <v>3259</v>
      </c>
      <c r="D1417" s="20" t="s">
        <v>74</v>
      </c>
      <c r="E1417" s="21" t="s">
        <v>3260</v>
      </c>
      <c r="F1417" s="21" t="n">
        <v>37214</v>
      </c>
      <c r="G1417" s="22" t="s">
        <v>471</v>
      </c>
      <c r="H1417" s="23" t="n">
        <f aca="false">COUNTIF(CAL!U:AF,B1417)</f>
        <v>1</v>
      </c>
      <c r="I1417" s="22" t="n">
        <v>5</v>
      </c>
      <c r="J1417" s="20"/>
    </row>
    <row r="1418" customFormat="false" ht="15.75" hidden="false" customHeight="true" outlineLevel="0" collapsed="false">
      <c r="B1418" s="19" t="n">
        <v>3383</v>
      </c>
      <c r="C1418" s="20" t="s">
        <v>782</v>
      </c>
      <c r="D1418" s="20" t="s">
        <v>353</v>
      </c>
      <c r="E1418" s="21" t="s">
        <v>3261</v>
      </c>
      <c r="F1418" s="21" t="n">
        <v>38469</v>
      </c>
      <c r="G1418" s="22" t="s">
        <v>471</v>
      </c>
      <c r="H1418" s="23" t="n">
        <f aca="false">COUNTIF(CAL!U:AF,B1418)</f>
        <v>1</v>
      </c>
      <c r="I1418" s="22" t="n">
        <v>5</v>
      </c>
      <c r="J1418" s="20"/>
    </row>
    <row r="1419" customFormat="false" ht="15.75" hidden="false" customHeight="true" outlineLevel="0" collapsed="false">
      <c r="B1419" s="19" t="n">
        <v>3159</v>
      </c>
      <c r="C1419" s="20" t="s">
        <v>3262</v>
      </c>
      <c r="D1419" s="20" t="s">
        <v>313</v>
      </c>
      <c r="E1419" s="21" t="s">
        <v>3263</v>
      </c>
      <c r="F1419" s="21" t="n">
        <v>37298</v>
      </c>
      <c r="G1419" s="22" t="s">
        <v>471</v>
      </c>
      <c r="H1419" s="23" t="n">
        <f aca="false">COUNTIF(CAL!U:AF,B1419)</f>
        <v>1</v>
      </c>
      <c r="I1419" s="22" t="n">
        <v>5</v>
      </c>
      <c r="J1419" s="20"/>
    </row>
    <row r="1420" customFormat="false" ht="15.75" hidden="false" customHeight="true" outlineLevel="0" collapsed="false">
      <c r="B1420" s="19" t="n">
        <v>2286</v>
      </c>
      <c r="C1420" s="20" t="s">
        <v>3264</v>
      </c>
      <c r="D1420" s="20" t="s">
        <v>177</v>
      </c>
      <c r="E1420" s="24" t="s">
        <v>3265</v>
      </c>
      <c r="F1420" s="21" t="n">
        <v>35807</v>
      </c>
      <c r="G1420" s="22" t="s">
        <v>471</v>
      </c>
      <c r="H1420" s="23" t="n">
        <f aca="false">COUNTIF(CAL!U:AF,B1420)</f>
        <v>1</v>
      </c>
      <c r="I1420" s="22" t="n">
        <v>5</v>
      </c>
      <c r="J1420" s="20"/>
    </row>
    <row r="1421" customFormat="false" ht="15.75" hidden="false" customHeight="true" outlineLevel="0" collapsed="false">
      <c r="B1421" s="19" t="n">
        <v>2399</v>
      </c>
      <c r="C1421" s="20" t="s">
        <v>2485</v>
      </c>
      <c r="D1421" s="20" t="s">
        <v>188</v>
      </c>
      <c r="E1421" s="21" t="s">
        <v>3266</v>
      </c>
      <c r="F1421" s="21" t="n">
        <v>38095</v>
      </c>
      <c r="G1421" s="22" t="s">
        <v>471</v>
      </c>
      <c r="H1421" s="23" t="n">
        <f aca="false">COUNTIF(CAL!U:AF,B1421)</f>
        <v>1</v>
      </c>
      <c r="I1421" s="22" t="n">
        <v>5</v>
      </c>
      <c r="J1421" s="20"/>
    </row>
    <row r="1422" customFormat="false" ht="15.75" hidden="false" customHeight="true" outlineLevel="0" collapsed="false">
      <c r="B1422" s="19" t="n">
        <v>1450</v>
      </c>
      <c r="C1422" s="20" t="s">
        <v>3267</v>
      </c>
      <c r="D1422" s="20" t="s">
        <v>214</v>
      </c>
      <c r="E1422" s="21" t="s">
        <v>3268</v>
      </c>
      <c r="F1422" s="21" t="n">
        <v>37057</v>
      </c>
      <c r="G1422" s="22" t="s">
        <v>471</v>
      </c>
      <c r="H1422" s="23" t="n">
        <f aca="false">COUNTIF(CAL!U:AF,B1422)</f>
        <v>1</v>
      </c>
      <c r="I1422" s="22" t="n">
        <v>5</v>
      </c>
      <c r="J1422" s="20"/>
    </row>
    <row r="1423" customFormat="false" ht="15.75" hidden="false" customHeight="true" outlineLevel="0" collapsed="false">
      <c r="B1423" s="19" t="n">
        <v>1400</v>
      </c>
      <c r="C1423" s="20" t="s">
        <v>1444</v>
      </c>
      <c r="D1423" s="20" t="s">
        <v>245</v>
      </c>
      <c r="E1423" s="21" t="s">
        <v>3269</v>
      </c>
      <c r="F1423" s="21" t="n">
        <v>36528</v>
      </c>
      <c r="G1423" s="22" t="s">
        <v>471</v>
      </c>
      <c r="H1423" s="23" t="n">
        <f aca="false">COUNTIF(CAL!U:AF,B1423)</f>
        <v>1</v>
      </c>
      <c r="I1423" s="22" t="n">
        <v>5</v>
      </c>
      <c r="J1423" s="20" t="s">
        <v>1064</v>
      </c>
    </row>
    <row r="1424" customFormat="false" ht="15.75" hidden="false" customHeight="true" outlineLevel="0" collapsed="false">
      <c r="B1424" s="19" t="n">
        <v>1018</v>
      </c>
      <c r="C1424" s="20" t="s">
        <v>3270</v>
      </c>
      <c r="D1424" s="20" t="s">
        <v>57</v>
      </c>
      <c r="E1424" s="24" t="s">
        <v>3271</v>
      </c>
      <c r="F1424" s="21" t="n">
        <v>37999</v>
      </c>
      <c r="G1424" s="22" t="s">
        <v>471</v>
      </c>
      <c r="H1424" s="23" t="n">
        <f aca="false">COUNTIF(CAL!U:AF,B1424)</f>
        <v>1</v>
      </c>
      <c r="I1424" s="22" t="n">
        <v>5</v>
      </c>
      <c r="J1424" s="20" t="s">
        <v>3272</v>
      </c>
    </row>
    <row r="1425" customFormat="false" ht="15.75" hidden="false" customHeight="true" outlineLevel="0" collapsed="false">
      <c r="B1425" s="19" t="n">
        <v>1611</v>
      </c>
      <c r="C1425" s="20" t="s">
        <v>3273</v>
      </c>
      <c r="D1425" s="20" t="s">
        <v>36</v>
      </c>
      <c r="E1425" s="24" t="s">
        <v>3274</v>
      </c>
      <c r="F1425" s="21" t="n">
        <v>38450</v>
      </c>
      <c r="G1425" s="22" t="s">
        <v>471</v>
      </c>
      <c r="H1425" s="23" t="n">
        <f aca="false">COUNTIF(CAL!U:AF,B1425)</f>
        <v>1</v>
      </c>
      <c r="I1425" s="22" t="n">
        <v>5</v>
      </c>
      <c r="J1425" s="20"/>
    </row>
    <row r="1426" customFormat="false" ht="15.75" hidden="false" customHeight="true" outlineLevel="0" collapsed="false">
      <c r="B1426" s="19" t="n">
        <v>1655</v>
      </c>
      <c r="C1426" s="20" t="s">
        <v>3275</v>
      </c>
      <c r="D1426" s="20" t="s">
        <v>106</v>
      </c>
      <c r="E1426" s="21" t="s">
        <v>3276</v>
      </c>
      <c r="F1426" s="21" t="n">
        <v>35710</v>
      </c>
      <c r="G1426" s="22" t="s">
        <v>471</v>
      </c>
      <c r="H1426" s="23" t="n">
        <f aca="false">COUNTIF(CAL!U:AF,B1426)</f>
        <v>1</v>
      </c>
      <c r="I1426" s="22" t="n">
        <v>5</v>
      </c>
      <c r="J1426" s="20"/>
    </row>
    <row r="1427" customFormat="false" ht="15.75" hidden="false" customHeight="true" outlineLevel="0" collapsed="false">
      <c r="B1427" s="19" t="n">
        <v>3531</v>
      </c>
      <c r="C1427" s="20" t="s">
        <v>3277</v>
      </c>
      <c r="D1427" s="20" t="s">
        <v>418</v>
      </c>
      <c r="E1427" s="21" t="s">
        <v>3278</v>
      </c>
      <c r="F1427" s="21" t="n">
        <v>38961</v>
      </c>
      <c r="G1427" s="22" t="s">
        <v>471</v>
      </c>
      <c r="H1427" s="23" t="n">
        <f aca="false">COUNTIF(CAL!U:AF,B1427)</f>
        <v>1</v>
      </c>
      <c r="I1427" s="22" t="n">
        <v>5</v>
      </c>
      <c r="J1427" s="20"/>
    </row>
    <row r="1428" customFormat="false" ht="15.75" hidden="false" customHeight="true" outlineLevel="0" collapsed="false">
      <c r="B1428" s="19" t="n">
        <v>1634</v>
      </c>
      <c r="C1428" s="20" t="s">
        <v>3279</v>
      </c>
      <c r="D1428" s="20" t="s">
        <v>120</v>
      </c>
      <c r="E1428" s="21" t="s">
        <v>3280</v>
      </c>
      <c r="F1428" s="21" t="n">
        <v>36599</v>
      </c>
      <c r="G1428" s="22" t="s">
        <v>471</v>
      </c>
      <c r="H1428" s="23" t="n">
        <f aca="false">COUNTIF(CAL!U:AF,B1428)</f>
        <v>1</v>
      </c>
      <c r="I1428" s="22" t="n">
        <v>5</v>
      </c>
      <c r="J1428" s="20"/>
    </row>
    <row r="1429" customFormat="false" ht="15.75" hidden="false" customHeight="true" outlineLevel="0" collapsed="false">
      <c r="B1429" s="19" t="n">
        <v>2430</v>
      </c>
      <c r="C1429" s="20" t="s">
        <v>1278</v>
      </c>
      <c r="D1429" s="20" t="s">
        <v>102</v>
      </c>
      <c r="E1429" s="21" t="s">
        <v>3281</v>
      </c>
      <c r="F1429" s="21" t="n">
        <v>40049</v>
      </c>
      <c r="G1429" s="22" t="s">
        <v>471</v>
      </c>
      <c r="H1429" s="23" t="n">
        <f aca="false">COUNTIF(CAL!U:AF,B1429)</f>
        <v>1</v>
      </c>
      <c r="I1429" s="22" t="n">
        <v>5</v>
      </c>
      <c r="J1429" s="20"/>
    </row>
    <row r="1430" customFormat="false" ht="15.75" hidden="false" customHeight="true" outlineLevel="0" collapsed="false">
      <c r="B1430" s="19" t="n">
        <v>2635</v>
      </c>
      <c r="C1430" s="20" t="s">
        <v>3282</v>
      </c>
      <c r="D1430" s="20" t="s">
        <v>358</v>
      </c>
      <c r="E1430" s="21" t="s">
        <v>3283</v>
      </c>
      <c r="F1430" s="21" t="n">
        <v>38667</v>
      </c>
      <c r="G1430" s="22" t="s">
        <v>471</v>
      </c>
      <c r="H1430" s="23" t="n">
        <f aca="false">COUNTIF(CAL!U:AF,B1430)</f>
        <v>1</v>
      </c>
      <c r="I1430" s="22" t="n">
        <v>5</v>
      </c>
      <c r="J1430" s="20"/>
    </row>
    <row r="1431" customFormat="false" ht="15.75" hidden="false" customHeight="true" outlineLevel="0" collapsed="false">
      <c r="B1431" s="19" t="n">
        <v>3463</v>
      </c>
      <c r="C1431" s="20" t="s">
        <v>3284</v>
      </c>
      <c r="D1431" s="20" t="s">
        <v>329</v>
      </c>
      <c r="E1431" s="21" t="s">
        <v>3285</v>
      </c>
      <c r="F1431" s="21" t="n">
        <v>38191</v>
      </c>
      <c r="G1431" s="22" t="s">
        <v>471</v>
      </c>
      <c r="H1431" s="23" t="n">
        <f aca="false">COUNTIF(CAL!U:AF,B1431)</f>
        <v>1</v>
      </c>
      <c r="I1431" s="22" t="n">
        <v>5</v>
      </c>
      <c r="J1431" s="20"/>
    </row>
    <row r="1432" customFormat="false" ht="15.75" hidden="false" customHeight="true" outlineLevel="0" collapsed="false">
      <c r="B1432" s="19" t="n">
        <v>1193</v>
      </c>
      <c r="C1432" s="20" t="s">
        <v>3286</v>
      </c>
      <c r="D1432" s="20" t="s">
        <v>222</v>
      </c>
      <c r="E1432" s="21" t="s">
        <v>3287</v>
      </c>
      <c r="F1432" s="21" t="n">
        <v>38273</v>
      </c>
      <c r="G1432" s="22" t="s">
        <v>471</v>
      </c>
      <c r="H1432" s="23" t="n">
        <f aca="false">COUNTIF(CAL!U:AF,B1432)</f>
        <v>1</v>
      </c>
      <c r="I1432" s="22" t="n">
        <v>5</v>
      </c>
      <c r="J1432" s="20"/>
    </row>
    <row r="1433" customFormat="false" ht="15.75" hidden="false" customHeight="true" outlineLevel="0" collapsed="false">
      <c r="B1433" s="19" t="n">
        <v>2667</v>
      </c>
      <c r="C1433" s="20" t="s">
        <v>3288</v>
      </c>
      <c r="D1433" s="20" t="s">
        <v>148</v>
      </c>
      <c r="E1433" s="24" t="s">
        <v>3289</v>
      </c>
      <c r="F1433" s="21" t="n">
        <v>35760</v>
      </c>
      <c r="G1433" s="22" t="s">
        <v>504</v>
      </c>
      <c r="H1433" s="23" t="n">
        <f aca="false">COUNTIF(CAL!U:AF,B1433)</f>
        <v>1</v>
      </c>
      <c r="I1433" s="22" t="n">
        <v>5</v>
      </c>
      <c r="J1433" s="20"/>
    </row>
    <row r="1434" customFormat="false" ht="15.75" hidden="false" customHeight="true" outlineLevel="0" collapsed="false">
      <c r="B1434" s="19" t="n">
        <v>3004</v>
      </c>
      <c r="C1434" s="20" t="s">
        <v>3290</v>
      </c>
      <c r="D1434" s="20" t="s">
        <v>159</v>
      </c>
      <c r="E1434" s="21" t="s">
        <v>3291</v>
      </c>
      <c r="F1434" s="21" t="n">
        <v>38432</v>
      </c>
      <c r="G1434" s="22" t="s">
        <v>471</v>
      </c>
      <c r="H1434" s="23" t="n">
        <f aca="false">COUNTIF(CAL!U:AF,B1434)</f>
        <v>1</v>
      </c>
      <c r="I1434" s="22" t="n">
        <v>5</v>
      </c>
      <c r="J1434" s="20"/>
    </row>
    <row r="1435" customFormat="false" ht="15.75" hidden="false" customHeight="true" outlineLevel="0" collapsed="false">
      <c r="B1435" s="19" t="n">
        <v>3528</v>
      </c>
      <c r="C1435" s="20" t="s">
        <v>3292</v>
      </c>
      <c r="D1435" s="20" t="s">
        <v>415</v>
      </c>
      <c r="E1435" s="21" t="s">
        <v>3293</v>
      </c>
      <c r="F1435" s="21" t="n">
        <v>37412</v>
      </c>
      <c r="G1435" s="22" t="s">
        <v>471</v>
      </c>
      <c r="H1435" s="23" t="n">
        <f aca="false">COUNTIF(CAL!U:AF,B1435)</f>
        <v>1</v>
      </c>
      <c r="I1435" s="22" t="n">
        <v>5</v>
      </c>
      <c r="J1435" s="20"/>
    </row>
    <row r="1436" customFormat="false" ht="15.75" hidden="false" customHeight="true" outlineLevel="0" collapsed="false">
      <c r="B1436" s="19" t="n">
        <v>3081</v>
      </c>
      <c r="C1436" s="20" t="s">
        <v>3294</v>
      </c>
      <c r="D1436" s="20" t="s">
        <v>273</v>
      </c>
      <c r="E1436" s="21" t="s">
        <v>3295</v>
      </c>
      <c r="F1436" s="21" t="n">
        <v>35922</v>
      </c>
      <c r="G1436" s="22" t="s">
        <v>471</v>
      </c>
      <c r="H1436" s="23" t="n">
        <f aca="false">COUNTIF(CAL!U:AF,B1436)</f>
        <v>1</v>
      </c>
      <c r="I1436" s="22" t="n">
        <v>5</v>
      </c>
      <c r="J1436" s="20"/>
    </row>
    <row r="1437" customFormat="false" ht="15.75" hidden="false" customHeight="true" outlineLevel="0" collapsed="false">
      <c r="B1437" s="19" t="n">
        <v>2885</v>
      </c>
      <c r="C1437" s="20" t="s">
        <v>3296</v>
      </c>
      <c r="D1437" s="20" t="s">
        <v>325</v>
      </c>
      <c r="E1437" s="21" t="s">
        <v>3297</v>
      </c>
      <c r="F1437" s="21" t="n">
        <v>38276</v>
      </c>
      <c r="G1437" s="22" t="s">
        <v>504</v>
      </c>
      <c r="H1437" s="23" t="n">
        <f aca="false">COUNTIF(CAL!U:AF,B1437)</f>
        <v>1</v>
      </c>
      <c r="I1437" s="22" t="n">
        <v>5</v>
      </c>
      <c r="J1437" s="20"/>
    </row>
    <row r="1438" customFormat="false" ht="15.75" hidden="false" customHeight="true" outlineLevel="0" collapsed="false">
      <c r="B1438" s="19" t="n">
        <v>2449</v>
      </c>
      <c r="C1438" s="20" t="s">
        <v>3298</v>
      </c>
      <c r="D1438" s="20" t="s">
        <v>293</v>
      </c>
      <c r="E1438" s="21" t="s">
        <v>3299</v>
      </c>
      <c r="F1438" s="21" t="n">
        <v>33397</v>
      </c>
      <c r="G1438" s="22" t="s">
        <v>471</v>
      </c>
      <c r="H1438" s="23" t="n">
        <f aca="false">COUNTIF(CAL!U:AF,B1438)</f>
        <v>1</v>
      </c>
      <c r="I1438" s="22" t="n">
        <v>5</v>
      </c>
      <c r="J1438" s="20"/>
    </row>
    <row r="1439" customFormat="false" ht="15.75" hidden="false" customHeight="true" outlineLevel="0" collapsed="false">
      <c r="B1439" s="19" t="n">
        <v>3164</v>
      </c>
      <c r="C1439" s="20" t="s">
        <v>1389</v>
      </c>
      <c r="D1439" s="20" t="s">
        <v>414</v>
      </c>
      <c r="E1439" s="21" t="s">
        <v>3300</v>
      </c>
      <c r="F1439" s="21" t="n">
        <v>38687</v>
      </c>
      <c r="G1439" s="22" t="s">
        <v>471</v>
      </c>
      <c r="H1439" s="23" t="n">
        <f aca="false">COUNTIF(CAL!U:AF,B1439)</f>
        <v>1</v>
      </c>
      <c r="I1439" s="22" t="n">
        <v>5</v>
      </c>
      <c r="J1439" s="20"/>
    </row>
    <row r="1440" customFormat="false" ht="15.75" hidden="false" customHeight="true" outlineLevel="0" collapsed="false">
      <c r="B1440" s="19" t="n">
        <v>2706</v>
      </c>
      <c r="C1440" s="20" t="s">
        <v>3070</v>
      </c>
      <c r="D1440" s="20" t="s">
        <v>325</v>
      </c>
      <c r="E1440" s="21" t="s">
        <v>3301</v>
      </c>
      <c r="F1440" s="21" t="n">
        <v>37385</v>
      </c>
      <c r="G1440" s="22" t="s">
        <v>471</v>
      </c>
      <c r="H1440" s="23" t="n">
        <f aca="false">COUNTIF(CAL!U:AF,B1440)</f>
        <v>1</v>
      </c>
      <c r="I1440" s="22" t="n">
        <v>5</v>
      </c>
      <c r="J1440" s="20"/>
    </row>
    <row r="1441" customFormat="false" ht="15.75" hidden="false" customHeight="true" outlineLevel="0" collapsed="false">
      <c r="B1441" s="19" t="n">
        <v>3283</v>
      </c>
      <c r="C1441" s="20" t="s">
        <v>3302</v>
      </c>
      <c r="D1441" s="20" t="s">
        <v>267</v>
      </c>
      <c r="E1441" s="21" t="s">
        <v>3303</v>
      </c>
      <c r="F1441" s="21" t="n">
        <v>34618</v>
      </c>
      <c r="G1441" s="22" t="s">
        <v>471</v>
      </c>
      <c r="H1441" s="23" t="n">
        <f aca="false">COUNTIF(CAL!U:AF,B1441)</f>
        <v>1</v>
      </c>
      <c r="I1441" s="22" t="n">
        <v>5</v>
      </c>
      <c r="J1441" s="20"/>
    </row>
    <row r="1442" customFormat="false" ht="15.75" hidden="false" customHeight="true" outlineLevel="0" collapsed="false">
      <c r="B1442" s="19" t="n">
        <v>1917</v>
      </c>
      <c r="C1442" s="20" t="s">
        <v>3304</v>
      </c>
      <c r="D1442" s="20" t="s">
        <v>210</v>
      </c>
      <c r="E1442" s="21" t="s">
        <v>3305</v>
      </c>
      <c r="F1442" s="21" t="n">
        <v>38509</v>
      </c>
      <c r="G1442" s="22" t="s">
        <v>471</v>
      </c>
      <c r="H1442" s="23" t="n">
        <f aca="false">COUNTIF(CAL!U:AF,B1442)</f>
        <v>1</v>
      </c>
      <c r="I1442" s="22" t="n">
        <v>5</v>
      </c>
      <c r="J1442" s="20"/>
    </row>
    <row r="1443" customFormat="false" ht="15.75" hidden="false" customHeight="true" outlineLevel="0" collapsed="false">
      <c r="B1443" s="19" t="n">
        <v>1385</v>
      </c>
      <c r="C1443" s="20" t="s">
        <v>2058</v>
      </c>
      <c r="D1443" s="20" t="s">
        <v>298</v>
      </c>
      <c r="E1443" s="21" t="s">
        <v>3306</v>
      </c>
      <c r="F1443" s="21" t="n">
        <v>35800</v>
      </c>
      <c r="G1443" s="22" t="s">
        <v>471</v>
      </c>
      <c r="H1443" s="23" t="n">
        <f aca="false">COUNTIF(CAL!U:AF,B1443)</f>
        <v>1</v>
      </c>
      <c r="I1443" s="22" t="n">
        <v>5</v>
      </c>
      <c r="J1443" s="20" t="s">
        <v>3307</v>
      </c>
    </row>
    <row r="1444" customFormat="false" ht="15.75" hidden="false" customHeight="true" outlineLevel="0" collapsed="false">
      <c r="B1444" s="19" t="n">
        <v>1294</v>
      </c>
      <c r="C1444" s="20" t="s">
        <v>3308</v>
      </c>
      <c r="D1444" s="20" t="s">
        <v>202</v>
      </c>
      <c r="E1444" s="21" t="s">
        <v>3309</v>
      </c>
      <c r="F1444" s="21" t="n">
        <v>38013</v>
      </c>
      <c r="G1444" s="22" t="s">
        <v>471</v>
      </c>
      <c r="H1444" s="23" t="n">
        <f aca="false">COUNTIF(CAL!U:AF,B1444)</f>
        <v>1</v>
      </c>
      <c r="I1444" s="22" t="n">
        <v>5</v>
      </c>
      <c r="J1444" s="20"/>
    </row>
    <row r="1445" customFormat="false" ht="15.75" hidden="false" customHeight="true" outlineLevel="0" collapsed="false">
      <c r="B1445" s="19" t="n">
        <v>1515</v>
      </c>
      <c r="C1445" s="20" t="s">
        <v>3310</v>
      </c>
      <c r="D1445" s="20" t="s">
        <v>267</v>
      </c>
      <c r="E1445" s="21" t="s">
        <v>3311</v>
      </c>
      <c r="F1445" s="21" t="n">
        <v>38822</v>
      </c>
      <c r="G1445" s="22" t="s">
        <v>471</v>
      </c>
      <c r="H1445" s="23" t="n">
        <f aca="false">COUNTIF(CAL!U:AF,B1445)</f>
        <v>1</v>
      </c>
      <c r="I1445" s="22" t="n">
        <v>5</v>
      </c>
      <c r="J1445" s="20"/>
    </row>
    <row r="1446" customFormat="false" ht="15.75" hidden="false" customHeight="true" outlineLevel="0" collapsed="false">
      <c r="B1446" s="19" t="n">
        <v>1511</v>
      </c>
      <c r="C1446" s="20" t="s">
        <v>3312</v>
      </c>
      <c r="D1446" s="20" t="s">
        <v>160</v>
      </c>
      <c r="E1446" s="21" t="s">
        <v>3313</v>
      </c>
      <c r="F1446" s="21" t="n">
        <v>38359</v>
      </c>
      <c r="G1446" s="22" t="s">
        <v>471</v>
      </c>
      <c r="H1446" s="23" t="n">
        <f aca="false">COUNTIF(CAL!U:AF,B1446)</f>
        <v>1</v>
      </c>
      <c r="I1446" s="22" t="n">
        <v>5</v>
      </c>
      <c r="J1446" s="20"/>
    </row>
    <row r="1447" customFormat="false" ht="15.75" hidden="false" customHeight="true" outlineLevel="0" collapsed="false">
      <c r="B1447" s="19" t="n">
        <v>2924</v>
      </c>
      <c r="C1447" s="20" t="s">
        <v>855</v>
      </c>
      <c r="D1447" s="20" t="s">
        <v>219</v>
      </c>
      <c r="E1447" s="24" t="s">
        <v>3314</v>
      </c>
      <c r="F1447" s="21" t="n">
        <v>34101</v>
      </c>
      <c r="G1447" s="22" t="s">
        <v>471</v>
      </c>
      <c r="H1447" s="23" t="n">
        <f aca="false">COUNTIF(CAL!U:AF,B1447)</f>
        <v>1</v>
      </c>
      <c r="I1447" s="22" t="n">
        <v>5</v>
      </c>
      <c r="J1447" s="20"/>
    </row>
    <row r="1448" customFormat="false" ht="15.75" hidden="false" customHeight="true" outlineLevel="0" collapsed="false">
      <c r="B1448" s="19" t="n">
        <v>1214</v>
      </c>
      <c r="C1448" s="20" t="s">
        <v>3315</v>
      </c>
      <c r="D1448" s="20" t="s">
        <v>238</v>
      </c>
      <c r="E1448" s="21" t="s">
        <v>3316</v>
      </c>
      <c r="F1448" s="21" t="n">
        <v>38933</v>
      </c>
      <c r="G1448" s="22" t="s">
        <v>471</v>
      </c>
      <c r="H1448" s="23" t="n">
        <f aca="false">COUNTIF(CAL!U:AF,B1448)</f>
        <v>1</v>
      </c>
      <c r="I1448" s="22" t="n">
        <v>5</v>
      </c>
      <c r="J1448" s="20"/>
    </row>
    <row r="1449" customFormat="false" ht="15.75" hidden="false" customHeight="true" outlineLevel="0" collapsed="false">
      <c r="B1449" s="19" t="n">
        <v>2527</v>
      </c>
      <c r="C1449" s="20" t="s">
        <v>3317</v>
      </c>
      <c r="D1449" s="20" t="s">
        <v>220</v>
      </c>
      <c r="E1449" s="24" t="s">
        <v>3318</v>
      </c>
      <c r="F1449" s="21" t="n">
        <v>35612</v>
      </c>
      <c r="G1449" s="22" t="s">
        <v>471</v>
      </c>
      <c r="H1449" s="23" t="n">
        <f aca="false">COUNTIF(CAL!U:AF,B1449)</f>
        <v>1</v>
      </c>
      <c r="I1449" s="22" t="n">
        <v>5</v>
      </c>
      <c r="J1449" s="20"/>
    </row>
    <row r="1450" customFormat="false" ht="15.75" hidden="false" customHeight="true" outlineLevel="0" collapsed="false">
      <c r="B1450" s="19" t="n">
        <v>2265</v>
      </c>
      <c r="C1450" s="20" t="s">
        <v>495</v>
      </c>
      <c r="D1450" s="20" t="s">
        <v>366</v>
      </c>
      <c r="E1450" s="21" t="s">
        <v>3319</v>
      </c>
      <c r="F1450" s="21" t="n">
        <v>37912</v>
      </c>
      <c r="G1450" s="22" t="s">
        <v>471</v>
      </c>
      <c r="H1450" s="23" t="n">
        <f aca="false">COUNTIF(CAL!U:AF,B1450)</f>
        <v>1</v>
      </c>
      <c r="I1450" s="22" t="n">
        <v>5</v>
      </c>
      <c r="J1450" s="20"/>
    </row>
    <row r="1451" customFormat="false" ht="15.75" hidden="false" customHeight="true" outlineLevel="0" collapsed="false">
      <c r="B1451" s="19" t="n">
        <v>1321</v>
      </c>
      <c r="C1451" s="20" t="s">
        <v>1403</v>
      </c>
      <c r="D1451" s="20" t="s">
        <v>214</v>
      </c>
      <c r="E1451" s="21" t="s">
        <v>3320</v>
      </c>
      <c r="F1451" s="21" t="n">
        <v>35801</v>
      </c>
      <c r="G1451" s="22" t="s">
        <v>471</v>
      </c>
      <c r="H1451" s="23" t="n">
        <f aca="false">COUNTIF(CAL!U:AF,B1451)</f>
        <v>1</v>
      </c>
      <c r="I1451" s="22" t="n">
        <v>5</v>
      </c>
      <c r="J1451" s="20"/>
    </row>
    <row r="1452" customFormat="false" ht="15.75" hidden="false" customHeight="true" outlineLevel="0" collapsed="false">
      <c r="B1452" s="19" t="n">
        <v>2859</v>
      </c>
      <c r="C1452" s="20" t="s">
        <v>3321</v>
      </c>
      <c r="D1452" s="20" t="s">
        <v>58</v>
      </c>
      <c r="E1452" s="21" t="s">
        <v>3322</v>
      </c>
      <c r="F1452" s="21" t="n">
        <v>38356</v>
      </c>
      <c r="G1452" s="22" t="s">
        <v>471</v>
      </c>
      <c r="H1452" s="23" t="n">
        <f aca="false">COUNTIF(CAL!U:AF,B1452)</f>
        <v>1</v>
      </c>
      <c r="I1452" s="22" t="n">
        <v>5</v>
      </c>
      <c r="J1452" s="20"/>
    </row>
    <row r="1453" customFormat="false" ht="15.75" hidden="false" customHeight="true" outlineLevel="0" collapsed="false">
      <c r="B1453" s="19" t="n">
        <v>2192</v>
      </c>
      <c r="C1453" s="20" t="s">
        <v>3323</v>
      </c>
      <c r="D1453" s="20" t="s">
        <v>217</v>
      </c>
      <c r="E1453" s="24" t="s">
        <v>3324</v>
      </c>
      <c r="F1453" s="21" t="n">
        <v>38387</v>
      </c>
      <c r="G1453" s="22" t="s">
        <v>471</v>
      </c>
      <c r="H1453" s="23" t="n">
        <f aca="false">COUNTIF(CAL!U:AF,B1453)</f>
        <v>1</v>
      </c>
      <c r="I1453" s="22" t="n">
        <v>5</v>
      </c>
      <c r="J1453" s="20" t="s">
        <v>3325</v>
      </c>
    </row>
    <row r="1454" customFormat="false" ht="15.75" hidden="false" customHeight="true" outlineLevel="0" collapsed="false">
      <c r="B1454" s="19" t="n">
        <v>3543</v>
      </c>
      <c r="C1454" s="20" t="s">
        <v>3326</v>
      </c>
      <c r="D1454" s="20" t="s">
        <v>229</v>
      </c>
      <c r="E1454" s="21" t="s">
        <v>3327</v>
      </c>
      <c r="F1454" s="21" t="n">
        <v>36934</v>
      </c>
      <c r="G1454" s="22" t="s">
        <v>471</v>
      </c>
      <c r="H1454" s="23" t="n">
        <f aca="false">COUNTIF(CAL!U:AF,B1454)</f>
        <v>1</v>
      </c>
      <c r="I1454" s="22" t="n">
        <v>5</v>
      </c>
      <c r="J1454" s="20"/>
    </row>
    <row r="1455" customFormat="false" ht="15.75" hidden="false" customHeight="true" outlineLevel="0" collapsed="false">
      <c r="B1455" s="19" t="n">
        <v>2263</v>
      </c>
      <c r="C1455" s="20" t="s">
        <v>2507</v>
      </c>
      <c r="D1455" s="20" t="s">
        <v>364</v>
      </c>
      <c r="E1455" s="24" t="s">
        <v>3328</v>
      </c>
      <c r="F1455" s="21" t="n">
        <v>38250</v>
      </c>
      <c r="G1455" s="22" t="s">
        <v>471</v>
      </c>
      <c r="H1455" s="23" t="n">
        <f aca="false">COUNTIF(CAL!U:AF,B1455)</f>
        <v>1</v>
      </c>
      <c r="I1455" s="22" t="n">
        <v>5</v>
      </c>
      <c r="J1455" s="20"/>
    </row>
    <row r="1456" customFormat="false" ht="15.75" hidden="false" customHeight="true" outlineLevel="0" collapsed="false">
      <c r="B1456" s="19" t="n">
        <v>3368</v>
      </c>
      <c r="C1456" s="20" t="s">
        <v>2325</v>
      </c>
      <c r="D1456" s="20" t="s">
        <v>319</v>
      </c>
      <c r="E1456" s="21" t="s">
        <v>3329</v>
      </c>
      <c r="F1456" s="21" t="n">
        <v>38152</v>
      </c>
      <c r="G1456" s="22" t="s">
        <v>471</v>
      </c>
      <c r="H1456" s="23" t="n">
        <f aca="false">COUNTIF(CAL!U:AF,B1456)</f>
        <v>1</v>
      </c>
      <c r="I1456" s="22" t="n">
        <v>5</v>
      </c>
      <c r="J1456" s="20"/>
    </row>
    <row r="1457" customFormat="false" ht="15.75" hidden="false" customHeight="true" outlineLevel="0" collapsed="false">
      <c r="B1457" s="19" t="n">
        <v>2659</v>
      </c>
      <c r="C1457" s="20" t="s">
        <v>598</v>
      </c>
      <c r="D1457" s="20" t="s">
        <v>55</v>
      </c>
      <c r="E1457" s="21" t="s">
        <v>3330</v>
      </c>
      <c r="F1457" s="21" t="n">
        <v>35401</v>
      </c>
      <c r="G1457" s="22" t="s">
        <v>471</v>
      </c>
      <c r="H1457" s="23" t="n">
        <f aca="false">COUNTIF(CAL!U:AF,B1457)</f>
        <v>1</v>
      </c>
      <c r="I1457" s="22" t="n">
        <v>5</v>
      </c>
      <c r="J1457" s="20"/>
    </row>
    <row r="1458" customFormat="false" ht="15.75" hidden="false" customHeight="true" outlineLevel="0" collapsed="false">
      <c r="B1458" s="19" t="n">
        <v>2700</v>
      </c>
      <c r="C1458" s="20" t="s">
        <v>3331</v>
      </c>
      <c r="D1458" s="20" t="s">
        <v>285</v>
      </c>
      <c r="E1458" s="21" t="s">
        <v>3332</v>
      </c>
      <c r="F1458" s="21" t="n">
        <v>35656</v>
      </c>
      <c r="G1458" s="22" t="s">
        <v>471</v>
      </c>
      <c r="H1458" s="23" t="n">
        <f aca="false">COUNTIF(CAL!U:AF,B1458)</f>
        <v>1</v>
      </c>
      <c r="I1458" s="22" t="n">
        <v>5</v>
      </c>
      <c r="J1458" s="20"/>
    </row>
    <row r="1459" customFormat="false" ht="15.75" hidden="false" customHeight="true" outlineLevel="0" collapsed="false">
      <c r="B1459" s="19" t="n">
        <v>3495</v>
      </c>
      <c r="C1459" s="20" t="s">
        <v>3333</v>
      </c>
      <c r="D1459" s="20" t="s">
        <v>319</v>
      </c>
      <c r="E1459" s="21" t="s">
        <v>3334</v>
      </c>
      <c r="F1459" s="21" t="n">
        <v>36217</v>
      </c>
      <c r="G1459" s="22" t="s">
        <v>471</v>
      </c>
      <c r="H1459" s="23" t="n">
        <f aca="false">COUNTIF(CAL!U:AF,B1459)</f>
        <v>1</v>
      </c>
      <c r="I1459" s="22" t="n">
        <v>5</v>
      </c>
      <c r="J1459" s="20"/>
    </row>
    <row r="1460" customFormat="false" ht="15.75" hidden="false" customHeight="true" outlineLevel="0" collapsed="false">
      <c r="B1460" s="19" t="n">
        <v>3065</v>
      </c>
      <c r="C1460" s="20" t="s">
        <v>3335</v>
      </c>
      <c r="D1460" s="20" t="s">
        <v>103</v>
      </c>
      <c r="E1460" s="21" t="s">
        <v>3336</v>
      </c>
      <c r="F1460" s="21" t="n">
        <v>37495</v>
      </c>
      <c r="G1460" s="22" t="s">
        <v>471</v>
      </c>
      <c r="H1460" s="23" t="n">
        <f aca="false">COUNTIF(CAL!U:AF,B1460)</f>
        <v>1</v>
      </c>
      <c r="I1460" s="22" t="n">
        <v>5</v>
      </c>
      <c r="J1460" s="20"/>
    </row>
    <row r="1461" customFormat="false" ht="15.75" hidden="false" customHeight="true" outlineLevel="0" collapsed="false">
      <c r="B1461" s="19" t="n">
        <v>1902</v>
      </c>
      <c r="C1461" s="20" t="s">
        <v>3337</v>
      </c>
      <c r="D1461" s="20" t="s">
        <v>202</v>
      </c>
      <c r="E1461" s="21" t="s">
        <v>3338</v>
      </c>
      <c r="F1461" s="21" t="n">
        <v>36253</v>
      </c>
      <c r="G1461" s="22" t="s">
        <v>471</v>
      </c>
      <c r="H1461" s="23" t="n">
        <f aca="false">COUNTIF(CAL!U:AF,B1461)</f>
        <v>1</v>
      </c>
      <c r="I1461" s="22" t="n">
        <v>5</v>
      </c>
      <c r="J1461" s="20"/>
    </row>
    <row r="1462" customFormat="false" ht="15.75" hidden="false" customHeight="true" outlineLevel="0" collapsed="false">
      <c r="B1462" s="19" t="n">
        <v>2984</v>
      </c>
      <c r="C1462" s="20" t="s">
        <v>3339</v>
      </c>
      <c r="D1462" s="20" t="s">
        <v>388</v>
      </c>
      <c r="E1462" s="21" t="s">
        <v>3340</v>
      </c>
      <c r="F1462" s="21" t="n">
        <v>36962</v>
      </c>
      <c r="G1462" s="22" t="s">
        <v>471</v>
      </c>
      <c r="H1462" s="23" t="n">
        <f aca="false">COUNTIF(CAL!U:AF,B1462)</f>
        <v>1</v>
      </c>
      <c r="I1462" s="22" t="n">
        <v>5</v>
      </c>
      <c r="J1462" s="20"/>
    </row>
    <row r="1463" customFormat="false" ht="15.75" hidden="false" customHeight="true" outlineLevel="0" collapsed="false">
      <c r="B1463" s="19" t="n">
        <v>3534</v>
      </c>
      <c r="C1463" s="20" t="s">
        <v>3341</v>
      </c>
      <c r="D1463" s="20" t="s">
        <v>419</v>
      </c>
      <c r="E1463" s="21" t="s">
        <v>3342</v>
      </c>
      <c r="F1463" s="21" t="n">
        <v>35852</v>
      </c>
      <c r="G1463" s="22" t="s">
        <v>471</v>
      </c>
      <c r="H1463" s="23" t="n">
        <f aca="false">COUNTIF(CAL!U:AF,B1463)</f>
        <v>1</v>
      </c>
      <c r="I1463" s="22" t="n">
        <v>5</v>
      </c>
      <c r="J1463" s="20"/>
    </row>
    <row r="1464" customFormat="false" ht="15.75" hidden="false" customHeight="true" outlineLevel="0" collapsed="false">
      <c r="B1464" s="19" t="n">
        <v>1737</v>
      </c>
      <c r="C1464" s="20" t="s">
        <v>3343</v>
      </c>
      <c r="D1464" s="20" t="s">
        <v>445</v>
      </c>
      <c r="E1464" s="21" t="s">
        <v>3343</v>
      </c>
      <c r="F1464" s="21" t="n">
        <v>38582</v>
      </c>
      <c r="G1464" s="22" t="s">
        <v>471</v>
      </c>
      <c r="H1464" s="23" t="n">
        <f aca="false">COUNTIF(CAL!U:AF,B1464)</f>
        <v>1</v>
      </c>
      <c r="I1464" s="22" t="n">
        <v>5</v>
      </c>
      <c r="J1464" s="20" t="s">
        <v>3344</v>
      </c>
    </row>
    <row r="1465" customFormat="false" ht="15.75" hidden="false" customHeight="true" outlineLevel="0" collapsed="false">
      <c r="B1465" s="19" t="n">
        <v>2890</v>
      </c>
      <c r="C1465" s="20" t="s">
        <v>3345</v>
      </c>
      <c r="D1465" s="20" t="s">
        <v>351</v>
      </c>
      <c r="E1465" s="21" t="s">
        <v>3346</v>
      </c>
      <c r="F1465" s="21" t="n">
        <v>35881</v>
      </c>
      <c r="G1465" s="22" t="s">
        <v>471</v>
      </c>
      <c r="H1465" s="23" t="n">
        <f aca="false">COUNTIF(CAL!U:AF,B1465)</f>
        <v>1</v>
      </c>
      <c r="I1465" s="22" t="n">
        <v>5</v>
      </c>
      <c r="J1465" s="20"/>
    </row>
    <row r="1466" customFormat="false" ht="15.75" hidden="false" customHeight="true" outlineLevel="0" collapsed="false">
      <c r="B1466" s="19" t="n">
        <v>2681</v>
      </c>
      <c r="C1466" s="20" t="s">
        <v>3347</v>
      </c>
      <c r="D1466" s="20" t="s">
        <v>185</v>
      </c>
      <c r="E1466" s="21" t="s">
        <v>3348</v>
      </c>
      <c r="F1466" s="21" t="n">
        <v>34751</v>
      </c>
      <c r="G1466" s="22" t="s">
        <v>471</v>
      </c>
      <c r="H1466" s="23" t="n">
        <f aca="false">COUNTIF(CAL!U:AF,B1466)</f>
        <v>1</v>
      </c>
      <c r="I1466" s="22" t="n">
        <v>5</v>
      </c>
      <c r="J1466" s="20"/>
    </row>
    <row r="1467" customFormat="false" ht="15.75" hidden="false" customHeight="true" outlineLevel="0" collapsed="false">
      <c r="B1467" s="19" t="n">
        <v>3492</v>
      </c>
      <c r="C1467" s="20" t="s">
        <v>2515</v>
      </c>
      <c r="D1467" s="20" t="s">
        <v>85</v>
      </c>
      <c r="E1467" s="21" t="s">
        <v>3349</v>
      </c>
      <c r="F1467" s="21" t="n">
        <v>38315</v>
      </c>
      <c r="G1467" s="22" t="s">
        <v>504</v>
      </c>
      <c r="H1467" s="23" t="n">
        <f aca="false">COUNTIF(CAL!U:AF,B1467)</f>
        <v>1</v>
      </c>
      <c r="I1467" s="22" t="n">
        <v>5</v>
      </c>
      <c r="J1467" s="20" t="s">
        <v>3350</v>
      </c>
    </row>
    <row r="1468" customFormat="false" ht="15.75" hidden="false" customHeight="true" outlineLevel="0" collapsed="false">
      <c r="B1468" s="19" t="n">
        <v>3653</v>
      </c>
      <c r="C1468" s="20" t="s">
        <v>3351</v>
      </c>
      <c r="D1468" s="20" t="s">
        <v>164</v>
      </c>
      <c r="E1468" s="21" t="s">
        <v>3352</v>
      </c>
      <c r="F1468" s="21" t="n">
        <v>33587</v>
      </c>
      <c r="G1468" s="22" t="s">
        <v>471</v>
      </c>
      <c r="H1468" s="23" t="n">
        <f aca="false">COUNTIF(CAL!U:AF,B1468)</f>
        <v>1</v>
      </c>
      <c r="I1468" s="22" t="n">
        <v>5</v>
      </c>
      <c r="J1468" s="20"/>
    </row>
    <row r="1469" customFormat="false" ht="15.75" hidden="false" customHeight="true" outlineLevel="0" collapsed="false">
      <c r="B1469" s="19" t="n">
        <v>1943</v>
      </c>
      <c r="C1469" s="20" t="s">
        <v>3353</v>
      </c>
      <c r="D1469" s="20" t="s">
        <v>100</v>
      </c>
      <c r="E1469" s="21" t="s">
        <v>3354</v>
      </c>
      <c r="F1469" s="21" t="n">
        <v>33043</v>
      </c>
      <c r="G1469" s="22" t="s">
        <v>471</v>
      </c>
      <c r="H1469" s="23" t="n">
        <f aca="false">COUNTIF(CAL!U:AF,B1469)</f>
        <v>1</v>
      </c>
      <c r="I1469" s="22" t="n">
        <v>5</v>
      </c>
      <c r="J1469" s="20"/>
    </row>
    <row r="1470" customFormat="false" ht="15.75" hidden="false" customHeight="true" outlineLevel="0" collapsed="false">
      <c r="B1470" s="19" t="n">
        <v>2519</v>
      </c>
      <c r="C1470" s="20" t="s">
        <v>3355</v>
      </c>
      <c r="D1470" s="20" t="s">
        <v>371</v>
      </c>
      <c r="E1470" s="21" t="s">
        <v>3356</v>
      </c>
      <c r="F1470" s="21" t="n">
        <v>34228</v>
      </c>
      <c r="G1470" s="22" t="s">
        <v>471</v>
      </c>
      <c r="H1470" s="23" t="n">
        <f aca="false">COUNTIF(CAL!U:AF,B1470)</f>
        <v>1</v>
      </c>
      <c r="I1470" s="22" t="n">
        <v>5</v>
      </c>
      <c r="J1470" s="20"/>
    </row>
    <row r="1471" customFormat="false" ht="15.75" hidden="false" customHeight="true" outlineLevel="0" collapsed="false">
      <c r="B1471" s="19" t="n">
        <v>3442</v>
      </c>
      <c r="C1471" s="20" t="s">
        <v>3357</v>
      </c>
      <c r="D1471" s="20" t="s">
        <v>375</v>
      </c>
      <c r="E1471" s="24" t="s">
        <v>3358</v>
      </c>
      <c r="F1471" s="21" t="n">
        <v>38314</v>
      </c>
      <c r="G1471" s="22" t="s">
        <v>471</v>
      </c>
      <c r="H1471" s="23" t="n">
        <f aca="false">COUNTIF(CAL!U:AF,B1471)</f>
        <v>1</v>
      </c>
      <c r="I1471" s="22" t="n">
        <v>5</v>
      </c>
      <c r="J1471" s="20"/>
    </row>
    <row r="1472" customFormat="false" ht="15.75" hidden="false" customHeight="true" outlineLevel="0" collapsed="false">
      <c r="B1472" s="19" t="n">
        <v>1318</v>
      </c>
      <c r="C1472" s="20" t="s">
        <v>3359</v>
      </c>
      <c r="D1472" s="20" t="s">
        <v>191</v>
      </c>
      <c r="E1472" s="21" t="s">
        <v>3360</v>
      </c>
      <c r="F1472" s="21" t="n">
        <v>35814</v>
      </c>
      <c r="G1472" s="22" t="s">
        <v>471</v>
      </c>
      <c r="H1472" s="23" t="n">
        <f aca="false">COUNTIF(CAL!U:AF,B1472)</f>
        <v>1</v>
      </c>
      <c r="I1472" s="22" t="n">
        <v>5</v>
      </c>
      <c r="J1472" s="20"/>
    </row>
    <row r="1473" customFormat="false" ht="15.75" hidden="false" customHeight="true" outlineLevel="0" collapsed="false">
      <c r="B1473" s="19" t="n">
        <v>1518</v>
      </c>
      <c r="C1473" s="20" t="s">
        <v>602</v>
      </c>
      <c r="D1473" s="20" t="s">
        <v>144</v>
      </c>
      <c r="E1473" s="21" t="s">
        <v>3361</v>
      </c>
      <c r="F1473" s="21" t="n">
        <v>36722</v>
      </c>
      <c r="G1473" s="22" t="s">
        <v>471</v>
      </c>
      <c r="H1473" s="23" t="n">
        <f aca="false">COUNTIF(CAL!U:AF,B1473)</f>
        <v>1</v>
      </c>
      <c r="I1473" s="22" t="n">
        <v>5</v>
      </c>
      <c r="J1473" s="20"/>
    </row>
    <row r="1474" customFormat="false" ht="15.75" hidden="false" customHeight="true" outlineLevel="0" collapsed="false">
      <c r="B1474" s="19" t="n">
        <v>1959</v>
      </c>
      <c r="C1474" s="20" t="s">
        <v>3362</v>
      </c>
      <c r="D1474" s="20" t="s">
        <v>255</v>
      </c>
      <c r="E1474" s="24" t="s">
        <v>3363</v>
      </c>
      <c r="F1474" s="21" t="n">
        <v>35857</v>
      </c>
      <c r="G1474" s="22" t="s">
        <v>471</v>
      </c>
      <c r="H1474" s="23" t="n">
        <f aca="false">COUNTIF(CAL!U:AF,B1474)</f>
        <v>1</v>
      </c>
      <c r="I1474" s="22" t="n">
        <v>5</v>
      </c>
      <c r="J1474" s="20"/>
    </row>
    <row r="1475" customFormat="false" ht="15.75" hidden="false" customHeight="true" outlineLevel="0" collapsed="false">
      <c r="B1475" s="19" t="n">
        <v>1746</v>
      </c>
      <c r="C1475" s="20" t="s">
        <v>1167</v>
      </c>
      <c r="D1475" s="20" t="s">
        <v>122</v>
      </c>
      <c r="E1475" s="21" t="s">
        <v>3364</v>
      </c>
      <c r="F1475" s="21" t="n">
        <v>36532</v>
      </c>
      <c r="G1475" s="22" t="s">
        <v>471</v>
      </c>
      <c r="H1475" s="23" t="n">
        <f aca="false">COUNTIF(CAL!U:AF,B1475)</f>
        <v>1</v>
      </c>
      <c r="I1475" s="22" t="n">
        <v>5</v>
      </c>
      <c r="J1475" s="20"/>
    </row>
    <row r="1476" customFormat="false" ht="15.75" hidden="false" customHeight="true" outlineLevel="0" collapsed="false">
      <c r="B1476" s="19" t="n">
        <v>2746</v>
      </c>
      <c r="C1476" s="20" t="s">
        <v>3365</v>
      </c>
      <c r="D1476" s="20" t="s">
        <v>350</v>
      </c>
      <c r="E1476" s="21" t="s">
        <v>3366</v>
      </c>
      <c r="F1476" s="21" t="n">
        <v>36182</v>
      </c>
      <c r="G1476" s="22" t="s">
        <v>471</v>
      </c>
      <c r="H1476" s="23" t="n">
        <f aca="false">COUNTIF(CAL!U:AF,B1476)</f>
        <v>1</v>
      </c>
      <c r="I1476" s="22" t="n">
        <v>5</v>
      </c>
      <c r="J1476" s="20"/>
    </row>
    <row r="1477" customFormat="false" ht="15.75" hidden="false" customHeight="true" outlineLevel="0" collapsed="false">
      <c r="B1477" s="19" t="n">
        <v>2935</v>
      </c>
      <c r="C1477" s="20" t="s">
        <v>1782</v>
      </c>
      <c r="D1477" s="20" t="s">
        <v>179</v>
      </c>
      <c r="E1477" s="21" t="s">
        <v>3367</v>
      </c>
      <c r="F1477" s="21" t="n">
        <v>31592</v>
      </c>
      <c r="G1477" s="22" t="s">
        <v>471</v>
      </c>
      <c r="H1477" s="23" t="n">
        <f aca="false">COUNTIF(CAL!U:AF,B1477)</f>
        <v>1</v>
      </c>
      <c r="I1477" s="22" t="n">
        <v>5</v>
      </c>
      <c r="J1477" s="20"/>
    </row>
    <row r="1478" customFormat="false" ht="15.75" hidden="false" customHeight="true" outlineLevel="0" collapsed="false">
      <c r="B1478" s="19" t="n">
        <v>1754</v>
      </c>
      <c r="C1478" s="20" t="s">
        <v>510</v>
      </c>
      <c r="D1478" s="20" t="s">
        <v>225</v>
      </c>
      <c r="E1478" s="21" t="s">
        <v>3368</v>
      </c>
      <c r="F1478" s="21" t="n">
        <v>36714</v>
      </c>
      <c r="G1478" s="22" t="s">
        <v>471</v>
      </c>
      <c r="H1478" s="23" t="n">
        <f aca="false">COUNTIF(CAL!U:AF,B1478)</f>
        <v>1</v>
      </c>
      <c r="I1478" s="22" t="n">
        <v>5</v>
      </c>
      <c r="J1478" s="20"/>
    </row>
    <row r="1479" customFormat="false" ht="15.75" hidden="false" customHeight="true" outlineLevel="0" collapsed="false">
      <c r="B1479" s="19" t="n">
        <v>2314</v>
      </c>
      <c r="C1479" s="20" t="s">
        <v>2580</v>
      </c>
      <c r="D1479" s="20" t="s">
        <v>299</v>
      </c>
      <c r="E1479" s="21" t="s">
        <v>3369</v>
      </c>
      <c r="F1479" s="21" t="n">
        <v>39029</v>
      </c>
      <c r="G1479" s="22" t="s">
        <v>471</v>
      </c>
      <c r="H1479" s="23" t="n">
        <f aca="false">COUNTIF(CAL!U:AF,B1479)</f>
        <v>1</v>
      </c>
      <c r="I1479" s="22" t="n">
        <v>5</v>
      </c>
      <c r="J1479" s="20"/>
    </row>
    <row r="1480" customFormat="false" ht="15.75" hidden="false" customHeight="true" outlineLevel="0" collapsed="false">
      <c r="B1480" s="19" t="n">
        <v>2485</v>
      </c>
      <c r="C1480" s="20" t="s">
        <v>3370</v>
      </c>
      <c r="D1480" s="20" t="s">
        <v>123</v>
      </c>
      <c r="E1480" s="21" t="s">
        <v>3371</v>
      </c>
      <c r="F1480" s="21" t="n">
        <v>37085</v>
      </c>
      <c r="G1480" s="22" t="s">
        <v>471</v>
      </c>
      <c r="H1480" s="23" t="n">
        <f aca="false">COUNTIF(CAL!U:AF,B1480)</f>
        <v>1</v>
      </c>
      <c r="I1480" s="22" t="n">
        <v>5</v>
      </c>
      <c r="J1480" s="20"/>
    </row>
    <row r="1481" customFormat="false" ht="15.75" hidden="false" customHeight="true" outlineLevel="0" collapsed="false">
      <c r="B1481" s="19" t="n">
        <v>2776</v>
      </c>
      <c r="C1481" s="20" t="s">
        <v>3372</v>
      </c>
      <c r="D1481" s="20" t="s">
        <v>319</v>
      </c>
      <c r="E1481" s="21" t="s">
        <v>3373</v>
      </c>
      <c r="F1481" s="21" t="n">
        <v>37037</v>
      </c>
      <c r="G1481" s="22" t="s">
        <v>471</v>
      </c>
      <c r="H1481" s="23" t="n">
        <f aca="false">COUNTIF(CAL!U:AF,B1481)</f>
        <v>1</v>
      </c>
      <c r="I1481" s="22" t="n">
        <v>5</v>
      </c>
      <c r="J1481" s="20"/>
    </row>
    <row r="1482" customFormat="false" ht="15.75" hidden="false" customHeight="true" outlineLevel="0" collapsed="false">
      <c r="B1482" s="19" t="n">
        <v>2784</v>
      </c>
      <c r="C1482" s="20" t="s">
        <v>962</v>
      </c>
      <c r="D1482" s="20" t="s">
        <v>328</v>
      </c>
      <c r="E1482" s="24" t="s">
        <v>3374</v>
      </c>
      <c r="F1482" s="21" t="n">
        <v>36708</v>
      </c>
      <c r="G1482" s="22" t="s">
        <v>471</v>
      </c>
      <c r="H1482" s="23" t="n">
        <f aca="false">COUNTIF(CAL!U:AF,B1482)</f>
        <v>1</v>
      </c>
      <c r="I1482" s="22" t="n">
        <v>5</v>
      </c>
      <c r="J1482" s="20"/>
    </row>
    <row r="1483" customFormat="false" ht="15.75" hidden="false" customHeight="true" outlineLevel="0" collapsed="false">
      <c r="B1483" s="19" t="n">
        <v>1405</v>
      </c>
      <c r="C1483" s="20" t="s">
        <v>3375</v>
      </c>
      <c r="D1483" s="20" t="s">
        <v>161</v>
      </c>
      <c r="E1483" s="21" t="s">
        <v>3376</v>
      </c>
      <c r="F1483" s="21" t="n">
        <v>33634</v>
      </c>
      <c r="G1483" s="22" t="s">
        <v>471</v>
      </c>
      <c r="H1483" s="23" t="n">
        <f aca="false">COUNTIF(CAL!U:AF,B1483)</f>
        <v>1</v>
      </c>
      <c r="I1483" s="22" t="n">
        <v>5</v>
      </c>
      <c r="J1483" s="20"/>
    </row>
    <row r="1484" customFormat="false" ht="15.75" hidden="false" customHeight="true" outlineLevel="0" collapsed="false">
      <c r="B1484" s="19" t="n">
        <v>2637</v>
      </c>
      <c r="C1484" s="20" t="s">
        <v>3377</v>
      </c>
      <c r="D1484" s="20" t="s">
        <v>342</v>
      </c>
      <c r="E1484" s="21" t="s">
        <v>3378</v>
      </c>
      <c r="F1484" s="21" t="n">
        <v>37662</v>
      </c>
      <c r="G1484" s="22" t="s">
        <v>471</v>
      </c>
      <c r="H1484" s="23" t="n">
        <f aca="false">COUNTIF(CAL!U:AF,B1484)</f>
        <v>1</v>
      </c>
      <c r="I1484" s="22" t="n">
        <v>5</v>
      </c>
      <c r="J1484" s="20"/>
    </row>
    <row r="1485" customFormat="false" ht="15.75" hidden="false" customHeight="true" outlineLevel="0" collapsed="false">
      <c r="B1485" s="19" t="n">
        <v>1926</v>
      </c>
      <c r="C1485" s="20" t="s">
        <v>899</v>
      </c>
      <c r="D1485" s="20" t="s">
        <v>297</v>
      </c>
      <c r="E1485" s="24" t="s">
        <v>3379</v>
      </c>
      <c r="F1485" s="21" t="n">
        <v>37113</v>
      </c>
      <c r="G1485" s="22" t="s">
        <v>471</v>
      </c>
      <c r="H1485" s="23" t="n">
        <f aca="false">COUNTIF(CAL!U:AF,B1485)</f>
        <v>1</v>
      </c>
      <c r="I1485" s="22" t="n">
        <v>5</v>
      </c>
      <c r="J1485" s="20"/>
    </row>
    <row r="1486" customFormat="false" ht="15.75" hidden="false" customHeight="true" outlineLevel="0" collapsed="false">
      <c r="B1486" s="19" t="n">
        <v>3447</v>
      </c>
      <c r="C1486" s="20" t="s">
        <v>3380</v>
      </c>
      <c r="D1486" s="20" t="s">
        <v>417</v>
      </c>
      <c r="E1486" s="21" t="s">
        <v>3381</v>
      </c>
      <c r="F1486" s="21" t="n">
        <v>38155</v>
      </c>
      <c r="G1486" s="22" t="s">
        <v>471</v>
      </c>
      <c r="H1486" s="23" t="n">
        <f aca="false">COUNTIF(CAL!U:AF,B1486)</f>
        <v>1</v>
      </c>
      <c r="I1486" s="22" t="n">
        <v>5</v>
      </c>
      <c r="J1486" s="20"/>
    </row>
    <row r="1487" customFormat="false" ht="15.75" hidden="false" customHeight="true" outlineLevel="0" collapsed="false">
      <c r="B1487" s="19" t="n">
        <v>1743</v>
      </c>
      <c r="C1487" s="20" t="s">
        <v>3382</v>
      </c>
      <c r="D1487" s="20" t="s">
        <v>73</v>
      </c>
      <c r="E1487" s="21" t="s">
        <v>3383</v>
      </c>
      <c r="F1487" s="21" t="n">
        <v>38165</v>
      </c>
      <c r="G1487" s="22" t="s">
        <v>770</v>
      </c>
      <c r="H1487" s="23" t="n">
        <f aca="false">COUNTIF(CAL!U:AF,B1487)</f>
        <v>1</v>
      </c>
      <c r="I1487" s="22" t="n">
        <v>5</v>
      </c>
      <c r="J1487" s="20"/>
    </row>
    <row r="1488" customFormat="false" ht="15.75" hidden="false" customHeight="true" outlineLevel="0" collapsed="false">
      <c r="B1488" s="19" t="n">
        <v>2949</v>
      </c>
      <c r="C1488" s="20" t="s">
        <v>3384</v>
      </c>
      <c r="D1488" s="20" t="s">
        <v>275</v>
      </c>
      <c r="E1488" s="21" t="s">
        <v>3385</v>
      </c>
      <c r="F1488" s="21" t="n">
        <v>35118</v>
      </c>
      <c r="G1488" s="22" t="s">
        <v>471</v>
      </c>
      <c r="H1488" s="23" t="n">
        <f aca="false">COUNTIF(CAL!U:AF,B1488)</f>
        <v>1</v>
      </c>
      <c r="I1488" s="22" t="n">
        <v>5</v>
      </c>
      <c r="J1488" s="20"/>
    </row>
    <row r="1489" customFormat="false" ht="15.75" hidden="false" customHeight="true" outlineLevel="0" collapsed="false">
      <c r="B1489" s="19" t="n">
        <v>2946</v>
      </c>
      <c r="C1489" s="20" t="s">
        <v>3386</v>
      </c>
      <c r="D1489" s="20" t="s">
        <v>350</v>
      </c>
      <c r="E1489" s="21" t="s">
        <v>3387</v>
      </c>
      <c r="F1489" s="21" t="n">
        <v>36739</v>
      </c>
      <c r="G1489" s="22" t="s">
        <v>471</v>
      </c>
      <c r="H1489" s="23" t="n">
        <f aca="false">COUNTIF(CAL!U:AF,B1489)</f>
        <v>1</v>
      </c>
      <c r="I1489" s="22" t="n">
        <v>5</v>
      </c>
      <c r="J1489" s="20"/>
    </row>
    <row r="1490" customFormat="false" ht="15.75" hidden="false" customHeight="true" outlineLevel="0" collapsed="false">
      <c r="B1490" s="19" t="n">
        <v>2362</v>
      </c>
      <c r="C1490" s="20" t="s">
        <v>741</v>
      </c>
      <c r="D1490" s="20" t="s">
        <v>271</v>
      </c>
      <c r="E1490" s="21" t="s">
        <v>3388</v>
      </c>
      <c r="F1490" s="21" t="n">
        <v>35448</v>
      </c>
      <c r="G1490" s="22" t="s">
        <v>471</v>
      </c>
      <c r="H1490" s="23" t="n">
        <f aca="false">COUNTIF(CAL!U:AF,B1490)</f>
        <v>1</v>
      </c>
      <c r="I1490" s="22" t="n">
        <v>5</v>
      </c>
      <c r="J1490" s="20"/>
    </row>
    <row r="1491" customFormat="false" ht="15.75" hidden="false" customHeight="true" outlineLevel="0" collapsed="false">
      <c r="B1491" s="19" t="n">
        <v>2990</v>
      </c>
      <c r="C1491" s="20" t="s">
        <v>3389</v>
      </c>
      <c r="D1491" s="20" t="s">
        <v>55</v>
      </c>
      <c r="E1491" s="21" t="s">
        <v>3390</v>
      </c>
      <c r="F1491" s="21" t="n">
        <v>37808</v>
      </c>
      <c r="G1491" s="22" t="s">
        <v>471</v>
      </c>
      <c r="H1491" s="23" t="n">
        <f aca="false">COUNTIF(CAL!U:AF,B1491)</f>
        <v>1</v>
      </c>
      <c r="I1491" s="22" t="n">
        <v>5</v>
      </c>
      <c r="J1491" s="20"/>
    </row>
    <row r="1492" customFormat="false" ht="15.75" hidden="false" customHeight="true" outlineLevel="0" collapsed="false">
      <c r="B1492" s="19" t="n">
        <v>1676</v>
      </c>
      <c r="C1492" s="20" t="s">
        <v>2697</v>
      </c>
      <c r="D1492" s="20" t="s">
        <v>127</v>
      </c>
      <c r="E1492" s="21" t="s">
        <v>3391</v>
      </c>
      <c r="F1492" s="21" t="n">
        <v>37734</v>
      </c>
      <c r="G1492" s="22" t="s">
        <v>471</v>
      </c>
      <c r="H1492" s="23" t="n">
        <f aca="false">COUNTIF(CAL!U:AF,B1492)</f>
        <v>1</v>
      </c>
      <c r="I1492" s="22" t="n">
        <v>5</v>
      </c>
      <c r="J1492" s="20"/>
    </row>
    <row r="1493" customFormat="false" ht="15.75" hidden="false" customHeight="true" outlineLevel="0" collapsed="false">
      <c r="B1493" s="19" t="n">
        <v>2072</v>
      </c>
      <c r="C1493" s="20" t="s">
        <v>3392</v>
      </c>
      <c r="D1493" s="20" t="s">
        <v>309</v>
      </c>
      <c r="E1493" s="21" t="s">
        <v>3393</v>
      </c>
      <c r="F1493" s="21" t="n">
        <v>36918</v>
      </c>
      <c r="G1493" s="22" t="s">
        <v>471</v>
      </c>
      <c r="H1493" s="23" t="n">
        <f aca="false">COUNTIF(CAL!U:AF,B1493)</f>
        <v>1</v>
      </c>
      <c r="I1493" s="22" t="n">
        <v>5</v>
      </c>
      <c r="J1493" s="20"/>
    </row>
    <row r="1494" customFormat="false" ht="15.75" hidden="false" customHeight="true" outlineLevel="0" collapsed="false">
      <c r="B1494" s="19" t="n">
        <v>2382</v>
      </c>
      <c r="C1494" s="20" t="s">
        <v>626</v>
      </c>
      <c r="D1494" s="20" t="s">
        <v>121</v>
      </c>
      <c r="E1494" s="21" t="s">
        <v>3394</v>
      </c>
      <c r="F1494" s="21" t="n">
        <v>36220</v>
      </c>
      <c r="G1494" s="22" t="s">
        <v>471</v>
      </c>
      <c r="H1494" s="23" t="n">
        <f aca="false">COUNTIF(CAL!U:AF,B1494)</f>
        <v>1</v>
      </c>
      <c r="I1494" s="22" t="n">
        <v>5</v>
      </c>
      <c r="J1494" s="20"/>
    </row>
    <row r="1495" customFormat="false" ht="15.75" hidden="false" customHeight="true" outlineLevel="0" collapsed="false">
      <c r="B1495" s="19" t="n">
        <v>2606</v>
      </c>
      <c r="C1495" s="20" t="s">
        <v>3395</v>
      </c>
      <c r="D1495" s="20" t="s">
        <v>313</v>
      </c>
      <c r="E1495" s="24" t="s">
        <v>3396</v>
      </c>
      <c r="F1495" s="21" t="n">
        <v>36582</v>
      </c>
      <c r="G1495" s="22" t="s">
        <v>471</v>
      </c>
      <c r="H1495" s="23" t="n">
        <f aca="false">COUNTIF(CAL!U:AF,B1495)</f>
        <v>1</v>
      </c>
      <c r="I1495" s="22" t="n">
        <v>5</v>
      </c>
      <c r="J1495" s="20"/>
    </row>
    <row r="1496" customFormat="false" ht="15.75" hidden="false" customHeight="true" outlineLevel="0" collapsed="false">
      <c r="B1496" s="19" t="n">
        <v>1532</v>
      </c>
      <c r="C1496" s="20" t="s">
        <v>3397</v>
      </c>
      <c r="D1496" s="20" t="s">
        <v>55</v>
      </c>
      <c r="E1496" s="21" t="s">
        <v>3398</v>
      </c>
      <c r="F1496" s="21" t="n">
        <v>38306</v>
      </c>
      <c r="G1496" s="22" t="s">
        <v>471</v>
      </c>
      <c r="H1496" s="23" t="n">
        <f aca="false">COUNTIF(CAL!U:AF,B1496)</f>
        <v>1</v>
      </c>
      <c r="I1496" s="22" t="n">
        <v>5</v>
      </c>
      <c r="J1496" s="20"/>
    </row>
    <row r="1497" customFormat="false" ht="15.75" hidden="false" customHeight="true" outlineLevel="0" collapsed="false">
      <c r="B1497" s="19" t="n">
        <v>3144</v>
      </c>
      <c r="C1497" s="20" t="s">
        <v>3399</v>
      </c>
      <c r="D1497" s="20" t="s">
        <v>306</v>
      </c>
      <c r="E1497" s="21" t="s">
        <v>3400</v>
      </c>
      <c r="F1497" s="21" t="n">
        <v>32811</v>
      </c>
      <c r="G1497" s="22" t="s">
        <v>471</v>
      </c>
      <c r="H1497" s="23" t="n">
        <f aca="false">COUNTIF(CAL!U:AF,B1497)</f>
        <v>1</v>
      </c>
      <c r="I1497" s="22" t="n">
        <v>6</v>
      </c>
      <c r="J1497" s="20"/>
    </row>
    <row r="1498" customFormat="false" ht="15.75" hidden="false" customHeight="true" outlineLevel="0" collapsed="false">
      <c r="B1498" s="19" t="n">
        <v>1397</v>
      </c>
      <c r="C1498" s="20" t="s">
        <v>3401</v>
      </c>
      <c r="D1498" s="20" t="s">
        <v>262</v>
      </c>
      <c r="E1498" s="21" t="s">
        <v>3402</v>
      </c>
      <c r="F1498" s="21" t="n">
        <v>38563</v>
      </c>
      <c r="G1498" s="22" t="s">
        <v>471</v>
      </c>
      <c r="H1498" s="23" t="n">
        <f aca="false">COUNTIF(CAL!U:AF,B1498)</f>
        <v>1</v>
      </c>
      <c r="I1498" s="22" t="n">
        <v>6</v>
      </c>
      <c r="J1498" s="20"/>
    </row>
    <row r="1499" customFormat="false" ht="15.75" hidden="false" customHeight="true" outlineLevel="0" collapsed="false">
      <c r="B1499" s="19" t="n">
        <v>2894</v>
      </c>
      <c r="C1499" s="20" t="s">
        <v>3403</v>
      </c>
      <c r="D1499" s="20" t="s">
        <v>282</v>
      </c>
      <c r="E1499" s="21" t="s">
        <v>3404</v>
      </c>
      <c r="F1499" s="21" t="n">
        <v>38038</v>
      </c>
      <c r="G1499" s="22" t="s">
        <v>884</v>
      </c>
      <c r="H1499" s="23" t="n">
        <f aca="false">COUNTIF(CAL!U:AF,B1499)</f>
        <v>1</v>
      </c>
      <c r="I1499" s="22" t="n">
        <v>6</v>
      </c>
      <c r="J1499" s="20"/>
    </row>
    <row r="1500" customFormat="false" ht="15.75" hidden="false" customHeight="true" outlineLevel="0" collapsed="false">
      <c r="B1500" s="19" t="n">
        <v>1367</v>
      </c>
      <c r="C1500" s="20" t="s">
        <v>2136</v>
      </c>
      <c r="D1500" s="20" t="s">
        <v>269</v>
      </c>
      <c r="E1500" s="21" t="s">
        <v>3405</v>
      </c>
      <c r="F1500" s="21" t="n">
        <v>33106</v>
      </c>
      <c r="G1500" s="22" t="s">
        <v>471</v>
      </c>
      <c r="H1500" s="23" t="n">
        <f aca="false">COUNTIF(CAL!U:AF,B1500)</f>
        <v>1</v>
      </c>
      <c r="I1500" s="22" t="n">
        <v>6</v>
      </c>
      <c r="J1500" s="20"/>
    </row>
    <row r="1501" customFormat="false" ht="15.75" hidden="false" customHeight="true" outlineLevel="0" collapsed="false">
      <c r="B1501" s="19" t="n">
        <v>3518</v>
      </c>
      <c r="C1501" s="20" t="s">
        <v>1897</v>
      </c>
      <c r="D1501" s="20" t="s">
        <v>417</v>
      </c>
      <c r="E1501" s="21" t="s">
        <v>3406</v>
      </c>
      <c r="F1501" s="21" t="n">
        <v>38601</v>
      </c>
      <c r="G1501" s="22" t="s">
        <v>471</v>
      </c>
      <c r="H1501" s="23" t="n">
        <f aca="false">COUNTIF(CAL!U:AF,B1501)</f>
        <v>1</v>
      </c>
      <c r="I1501" s="22" t="n">
        <v>6</v>
      </c>
      <c r="J1501" s="20"/>
    </row>
    <row r="1502" customFormat="false" ht="15.75" hidden="false" customHeight="true" outlineLevel="0" collapsed="false">
      <c r="B1502" s="19" t="n">
        <v>3183</v>
      </c>
      <c r="C1502" s="20" t="s">
        <v>3407</v>
      </c>
      <c r="D1502" s="20" t="s">
        <v>244</v>
      </c>
      <c r="E1502" s="21" t="s">
        <v>3408</v>
      </c>
      <c r="F1502" s="21" t="n">
        <v>36078</v>
      </c>
      <c r="G1502" s="22" t="s">
        <v>471</v>
      </c>
      <c r="H1502" s="23" t="n">
        <f aca="false">COUNTIF(CAL!U:AF,B1502)</f>
        <v>1</v>
      </c>
      <c r="I1502" s="22" t="n">
        <v>6</v>
      </c>
      <c r="J1502" s="20"/>
    </row>
    <row r="1503" customFormat="false" ht="15.75" hidden="false" customHeight="true" outlineLevel="0" collapsed="false">
      <c r="B1503" s="19" t="n">
        <v>3195</v>
      </c>
      <c r="C1503" s="20" t="s">
        <v>1642</v>
      </c>
      <c r="D1503" s="20" t="s">
        <v>245</v>
      </c>
      <c r="E1503" s="21" t="s">
        <v>3409</v>
      </c>
      <c r="F1503" s="21" t="n">
        <v>37505</v>
      </c>
      <c r="G1503" s="22" t="s">
        <v>471</v>
      </c>
      <c r="H1503" s="23" t="n">
        <f aca="false">COUNTIF(CAL!U:AF,B1503)</f>
        <v>1</v>
      </c>
      <c r="I1503" s="22" t="n">
        <v>6</v>
      </c>
      <c r="J1503" s="20"/>
    </row>
    <row r="1504" customFormat="false" ht="15.75" hidden="false" customHeight="true" outlineLevel="0" collapsed="false">
      <c r="B1504" s="19" t="n">
        <v>3317</v>
      </c>
      <c r="C1504" s="20" t="s">
        <v>3410</v>
      </c>
      <c r="D1504" s="20" t="s">
        <v>48</v>
      </c>
      <c r="E1504" s="21" t="s">
        <v>3411</v>
      </c>
      <c r="F1504" s="21" t="n">
        <v>36306</v>
      </c>
      <c r="G1504" s="22" t="s">
        <v>471</v>
      </c>
      <c r="H1504" s="23" t="n">
        <f aca="false">COUNTIF(CAL!U:AF,B1504)</f>
        <v>1</v>
      </c>
      <c r="I1504" s="22" t="n">
        <v>6</v>
      </c>
      <c r="J1504" s="20"/>
    </row>
    <row r="1505" customFormat="false" ht="15.75" hidden="false" customHeight="true" outlineLevel="0" collapsed="false">
      <c r="B1505" s="19" t="n">
        <v>2004</v>
      </c>
      <c r="C1505" s="20" t="s">
        <v>3412</v>
      </c>
      <c r="D1505" s="20" t="s">
        <v>194</v>
      </c>
      <c r="E1505" s="21" t="s">
        <v>3413</v>
      </c>
      <c r="F1505" s="21" t="n">
        <v>35481</v>
      </c>
      <c r="G1505" s="22" t="s">
        <v>471</v>
      </c>
      <c r="H1505" s="23" t="n">
        <f aca="false">COUNTIF(CAL!U:AF,B1505)</f>
        <v>1</v>
      </c>
      <c r="I1505" s="22" t="n">
        <v>6</v>
      </c>
      <c r="J1505" s="20"/>
    </row>
    <row r="1506" customFormat="false" ht="15.75" hidden="false" customHeight="true" outlineLevel="0" collapsed="false">
      <c r="B1506" s="19" t="n">
        <v>1476</v>
      </c>
      <c r="C1506" s="20" t="s">
        <v>3414</v>
      </c>
      <c r="D1506" s="20" t="s">
        <v>340</v>
      </c>
      <c r="E1506" s="21" t="s">
        <v>3415</v>
      </c>
      <c r="F1506" s="21" t="n">
        <v>33274</v>
      </c>
      <c r="G1506" s="22" t="s">
        <v>504</v>
      </c>
      <c r="H1506" s="23" t="n">
        <f aca="false">COUNTIF(CAL!U:AF,B1506)</f>
        <v>1</v>
      </c>
      <c r="I1506" s="22" t="n">
        <v>6</v>
      </c>
      <c r="J1506" s="20" t="s">
        <v>3416</v>
      </c>
    </row>
    <row r="1507" customFormat="false" ht="15.75" hidden="false" customHeight="true" outlineLevel="0" collapsed="false">
      <c r="B1507" s="19" t="n">
        <v>2484</v>
      </c>
      <c r="C1507" s="20" t="s">
        <v>3417</v>
      </c>
      <c r="D1507" s="20" t="s">
        <v>123</v>
      </c>
      <c r="E1507" s="21" t="s">
        <v>3418</v>
      </c>
      <c r="F1507" s="21" t="n">
        <v>36543</v>
      </c>
      <c r="G1507" s="22" t="s">
        <v>1781</v>
      </c>
      <c r="H1507" s="23" t="n">
        <f aca="false">COUNTIF(CAL!U:AF,B1507)</f>
        <v>1</v>
      </c>
      <c r="I1507" s="22" t="n">
        <v>6</v>
      </c>
      <c r="J1507" s="20"/>
    </row>
    <row r="1508" customFormat="false" ht="15.75" hidden="false" customHeight="true" outlineLevel="0" collapsed="false">
      <c r="B1508" s="19" t="n">
        <v>2914</v>
      </c>
      <c r="C1508" s="20" t="s">
        <v>3419</v>
      </c>
      <c r="D1508" s="20" t="s">
        <v>370</v>
      </c>
      <c r="E1508" s="21" t="s">
        <v>3420</v>
      </c>
      <c r="F1508" s="21" t="n">
        <v>35449</v>
      </c>
      <c r="G1508" s="22" t="s">
        <v>471</v>
      </c>
      <c r="H1508" s="23" t="n">
        <f aca="false">COUNTIF(CAL!U:AF,B1508)</f>
        <v>1</v>
      </c>
      <c r="I1508" s="22" t="n">
        <v>6</v>
      </c>
      <c r="J1508" s="20"/>
    </row>
    <row r="1509" customFormat="false" ht="15.75" hidden="false" customHeight="true" outlineLevel="0" collapsed="false">
      <c r="B1509" s="19" t="n">
        <v>1379</v>
      </c>
      <c r="C1509" s="20" t="s">
        <v>1252</v>
      </c>
      <c r="D1509" s="20" t="s">
        <v>41</v>
      </c>
      <c r="E1509" s="21" t="s">
        <v>3421</v>
      </c>
      <c r="F1509" s="21" t="n">
        <v>34849</v>
      </c>
      <c r="G1509" s="22" t="s">
        <v>471</v>
      </c>
      <c r="H1509" s="23" t="n">
        <f aca="false">COUNTIF(CAL!U:AF,B1509)</f>
        <v>1</v>
      </c>
      <c r="I1509" s="22" t="n">
        <v>6</v>
      </c>
      <c r="J1509" s="20"/>
    </row>
    <row r="1510" customFormat="false" ht="15.75" hidden="false" customHeight="true" outlineLevel="0" collapsed="false">
      <c r="B1510" s="19" t="n">
        <v>2837</v>
      </c>
      <c r="C1510" s="20" t="s">
        <v>3422</v>
      </c>
      <c r="D1510" s="20" t="s">
        <v>316</v>
      </c>
      <c r="E1510" s="21" t="s">
        <v>3423</v>
      </c>
      <c r="F1510" s="21" t="n">
        <v>35909</v>
      </c>
      <c r="G1510" s="22" t="s">
        <v>471</v>
      </c>
      <c r="H1510" s="23" t="n">
        <f aca="false">COUNTIF(CAL!U:AF,B1510)</f>
        <v>1</v>
      </c>
      <c r="I1510" s="22" t="n">
        <v>6</v>
      </c>
      <c r="J1510" s="20" t="s">
        <v>3424</v>
      </c>
    </row>
    <row r="1511" customFormat="false" ht="15.75" hidden="false" customHeight="true" outlineLevel="0" collapsed="false">
      <c r="B1511" s="19" t="n">
        <v>1703</v>
      </c>
      <c r="C1511" s="20" t="s">
        <v>3425</v>
      </c>
      <c r="D1511" s="20" t="s">
        <v>167</v>
      </c>
      <c r="E1511" s="21" t="s">
        <v>3426</v>
      </c>
      <c r="F1511" s="21" t="n">
        <v>33860</v>
      </c>
      <c r="G1511" s="22" t="s">
        <v>471</v>
      </c>
      <c r="H1511" s="23" t="n">
        <f aca="false">COUNTIF(CAL!U:AF,B1511)</f>
        <v>1</v>
      </c>
      <c r="I1511" s="22" t="n">
        <v>6</v>
      </c>
      <c r="J1511" s="20"/>
    </row>
    <row r="1512" customFormat="false" ht="15.75" hidden="false" customHeight="true" outlineLevel="0" collapsed="false">
      <c r="B1512" s="19" t="n">
        <v>3377</v>
      </c>
      <c r="C1512" s="20" t="s">
        <v>3427</v>
      </c>
      <c r="D1512" s="20" t="s">
        <v>418</v>
      </c>
      <c r="E1512" s="21" t="s">
        <v>3428</v>
      </c>
      <c r="F1512" s="21" t="n">
        <v>35843</v>
      </c>
      <c r="G1512" s="22" t="s">
        <v>471</v>
      </c>
      <c r="H1512" s="23" t="n">
        <f aca="false">COUNTIF(CAL!U:AF,B1512)</f>
        <v>1</v>
      </c>
      <c r="I1512" s="22" t="n">
        <v>6</v>
      </c>
      <c r="J1512" s="20"/>
    </row>
    <row r="1513" customFormat="false" ht="15.75" hidden="false" customHeight="true" outlineLevel="0" collapsed="false">
      <c r="B1513" s="19" t="n">
        <v>2040</v>
      </c>
      <c r="C1513" s="20" t="s">
        <v>3429</v>
      </c>
      <c r="D1513" s="20" t="s">
        <v>75</v>
      </c>
      <c r="E1513" s="21" t="s">
        <v>3430</v>
      </c>
      <c r="F1513" s="21" t="n">
        <v>37063</v>
      </c>
      <c r="G1513" s="22" t="s">
        <v>471</v>
      </c>
      <c r="H1513" s="23" t="n">
        <f aca="false">COUNTIF(CAL!U:AF,B1513)</f>
        <v>1</v>
      </c>
      <c r="I1513" s="22" t="n">
        <v>6</v>
      </c>
      <c r="J1513" s="20"/>
    </row>
    <row r="1514" customFormat="false" ht="15.75" hidden="false" customHeight="true" outlineLevel="0" collapsed="false">
      <c r="B1514" s="19" t="n">
        <v>3040</v>
      </c>
      <c r="C1514" s="20" t="s">
        <v>1191</v>
      </c>
      <c r="D1514" s="20" t="s">
        <v>370</v>
      </c>
      <c r="E1514" s="21" t="s">
        <v>3431</v>
      </c>
      <c r="F1514" s="21" t="n">
        <v>38031</v>
      </c>
      <c r="G1514" s="22" t="s">
        <v>471</v>
      </c>
      <c r="H1514" s="23" t="n">
        <f aca="false">COUNTIF(CAL!U:AF,B1514)</f>
        <v>1</v>
      </c>
      <c r="I1514" s="22" t="n">
        <v>6</v>
      </c>
      <c r="J1514" s="20"/>
    </row>
    <row r="1515" customFormat="false" ht="15.75" hidden="false" customHeight="true" outlineLevel="0" collapsed="false">
      <c r="B1515" s="19" t="n">
        <v>2079</v>
      </c>
      <c r="C1515" s="20" t="s">
        <v>3432</v>
      </c>
      <c r="D1515" s="20" t="s">
        <v>162</v>
      </c>
      <c r="E1515" s="21" t="s">
        <v>3433</v>
      </c>
      <c r="F1515" s="21" t="n">
        <v>37522</v>
      </c>
      <c r="G1515" s="22" t="s">
        <v>471</v>
      </c>
      <c r="H1515" s="23" t="n">
        <f aca="false">COUNTIF(CAL!U:AF,B1515)</f>
        <v>1</v>
      </c>
      <c r="I1515" s="22" t="n">
        <v>6</v>
      </c>
      <c r="J1515" s="20"/>
    </row>
    <row r="1516" customFormat="false" ht="15.75" hidden="false" customHeight="true" outlineLevel="0" collapsed="false">
      <c r="B1516" s="19" t="n">
        <v>2628</v>
      </c>
      <c r="C1516" s="20" t="s">
        <v>3434</v>
      </c>
      <c r="D1516" s="20" t="s">
        <v>171</v>
      </c>
      <c r="E1516" s="21" t="s">
        <v>3435</v>
      </c>
      <c r="F1516" s="21" t="n">
        <v>32866</v>
      </c>
      <c r="G1516" s="22" t="s">
        <v>471</v>
      </c>
      <c r="H1516" s="23" t="n">
        <f aca="false">COUNTIF(CAL!U:AF,B1516)</f>
        <v>1</v>
      </c>
      <c r="I1516" s="22" t="n">
        <v>6</v>
      </c>
      <c r="J1516" s="20"/>
    </row>
    <row r="1517" customFormat="false" ht="15.75" hidden="false" customHeight="true" outlineLevel="0" collapsed="false">
      <c r="B1517" s="19" t="n">
        <v>2698</v>
      </c>
      <c r="C1517" s="20" t="s">
        <v>3436</v>
      </c>
      <c r="D1517" s="20" t="s">
        <v>287</v>
      </c>
      <c r="E1517" s="21" t="s">
        <v>3437</v>
      </c>
      <c r="F1517" s="21" t="n">
        <v>37314</v>
      </c>
      <c r="G1517" s="22" t="s">
        <v>471</v>
      </c>
      <c r="H1517" s="23" t="n">
        <f aca="false">COUNTIF(CAL!U:AF,B1517)</f>
        <v>1</v>
      </c>
      <c r="I1517" s="22" t="n">
        <v>6</v>
      </c>
      <c r="J1517" s="20"/>
    </row>
    <row r="1518" customFormat="false" ht="15.75" hidden="false" customHeight="true" outlineLevel="0" collapsed="false">
      <c r="B1518" s="19" t="n">
        <v>3309</v>
      </c>
      <c r="C1518" s="20" t="s">
        <v>3438</v>
      </c>
      <c r="D1518" s="20" t="s">
        <v>303</v>
      </c>
      <c r="E1518" s="21" t="s">
        <v>3439</v>
      </c>
      <c r="F1518" s="21" t="n">
        <v>35414</v>
      </c>
      <c r="G1518" s="22" t="s">
        <v>481</v>
      </c>
      <c r="H1518" s="23" t="n">
        <f aca="false">COUNTIF(CAL!U:AF,B1518)</f>
        <v>1</v>
      </c>
      <c r="I1518" s="22" t="n">
        <v>6</v>
      </c>
      <c r="J1518" s="20"/>
    </row>
    <row r="1519" customFormat="false" ht="15.75" hidden="false" customHeight="true" outlineLevel="0" collapsed="false">
      <c r="B1519" s="19" t="n">
        <v>3363</v>
      </c>
      <c r="C1519" s="20" t="s">
        <v>3440</v>
      </c>
      <c r="D1519" s="20" t="s">
        <v>268</v>
      </c>
      <c r="E1519" s="21" t="s">
        <v>3441</v>
      </c>
      <c r="F1519" s="21" t="n">
        <v>37668</v>
      </c>
      <c r="G1519" s="22" t="s">
        <v>471</v>
      </c>
      <c r="H1519" s="23" t="n">
        <f aca="false">COUNTIF(CAL!U:AF,B1519)</f>
        <v>1</v>
      </c>
      <c r="I1519" s="22" t="n">
        <v>6</v>
      </c>
      <c r="J1519" s="20"/>
    </row>
    <row r="1520" customFormat="false" ht="15.75" hidden="false" customHeight="true" outlineLevel="0" collapsed="false">
      <c r="B1520" s="19" t="n">
        <v>1559</v>
      </c>
      <c r="C1520" s="20" t="s">
        <v>3442</v>
      </c>
      <c r="D1520" s="20" t="s">
        <v>111</v>
      </c>
      <c r="E1520" s="21" t="s">
        <v>3443</v>
      </c>
      <c r="F1520" s="21" t="n">
        <v>38125</v>
      </c>
      <c r="G1520" s="22" t="s">
        <v>471</v>
      </c>
      <c r="H1520" s="23" t="n">
        <f aca="false">COUNTIF(CAL!U:AF,B1520)</f>
        <v>1</v>
      </c>
      <c r="I1520" s="22" t="n">
        <v>6</v>
      </c>
      <c r="J1520" s="20"/>
    </row>
    <row r="1521" customFormat="false" ht="15.75" hidden="false" customHeight="true" outlineLevel="0" collapsed="false">
      <c r="B1521" s="19" t="n">
        <v>2920</v>
      </c>
      <c r="C1521" s="20" t="s">
        <v>3444</v>
      </c>
      <c r="D1521" s="20" t="s">
        <v>207</v>
      </c>
      <c r="E1521" s="21" t="s">
        <v>3445</v>
      </c>
      <c r="F1521" s="21" t="n">
        <v>35582</v>
      </c>
      <c r="G1521" s="22" t="s">
        <v>1017</v>
      </c>
      <c r="H1521" s="23" t="n">
        <f aca="false">COUNTIF(CAL!U:AF,B1521)</f>
        <v>1</v>
      </c>
      <c r="I1521" s="22" t="n">
        <v>6</v>
      </c>
      <c r="J1521" s="20"/>
    </row>
    <row r="1522" customFormat="false" ht="15.75" hidden="false" customHeight="true" outlineLevel="0" collapsed="false">
      <c r="B1522" s="19" t="n">
        <v>1235</v>
      </c>
      <c r="C1522" s="20" t="s">
        <v>3446</v>
      </c>
      <c r="D1522" s="20" t="s">
        <v>249</v>
      </c>
      <c r="E1522" s="21" t="s">
        <v>3447</v>
      </c>
      <c r="F1522" s="21" t="n">
        <v>33375</v>
      </c>
      <c r="G1522" s="22" t="s">
        <v>471</v>
      </c>
      <c r="H1522" s="23" t="n">
        <f aca="false">COUNTIF(CAL!U:AF,B1522)</f>
        <v>1</v>
      </c>
      <c r="I1522" s="22" t="n">
        <v>6</v>
      </c>
      <c r="J1522" s="20"/>
    </row>
    <row r="1523" customFormat="false" ht="15.75" hidden="false" customHeight="true" outlineLevel="0" collapsed="false">
      <c r="B1523" s="19" t="n">
        <v>1375</v>
      </c>
      <c r="C1523" s="20" t="s">
        <v>3448</v>
      </c>
      <c r="D1523" s="20" t="s">
        <v>108</v>
      </c>
      <c r="E1523" s="21" t="s">
        <v>3449</v>
      </c>
      <c r="F1523" s="21" t="n">
        <v>38323</v>
      </c>
      <c r="G1523" s="22" t="s">
        <v>471</v>
      </c>
      <c r="H1523" s="23" t="n">
        <f aca="false">COUNTIF(CAL!U:AF,B1523)</f>
        <v>1</v>
      </c>
      <c r="I1523" s="22" t="n">
        <v>6</v>
      </c>
      <c r="J1523" s="20"/>
    </row>
    <row r="1524" customFormat="false" ht="15.75" hidden="false" customHeight="true" outlineLevel="0" collapsed="false">
      <c r="B1524" s="19" t="n">
        <v>1230</v>
      </c>
      <c r="C1524" s="20" t="s">
        <v>3450</v>
      </c>
      <c r="D1524" s="20" t="s">
        <v>127</v>
      </c>
      <c r="E1524" s="21" t="s">
        <v>3451</v>
      </c>
      <c r="F1524" s="21" t="n">
        <v>35819</v>
      </c>
      <c r="G1524" s="22" t="s">
        <v>471</v>
      </c>
      <c r="H1524" s="23" t="n">
        <f aca="false">COUNTIF(CAL!U:AF,B1524)</f>
        <v>1</v>
      </c>
      <c r="I1524" s="22" t="n">
        <v>6</v>
      </c>
      <c r="J1524" s="20"/>
    </row>
    <row r="1525" customFormat="false" ht="15.75" hidden="false" customHeight="true" outlineLevel="0" collapsed="false">
      <c r="B1525" s="19" t="n">
        <v>2982</v>
      </c>
      <c r="C1525" s="20" t="s">
        <v>2284</v>
      </c>
      <c r="D1525" s="20" t="s">
        <v>271</v>
      </c>
      <c r="E1525" s="21" t="s">
        <v>3452</v>
      </c>
      <c r="F1525" s="21" t="n">
        <v>35630</v>
      </c>
      <c r="G1525" s="22" t="s">
        <v>471</v>
      </c>
      <c r="H1525" s="23" t="n">
        <f aca="false">COUNTIF(CAL!U:AF,B1525)</f>
        <v>1</v>
      </c>
      <c r="I1525" s="22" t="n">
        <v>6</v>
      </c>
      <c r="J1525" s="20"/>
    </row>
    <row r="1526" customFormat="false" ht="15.75" hidden="false" customHeight="true" outlineLevel="0" collapsed="false">
      <c r="B1526" s="19" t="n">
        <v>2451</v>
      </c>
      <c r="C1526" s="20" t="s">
        <v>3453</v>
      </c>
      <c r="D1526" s="20" t="s">
        <v>320</v>
      </c>
      <c r="E1526" s="21" t="s">
        <v>3454</v>
      </c>
      <c r="F1526" s="21" t="n">
        <v>35282</v>
      </c>
      <c r="G1526" s="22" t="s">
        <v>471</v>
      </c>
      <c r="H1526" s="23" t="n">
        <f aca="false">COUNTIF(CAL!U:AF,B1526)</f>
        <v>1</v>
      </c>
      <c r="I1526" s="22" t="n">
        <v>6</v>
      </c>
      <c r="J1526" s="20"/>
    </row>
    <row r="1527" customFormat="false" ht="15.75" hidden="false" customHeight="true" outlineLevel="0" collapsed="false">
      <c r="B1527" s="19" t="n">
        <v>3513</v>
      </c>
      <c r="C1527" s="20" t="s">
        <v>3455</v>
      </c>
      <c r="D1527" s="20" t="s">
        <v>377</v>
      </c>
      <c r="E1527" s="21" t="s">
        <v>3456</v>
      </c>
      <c r="F1527" s="21" t="n">
        <v>38040</v>
      </c>
      <c r="G1527" s="22" t="s">
        <v>471</v>
      </c>
      <c r="H1527" s="23" t="n">
        <f aca="false">COUNTIF(CAL!U:AF,B1527)</f>
        <v>1</v>
      </c>
      <c r="I1527" s="22" t="n">
        <v>6</v>
      </c>
      <c r="J1527" s="20"/>
    </row>
    <row r="1528" customFormat="false" ht="15.75" hidden="false" customHeight="true" outlineLevel="0" collapsed="false">
      <c r="B1528" s="19" t="n">
        <v>2764</v>
      </c>
      <c r="C1528" s="20" t="s">
        <v>3457</v>
      </c>
      <c r="D1528" s="20" t="s">
        <v>323</v>
      </c>
      <c r="E1528" s="21" t="s">
        <v>3458</v>
      </c>
      <c r="F1528" s="21" t="n">
        <v>34272</v>
      </c>
      <c r="G1528" s="22" t="s">
        <v>471</v>
      </c>
      <c r="H1528" s="23" t="n">
        <f aca="false">COUNTIF(CAL!U:AF,B1528)</f>
        <v>1</v>
      </c>
      <c r="I1528" s="22" t="n">
        <v>6</v>
      </c>
      <c r="J1528" s="20"/>
    </row>
    <row r="1529" customFormat="false" ht="15.75" hidden="false" customHeight="true" outlineLevel="0" collapsed="false">
      <c r="B1529" s="19" t="n">
        <v>3391</v>
      </c>
      <c r="C1529" s="20" t="s">
        <v>3459</v>
      </c>
      <c r="D1529" s="20" t="s">
        <v>364</v>
      </c>
      <c r="E1529" s="21" t="s">
        <v>3460</v>
      </c>
      <c r="F1529" s="21" t="n">
        <v>38037</v>
      </c>
      <c r="G1529" s="22" t="s">
        <v>471</v>
      </c>
      <c r="H1529" s="23" t="n">
        <f aca="false">COUNTIF(CAL!U:AF,B1529)</f>
        <v>1</v>
      </c>
      <c r="I1529" s="22" t="n">
        <v>6</v>
      </c>
      <c r="J1529" s="20"/>
    </row>
    <row r="1530" customFormat="false" ht="15.75" hidden="false" customHeight="true" outlineLevel="0" collapsed="false">
      <c r="B1530" s="19" t="n">
        <v>1775</v>
      </c>
      <c r="C1530" s="20" t="s">
        <v>3461</v>
      </c>
      <c r="D1530" s="20" t="s">
        <v>349</v>
      </c>
      <c r="E1530" s="21" t="s">
        <v>3462</v>
      </c>
      <c r="F1530" s="21" t="n">
        <v>37230</v>
      </c>
      <c r="G1530" s="22" t="s">
        <v>471</v>
      </c>
      <c r="H1530" s="23" t="n">
        <f aca="false">COUNTIF(CAL!U:AF,B1530)</f>
        <v>1</v>
      </c>
      <c r="I1530" s="22" t="n">
        <v>6</v>
      </c>
      <c r="J1530" s="20"/>
    </row>
    <row r="1531" customFormat="false" ht="15.75" hidden="false" customHeight="true" outlineLevel="0" collapsed="false">
      <c r="B1531" s="19" t="n">
        <v>2500</v>
      </c>
      <c r="C1531" s="20" t="s">
        <v>1265</v>
      </c>
      <c r="D1531" s="20" t="s">
        <v>203</v>
      </c>
      <c r="E1531" s="21" t="s">
        <v>3463</v>
      </c>
      <c r="F1531" s="21" t="n">
        <v>37037</v>
      </c>
      <c r="G1531" s="22" t="s">
        <v>471</v>
      </c>
      <c r="H1531" s="23" t="n">
        <f aca="false">COUNTIF(CAL!U:AF,B1531)</f>
        <v>1</v>
      </c>
      <c r="I1531" s="22" t="n">
        <v>6</v>
      </c>
      <c r="J1531" s="20"/>
    </row>
    <row r="1532" customFormat="false" ht="15.75" hidden="false" customHeight="true" outlineLevel="0" collapsed="false">
      <c r="B1532" s="19" t="n">
        <v>3541</v>
      </c>
      <c r="C1532" s="20" t="s">
        <v>3464</v>
      </c>
      <c r="D1532" s="20" t="s">
        <v>187</v>
      </c>
      <c r="E1532" s="24" t="s">
        <v>3465</v>
      </c>
      <c r="F1532" s="21" t="n">
        <v>36721</v>
      </c>
      <c r="G1532" s="22" t="s">
        <v>1000</v>
      </c>
      <c r="H1532" s="23" t="n">
        <f aca="false">COUNTIF(CAL!U:AF,B1532)</f>
        <v>1</v>
      </c>
      <c r="I1532" s="22" t="n">
        <v>6</v>
      </c>
      <c r="J1532" s="20"/>
    </row>
    <row r="1533" customFormat="false" ht="15.75" hidden="false" customHeight="true" outlineLevel="0" collapsed="false">
      <c r="B1533" s="19" t="n">
        <v>1997</v>
      </c>
      <c r="C1533" s="20" t="s">
        <v>3466</v>
      </c>
      <c r="D1533" s="20" t="s">
        <v>125</v>
      </c>
      <c r="E1533" s="21" t="s">
        <v>3467</v>
      </c>
      <c r="F1533" s="21" t="n">
        <v>36122</v>
      </c>
      <c r="G1533" s="22" t="s">
        <v>471</v>
      </c>
      <c r="H1533" s="23" t="n">
        <f aca="false">COUNTIF(CAL!U:AF,B1533)</f>
        <v>1</v>
      </c>
      <c r="I1533" s="22" t="n">
        <v>6</v>
      </c>
      <c r="J1533" s="20"/>
    </row>
    <row r="1534" customFormat="false" ht="15.75" hidden="false" customHeight="true" outlineLevel="0" collapsed="false">
      <c r="B1534" s="19" t="n">
        <v>2883</v>
      </c>
      <c r="C1534" s="20" t="s">
        <v>3468</v>
      </c>
      <c r="D1534" s="20" t="s">
        <v>288</v>
      </c>
      <c r="E1534" s="21" t="s">
        <v>3469</v>
      </c>
      <c r="F1534" s="21" t="n">
        <v>36355</v>
      </c>
      <c r="G1534" s="22" t="s">
        <v>471</v>
      </c>
      <c r="H1534" s="23" t="n">
        <f aca="false">COUNTIF(CAL!U:AF,B1534)</f>
        <v>1</v>
      </c>
      <c r="I1534" s="22" t="n">
        <v>6</v>
      </c>
      <c r="J1534" s="20"/>
    </row>
    <row r="1535" customFormat="false" ht="15.75" hidden="false" customHeight="true" outlineLevel="0" collapsed="false">
      <c r="B1535" s="19" t="n">
        <v>2704</v>
      </c>
      <c r="C1535" s="20" t="s">
        <v>3470</v>
      </c>
      <c r="D1535" s="20" t="s">
        <v>325</v>
      </c>
      <c r="E1535" s="24" t="s">
        <v>3471</v>
      </c>
      <c r="F1535" s="21" t="n">
        <v>33030</v>
      </c>
      <c r="G1535" s="22" t="s">
        <v>471</v>
      </c>
      <c r="H1535" s="23" t="n">
        <f aca="false">COUNTIF(CAL!U:AF,B1535)</f>
        <v>1</v>
      </c>
      <c r="I1535" s="22" t="n">
        <v>6</v>
      </c>
      <c r="J1535" s="20"/>
    </row>
    <row r="1536" customFormat="false" ht="15.75" hidden="false" customHeight="true" outlineLevel="0" collapsed="false">
      <c r="B1536" s="19" t="n">
        <v>1995</v>
      </c>
      <c r="C1536" s="20" t="s">
        <v>3472</v>
      </c>
      <c r="D1536" s="20" t="s">
        <v>127</v>
      </c>
      <c r="E1536" s="21" t="s">
        <v>3473</v>
      </c>
      <c r="F1536" s="21" t="n">
        <v>36873</v>
      </c>
      <c r="G1536" s="22" t="s">
        <v>471</v>
      </c>
      <c r="H1536" s="23" t="n">
        <f aca="false">COUNTIF(CAL!U:AF,B1536)</f>
        <v>1</v>
      </c>
      <c r="I1536" s="22" t="n">
        <v>6</v>
      </c>
      <c r="J1536" s="20"/>
    </row>
    <row r="1537" customFormat="false" ht="15.75" hidden="false" customHeight="true" outlineLevel="0" collapsed="false">
      <c r="B1537" s="19" t="n">
        <v>1394</v>
      </c>
      <c r="C1537" s="20" t="s">
        <v>782</v>
      </c>
      <c r="D1537" s="20" t="s">
        <v>261</v>
      </c>
      <c r="E1537" s="21" t="s">
        <v>3474</v>
      </c>
      <c r="F1537" s="21" t="n">
        <v>36849</v>
      </c>
      <c r="G1537" s="22" t="s">
        <v>471</v>
      </c>
      <c r="H1537" s="23" t="n">
        <f aca="false">COUNTIF(CAL!U:AF,B1537)</f>
        <v>1</v>
      </c>
      <c r="I1537" s="22" t="n">
        <v>6</v>
      </c>
      <c r="J1537" s="20"/>
    </row>
    <row r="1538" customFormat="false" ht="15.75" hidden="false" customHeight="true" outlineLevel="0" collapsed="false">
      <c r="B1538" s="19" t="n">
        <v>1996</v>
      </c>
      <c r="C1538" s="20" t="s">
        <v>3475</v>
      </c>
      <c r="D1538" s="20" t="s">
        <v>127</v>
      </c>
      <c r="E1538" s="21" t="s">
        <v>3476</v>
      </c>
      <c r="F1538" s="21" t="n">
        <v>36055</v>
      </c>
      <c r="G1538" s="22" t="s">
        <v>471</v>
      </c>
      <c r="H1538" s="23" t="n">
        <f aca="false">COUNTIF(CAL!U:AF,B1538)</f>
        <v>1</v>
      </c>
      <c r="I1538" s="22" t="n">
        <v>6</v>
      </c>
      <c r="J1538" s="20"/>
    </row>
    <row r="1539" customFormat="false" ht="15.75" hidden="false" customHeight="true" outlineLevel="0" collapsed="false">
      <c r="B1539" s="19" t="n">
        <v>3161</v>
      </c>
      <c r="C1539" s="20" t="s">
        <v>2485</v>
      </c>
      <c r="D1539" s="20" t="s">
        <v>412</v>
      </c>
      <c r="E1539" s="21" t="s">
        <v>3477</v>
      </c>
      <c r="F1539" s="21" t="n">
        <v>37440</v>
      </c>
      <c r="G1539" s="22" t="s">
        <v>471</v>
      </c>
      <c r="H1539" s="23" t="n">
        <f aca="false">COUNTIF(CAL!U:AF,B1539)</f>
        <v>1</v>
      </c>
      <c r="I1539" s="22" t="n">
        <v>6</v>
      </c>
      <c r="J1539" s="20"/>
    </row>
    <row r="1540" customFormat="false" ht="15.75" hidden="false" customHeight="true" outlineLevel="0" collapsed="false">
      <c r="B1540" s="19" t="n">
        <v>2732</v>
      </c>
      <c r="C1540" s="20" t="s">
        <v>3478</v>
      </c>
      <c r="D1540" s="20" t="s">
        <v>311</v>
      </c>
      <c r="E1540" s="24" t="s">
        <v>3479</v>
      </c>
      <c r="F1540" s="21" t="n">
        <v>35877</v>
      </c>
      <c r="G1540" s="22" t="s">
        <v>471</v>
      </c>
      <c r="H1540" s="23" t="n">
        <f aca="false">COUNTIF(CAL!U:AF,B1540)</f>
        <v>1</v>
      </c>
      <c r="I1540" s="22" t="n">
        <v>6</v>
      </c>
      <c r="J1540" s="20"/>
    </row>
    <row r="1541" customFormat="false" ht="15.75" hidden="false" customHeight="true" outlineLevel="0" collapsed="false">
      <c r="B1541" s="19" t="n">
        <v>2569</v>
      </c>
      <c r="C1541" s="20" t="s">
        <v>3480</v>
      </c>
      <c r="D1541" s="20" t="s">
        <v>110</v>
      </c>
      <c r="E1541" s="24" t="s">
        <v>3481</v>
      </c>
      <c r="F1541" s="21" t="n">
        <v>32931</v>
      </c>
      <c r="G1541" s="22" t="s">
        <v>471</v>
      </c>
      <c r="H1541" s="23" t="n">
        <f aca="false">COUNTIF(CAL!U:AF,B1541)</f>
        <v>1</v>
      </c>
      <c r="I1541" s="22" t="n">
        <v>6</v>
      </c>
      <c r="J1541" s="20"/>
    </row>
    <row r="1542" customFormat="false" ht="15.75" hidden="false" customHeight="true" outlineLevel="0" collapsed="false">
      <c r="B1542" s="19" t="n">
        <v>3533</v>
      </c>
      <c r="C1542" s="20" t="s">
        <v>3482</v>
      </c>
      <c r="D1542" s="20" t="s">
        <v>412</v>
      </c>
      <c r="E1542" s="24" t="s">
        <v>3483</v>
      </c>
      <c r="F1542" s="21" t="n">
        <v>36902</v>
      </c>
      <c r="G1542" s="22" t="s">
        <v>471</v>
      </c>
      <c r="H1542" s="23" t="n">
        <f aca="false">COUNTIF(CAL!U:AF,B1542)</f>
        <v>1</v>
      </c>
      <c r="I1542" s="22" t="n">
        <v>6</v>
      </c>
      <c r="J1542" s="20"/>
    </row>
    <row r="1543" customFormat="false" ht="15.75" hidden="false" customHeight="true" outlineLevel="0" collapsed="false">
      <c r="B1543" s="19" t="n">
        <v>2334</v>
      </c>
      <c r="C1543" s="20" t="s">
        <v>806</v>
      </c>
      <c r="D1543" s="20" t="s">
        <v>334</v>
      </c>
      <c r="E1543" s="21" t="s">
        <v>3484</v>
      </c>
      <c r="F1543" s="21" t="n">
        <v>37542</v>
      </c>
      <c r="G1543" s="22" t="s">
        <v>471</v>
      </c>
      <c r="H1543" s="23" t="n">
        <f aca="false">COUNTIF(CAL!U:AF,B1543)</f>
        <v>1</v>
      </c>
      <c r="I1543" s="22" t="n">
        <v>6</v>
      </c>
      <c r="J1543" s="20"/>
    </row>
    <row r="1544" customFormat="false" ht="15.75" hidden="false" customHeight="true" outlineLevel="0" collapsed="false">
      <c r="B1544" s="19" t="n">
        <v>3640</v>
      </c>
      <c r="C1544" s="20" t="s">
        <v>3485</v>
      </c>
      <c r="D1544" s="20" t="s">
        <v>134</v>
      </c>
      <c r="E1544" s="24" t="s">
        <v>3486</v>
      </c>
      <c r="F1544" s="21" t="n">
        <v>37068</v>
      </c>
      <c r="G1544" s="22" t="s">
        <v>471</v>
      </c>
      <c r="H1544" s="23" t="n">
        <f aca="false">COUNTIF(CAL!U:AF,B1544)</f>
        <v>1</v>
      </c>
      <c r="I1544" s="22" t="n">
        <v>6</v>
      </c>
      <c r="J1544" s="20"/>
    </row>
    <row r="1545" customFormat="false" ht="15.75" hidden="false" customHeight="true" outlineLevel="0" collapsed="false">
      <c r="B1545" s="19" t="n">
        <v>1606</v>
      </c>
      <c r="C1545" s="20" t="s">
        <v>3487</v>
      </c>
      <c r="D1545" s="20" t="s">
        <v>159</v>
      </c>
      <c r="E1545" s="21" t="s">
        <v>3488</v>
      </c>
      <c r="F1545" s="21" t="n">
        <v>36661</v>
      </c>
      <c r="G1545" s="22" t="s">
        <v>471</v>
      </c>
      <c r="H1545" s="23" t="n">
        <f aca="false">COUNTIF(CAL!U:AF,B1545)</f>
        <v>1</v>
      </c>
      <c r="I1545" s="22" t="n">
        <v>6</v>
      </c>
      <c r="J1545" s="20"/>
    </row>
    <row r="1546" customFormat="false" ht="15.75" hidden="false" customHeight="true" outlineLevel="0" collapsed="false">
      <c r="B1546" s="19" t="n">
        <v>1777</v>
      </c>
      <c r="C1546" s="20" t="s">
        <v>3489</v>
      </c>
      <c r="D1546" s="20" t="s">
        <v>56</v>
      </c>
      <c r="E1546" s="21" t="s">
        <v>3490</v>
      </c>
      <c r="F1546" s="21" t="n">
        <v>33507</v>
      </c>
      <c r="G1546" s="22" t="s">
        <v>471</v>
      </c>
      <c r="H1546" s="23" t="n">
        <f aca="false">COUNTIF(CAL!U:AF,B1546)</f>
        <v>1</v>
      </c>
      <c r="I1546" s="22" t="n">
        <v>6</v>
      </c>
      <c r="J1546" s="20"/>
    </row>
    <row r="1547" customFormat="false" ht="15.75" hidden="false" customHeight="true" outlineLevel="0" collapsed="false">
      <c r="B1547" s="19" t="n">
        <v>1179</v>
      </c>
      <c r="C1547" s="20" t="s">
        <v>3491</v>
      </c>
      <c r="D1547" s="20" t="s">
        <v>170</v>
      </c>
      <c r="E1547" s="21" t="s">
        <v>3492</v>
      </c>
      <c r="F1547" s="21" t="n">
        <v>35443</v>
      </c>
      <c r="G1547" s="22" t="s">
        <v>471</v>
      </c>
      <c r="H1547" s="23" t="n">
        <f aca="false">COUNTIF(CAL!U:AF,B1547)</f>
        <v>1</v>
      </c>
      <c r="I1547" s="22" t="n">
        <v>6</v>
      </c>
      <c r="J1547" s="20"/>
    </row>
    <row r="1548" customFormat="false" ht="15.75" hidden="false" customHeight="true" outlineLevel="0" collapsed="false">
      <c r="B1548" s="19" t="n">
        <v>1369</v>
      </c>
      <c r="C1548" s="20" t="s">
        <v>3493</v>
      </c>
      <c r="D1548" s="20" t="s">
        <v>144</v>
      </c>
      <c r="E1548" s="24" t="s">
        <v>3494</v>
      </c>
      <c r="F1548" s="21" t="n">
        <v>35160</v>
      </c>
      <c r="G1548" s="22" t="s">
        <v>471</v>
      </c>
      <c r="H1548" s="23" t="n">
        <f aca="false">COUNTIF(CAL!U:AF,B1548)</f>
        <v>1</v>
      </c>
      <c r="I1548" s="22" t="n">
        <v>6</v>
      </c>
      <c r="J1548" s="20"/>
    </row>
    <row r="1549" customFormat="false" ht="15.75" hidden="false" customHeight="true" outlineLevel="0" collapsed="false">
      <c r="B1549" s="19" t="n">
        <v>1266</v>
      </c>
      <c r="C1549" s="20" t="s">
        <v>3495</v>
      </c>
      <c r="D1549" s="20" t="s">
        <v>36</v>
      </c>
      <c r="E1549" s="21" t="s">
        <v>3496</v>
      </c>
      <c r="F1549" s="21" t="n">
        <v>37978</v>
      </c>
      <c r="G1549" s="22" t="s">
        <v>471</v>
      </c>
      <c r="H1549" s="23" t="n">
        <f aca="false">COUNTIF(CAL!U:AF,B1549)</f>
        <v>1</v>
      </c>
      <c r="I1549" s="22" t="n">
        <v>6</v>
      </c>
      <c r="J1549" s="20"/>
    </row>
    <row r="1550" customFormat="false" ht="15.75" hidden="false" customHeight="true" outlineLevel="0" collapsed="false">
      <c r="B1550" s="19" t="n">
        <v>3263</v>
      </c>
      <c r="C1550" s="20" t="s">
        <v>3053</v>
      </c>
      <c r="D1550" s="20" t="s">
        <v>367</v>
      </c>
      <c r="E1550" s="24" t="s">
        <v>3497</v>
      </c>
      <c r="F1550" s="21" t="n">
        <v>37021</v>
      </c>
      <c r="G1550" s="22" t="s">
        <v>471</v>
      </c>
      <c r="H1550" s="23" t="n">
        <f aca="false">COUNTIF(CAL!U:AF,B1550)</f>
        <v>1</v>
      </c>
      <c r="I1550" s="22" t="n">
        <v>6</v>
      </c>
      <c r="J1550" s="20"/>
    </row>
    <row r="1551" customFormat="false" ht="15.75" hidden="false" customHeight="true" outlineLevel="0" collapsed="false">
      <c r="B1551" s="19" t="n">
        <v>2331</v>
      </c>
      <c r="C1551" s="20" t="s">
        <v>723</v>
      </c>
      <c r="D1551" s="20" t="s">
        <v>337</v>
      </c>
      <c r="E1551" s="21" t="s">
        <v>3498</v>
      </c>
      <c r="F1551" s="21" t="n">
        <v>38063</v>
      </c>
      <c r="G1551" s="22" t="s">
        <v>471</v>
      </c>
      <c r="H1551" s="23" t="n">
        <f aca="false">COUNTIF(CAL!U:AF,B1551)</f>
        <v>1</v>
      </c>
      <c r="I1551" s="22" t="n">
        <v>6</v>
      </c>
      <c r="J1551" s="20"/>
    </row>
    <row r="1552" customFormat="false" ht="15.75" hidden="false" customHeight="true" outlineLevel="0" collapsed="false">
      <c r="B1552" s="19" t="n">
        <v>2111</v>
      </c>
      <c r="C1552" s="20" t="s">
        <v>1645</v>
      </c>
      <c r="D1552" s="20" t="s">
        <v>323</v>
      </c>
      <c r="E1552" s="21" t="s">
        <v>3499</v>
      </c>
      <c r="F1552" s="21" t="n">
        <v>36638</v>
      </c>
      <c r="G1552" s="22" t="s">
        <v>471</v>
      </c>
      <c r="H1552" s="23" t="n">
        <f aca="false">COUNTIF(CAL!U:AF,B1552)</f>
        <v>1</v>
      </c>
      <c r="I1552" s="22" t="n">
        <v>6</v>
      </c>
      <c r="J1552" s="20"/>
    </row>
    <row r="1553" customFormat="false" ht="15.75" hidden="false" customHeight="true" outlineLevel="0" collapsed="false">
      <c r="B1553" s="19" t="n">
        <v>3466</v>
      </c>
      <c r="C1553" s="20" t="s">
        <v>895</v>
      </c>
      <c r="D1553" s="20" t="s">
        <v>320</v>
      </c>
      <c r="E1553" s="24" t="s">
        <v>3500</v>
      </c>
      <c r="F1553" s="21" t="n">
        <v>38566</v>
      </c>
      <c r="G1553" s="22" t="s">
        <v>471</v>
      </c>
      <c r="H1553" s="23" t="n">
        <f aca="false">COUNTIF(CAL!U:AF,B1553)</f>
        <v>1</v>
      </c>
      <c r="I1553" s="22" t="n">
        <v>6</v>
      </c>
      <c r="J1553" s="20"/>
    </row>
    <row r="1554" customFormat="false" ht="15.75" hidden="false" customHeight="true" outlineLevel="0" collapsed="false">
      <c r="B1554" s="19" t="n">
        <v>2904</v>
      </c>
      <c r="C1554" s="20" t="s">
        <v>3298</v>
      </c>
      <c r="D1554" s="20" t="s">
        <v>333</v>
      </c>
      <c r="E1554" s="21" t="s">
        <v>3501</v>
      </c>
      <c r="F1554" s="21" t="n">
        <v>34519</v>
      </c>
      <c r="G1554" s="22" t="s">
        <v>471</v>
      </c>
      <c r="H1554" s="23" t="n">
        <f aca="false">COUNTIF(CAL!U:AF,B1554)</f>
        <v>1</v>
      </c>
      <c r="I1554" s="22" t="n">
        <v>6</v>
      </c>
      <c r="J1554" s="20"/>
    </row>
    <row r="1555" customFormat="false" ht="15.75" hidden="false" customHeight="true" outlineLevel="0" collapsed="false">
      <c r="B1555" s="19" t="n">
        <v>3250</v>
      </c>
      <c r="C1555" s="20" t="s">
        <v>3502</v>
      </c>
      <c r="D1555" s="20" t="s">
        <v>412</v>
      </c>
      <c r="E1555" s="21" t="s">
        <v>3503</v>
      </c>
      <c r="F1555" s="21" t="n">
        <v>38530</v>
      </c>
      <c r="G1555" s="22" t="s">
        <v>471</v>
      </c>
      <c r="H1555" s="23" t="n">
        <f aca="false">COUNTIF(CAL!U:AF,B1555)</f>
        <v>1</v>
      </c>
      <c r="I1555" s="22" t="n">
        <v>6</v>
      </c>
      <c r="J1555" s="20"/>
    </row>
    <row r="1556" customFormat="false" ht="15.75" hidden="false" customHeight="true" outlineLevel="0" collapsed="false">
      <c r="B1556" s="19" t="n">
        <v>2618</v>
      </c>
      <c r="C1556" s="20" t="s">
        <v>951</v>
      </c>
      <c r="D1556" s="20" t="s">
        <v>320</v>
      </c>
      <c r="E1556" s="21" t="s">
        <v>3504</v>
      </c>
      <c r="F1556" s="21" t="n">
        <v>36911</v>
      </c>
      <c r="G1556" s="22" t="s">
        <v>471</v>
      </c>
      <c r="H1556" s="23" t="n">
        <f aca="false">COUNTIF(CAL!U:AF,B1556)</f>
        <v>1</v>
      </c>
      <c r="I1556" s="22" t="n">
        <v>6</v>
      </c>
      <c r="J1556" s="20"/>
    </row>
    <row r="1557" customFormat="false" ht="15.75" hidden="false" customHeight="true" outlineLevel="0" collapsed="false">
      <c r="B1557" s="19" t="n">
        <v>2538</v>
      </c>
      <c r="C1557" s="20" t="s">
        <v>3505</v>
      </c>
      <c r="D1557" s="20" t="s">
        <v>245</v>
      </c>
      <c r="E1557" s="21" t="s">
        <v>3506</v>
      </c>
      <c r="F1557" s="21" t="n">
        <v>35163</v>
      </c>
      <c r="G1557" s="22" t="s">
        <v>471</v>
      </c>
      <c r="H1557" s="23" t="n">
        <f aca="false">COUNTIF(CAL!U:AF,B1557)</f>
        <v>1</v>
      </c>
      <c r="I1557" s="22" t="n">
        <v>6</v>
      </c>
      <c r="J1557" s="20"/>
    </row>
    <row r="1558" customFormat="false" ht="15.75" hidden="false" customHeight="true" outlineLevel="0" collapsed="false">
      <c r="B1558" s="19" t="n">
        <v>2968</v>
      </c>
      <c r="C1558" s="20" t="s">
        <v>526</v>
      </c>
      <c r="D1558" s="20" t="s">
        <v>385</v>
      </c>
      <c r="E1558" s="21" t="s">
        <v>3507</v>
      </c>
      <c r="F1558" s="21" t="n">
        <v>38457</v>
      </c>
      <c r="G1558" s="22" t="s">
        <v>471</v>
      </c>
      <c r="H1558" s="23" t="n">
        <f aca="false">COUNTIF(CAL!U:AF,B1558)</f>
        <v>1</v>
      </c>
      <c r="I1558" s="22" t="n">
        <v>6</v>
      </c>
      <c r="J1558" s="20"/>
    </row>
    <row r="1559" customFormat="false" ht="15.75" hidden="false" customHeight="true" outlineLevel="0" collapsed="false">
      <c r="B1559" s="19" t="n">
        <v>2100</v>
      </c>
      <c r="C1559" s="20" t="s">
        <v>526</v>
      </c>
      <c r="D1559" s="20" t="s">
        <v>73</v>
      </c>
      <c r="E1559" s="21" t="s">
        <v>3508</v>
      </c>
      <c r="F1559" s="21" t="n">
        <v>38598</v>
      </c>
      <c r="G1559" s="22" t="s">
        <v>471</v>
      </c>
      <c r="H1559" s="23" t="n">
        <f aca="false">COUNTIF(CAL!U:AF,B1559)</f>
        <v>1</v>
      </c>
      <c r="I1559" s="22" t="n">
        <v>6</v>
      </c>
      <c r="J1559" s="20"/>
    </row>
    <row r="1560" customFormat="false" ht="15.75" hidden="false" customHeight="true" outlineLevel="0" collapsed="false">
      <c r="B1560" s="19" t="n">
        <v>2960</v>
      </c>
      <c r="C1560" s="20" t="s">
        <v>3509</v>
      </c>
      <c r="D1560" s="20" t="s">
        <v>184</v>
      </c>
      <c r="E1560" s="21" t="s">
        <v>3510</v>
      </c>
      <c r="F1560" s="21" t="n">
        <v>33191</v>
      </c>
      <c r="G1560" s="22" t="s">
        <v>471</v>
      </c>
      <c r="H1560" s="23" t="n">
        <f aca="false">COUNTIF(CAL!U:AF,B1560)</f>
        <v>1</v>
      </c>
      <c r="I1560" s="22" t="n">
        <v>6</v>
      </c>
      <c r="J1560" s="20"/>
    </row>
    <row r="1561" customFormat="false" ht="15.75" hidden="false" customHeight="true" outlineLevel="0" collapsed="false">
      <c r="B1561" s="19" t="n">
        <v>3516</v>
      </c>
      <c r="C1561" s="20" t="s">
        <v>3511</v>
      </c>
      <c r="D1561" s="20" t="s">
        <v>414</v>
      </c>
      <c r="E1561" s="21" t="s">
        <v>3512</v>
      </c>
      <c r="F1561" s="21" t="n">
        <v>38793</v>
      </c>
      <c r="G1561" s="22" t="s">
        <v>471</v>
      </c>
      <c r="H1561" s="23" t="n">
        <f aca="false">COUNTIF(CAL!U:AF,B1561)</f>
        <v>1</v>
      </c>
      <c r="I1561" s="22" t="n">
        <v>6</v>
      </c>
      <c r="J1561" s="20"/>
    </row>
    <row r="1562" customFormat="false" ht="15.75" hidden="false" customHeight="true" outlineLevel="0" collapsed="false">
      <c r="B1562" s="19" t="n">
        <v>3537</v>
      </c>
      <c r="C1562" s="20" t="s">
        <v>3513</v>
      </c>
      <c r="D1562" s="20" t="s">
        <v>116</v>
      </c>
      <c r="E1562" s="21" t="s">
        <v>3514</v>
      </c>
      <c r="F1562" s="21" t="n">
        <v>38989</v>
      </c>
      <c r="G1562" s="22" t="s">
        <v>471</v>
      </c>
      <c r="H1562" s="23" t="n">
        <f aca="false">COUNTIF(CAL!U:AF,B1562)</f>
        <v>1</v>
      </c>
      <c r="I1562" s="22" t="n">
        <v>6</v>
      </c>
      <c r="J1562" s="20"/>
    </row>
    <row r="1563" customFormat="false" ht="15.75" hidden="false" customHeight="true" outlineLevel="0" collapsed="false">
      <c r="B1563" s="19" t="n">
        <v>2725</v>
      </c>
      <c r="C1563" s="20" t="s">
        <v>3515</v>
      </c>
      <c r="D1563" s="20" t="s">
        <v>168</v>
      </c>
      <c r="E1563" s="21" t="s">
        <v>3516</v>
      </c>
      <c r="F1563" s="21" t="n">
        <v>37106</v>
      </c>
      <c r="G1563" s="22" t="s">
        <v>471</v>
      </c>
      <c r="H1563" s="23" t="n">
        <f aca="false">COUNTIF(CAL!U:AF,B1563)</f>
        <v>1</v>
      </c>
      <c r="I1563" s="22" t="n">
        <v>6</v>
      </c>
      <c r="J1563" s="20"/>
    </row>
    <row r="1564" customFormat="false" ht="15.75" hidden="false" customHeight="true" outlineLevel="0" collapsed="false">
      <c r="B1564" s="19" t="n">
        <v>1604</v>
      </c>
      <c r="C1564" s="20" t="s">
        <v>748</v>
      </c>
      <c r="D1564" s="20" t="s">
        <v>182</v>
      </c>
      <c r="E1564" s="21" t="s">
        <v>3517</v>
      </c>
      <c r="F1564" s="21" t="n">
        <v>38887</v>
      </c>
      <c r="G1564" s="22" t="s">
        <v>471</v>
      </c>
      <c r="H1564" s="23" t="n">
        <f aca="false">COUNTIF(CAL!U:AF,B1564)</f>
        <v>1</v>
      </c>
      <c r="I1564" s="22" t="n">
        <v>6</v>
      </c>
      <c r="J1564" s="20"/>
    </row>
    <row r="1565" customFormat="false" ht="15.75" hidden="false" customHeight="true" outlineLevel="0" collapsed="false">
      <c r="B1565" s="19" t="n">
        <v>1225</v>
      </c>
      <c r="C1565" s="20" t="s">
        <v>3518</v>
      </c>
      <c r="D1565" s="20" t="s">
        <v>88</v>
      </c>
      <c r="E1565" s="21" t="s">
        <v>3519</v>
      </c>
      <c r="F1565" s="21" t="n">
        <v>36330</v>
      </c>
      <c r="G1565" s="22" t="s">
        <v>661</v>
      </c>
      <c r="H1565" s="23" t="n">
        <f aca="false">COUNTIF(CAL!U:AF,B1565)</f>
        <v>1</v>
      </c>
      <c r="I1565" s="22" t="n">
        <v>6</v>
      </c>
      <c r="J1565" s="20"/>
    </row>
    <row r="1566" customFormat="false" ht="15.75" hidden="false" customHeight="true" outlineLevel="0" collapsed="false">
      <c r="B1566" s="19" t="n">
        <v>3490</v>
      </c>
      <c r="C1566" s="20" t="s">
        <v>3520</v>
      </c>
      <c r="D1566" s="20" t="s">
        <v>246</v>
      </c>
      <c r="E1566" s="21" t="s">
        <v>3521</v>
      </c>
      <c r="F1566" s="21" t="n">
        <v>36169</v>
      </c>
      <c r="G1566" s="22" t="s">
        <v>471</v>
      </c>
      <c r="H1566" s="23" t="n">
        <f aca="false">COUNTIF(CAL!U:AF,B1566)</f>
        <v>1</v>
      </c>
      <c r="I1566" s="22" t="n">
        <v>6</v>
      </c>
      <c r="J1566" s="20"/>
    </row>
    <row r="1567" customFormat="false" ht="15.75" hidden="false" customHeight="true" outlineLevel="0" collapsed="false">
      <c r="B1567" s="19" t="n">
        <v>1719</v>
      </c>
      <c r="C1567" s="20" t="s">
        <v>3522</v>
      </c>
      <c r="D1567" s="20" t="s">
        <v>266</v>
      </c>
      <c r="E1567" s="21" t="s">
        <v>3523</v>
      </c>
      <c r="F1567" s="21" t="n">
        <v>37767</v>
      </c>
      <c r="G1567" s="22" t="s">
        <v>471</v>
      </c>
      <c r="H1567" s="23" t="n">
        <f aca="false">COUNTIF(CAL!U:AF,B1567)</f>
        <v>1</v>
      </c>
      <c r="I1567" s="22" t="n">
        <v>6</v>
      </c>
      <c r="J1567" s="20"/>
    </row>
    <row r="1568" customFormat="false" ht="15.75" hidden="false" customHeight="true" outlineLevel="0" collapsed="false">
      <c r="B1568" s="19" t="n">
        <v>2244</v>
      </c>
      <c r="C1568" s="20" t="s">
        <v>578</v>
      </c>
      <c r="D1568" s="20" t="s">
        <v>67</v>
      </c>
      <c r="E1568" s="21" t="s">
        <v>3524</v>
      </c>
      <c r="F1568" s="21" t="n">
        <v>36134</v>
      </c>
      <c r="G1568" s="22" t="s">
        <v>471</v>
      </c>
      <c r="H1568" s="23" t="n">
        <f aca="false">COUNTIF(CAL!U:AF,B1568)</f>
        <v>1</v>
      </c>
      <c r="I1568" s="22" t="n">
        <v>6</v>
      </c>
      <c r="J1568" s="20"/>
    </row>
    <row r="1569" customFormat="false" ht="15.75" hidden="false" customHeight="true" outlineLevel="0" collapsed="false">
      <c r="B1569" s="19" t="n">
        <v>2710</v>
      </c>
      <c r="C1569" s="20" t="s">
        <v>1399</v>
      </c>
      <c r="D1569" s="20" t="s">
        <v>302</v>
      </c>
      <c r="E1569" s="21" t="s">
        <v>3525</v>
      </c>
      <c r="F1569" s="21" t="n">
        <v>38216</v>
      </c>
      <c r="G1569" s="22" t="s">
        <v>471</v>
      </c>
      <c r="H1569" s="23" t="n">
        <f aca="false">COUNTIF(CAL!U:AF,B1569)</f>
        <v>1</v>
      </c>
      <c r="I1569" s="22" t="n">
        <v>6</v>
      </c>
      <c r="J1569" s="20"/>
    </row>
    <row r="1570" customFormat="false" ht="15.75" hidden="false" customHeight="true" outlineLevel="0" collapsed="false">
      <c r="B1570" s="19" t="n">
        <v>2509</v>
      </c>
      <c r="C1570" s="20" t="s">
        <v>3526</v>
      </c>
      <c r="D1570" s="20" t="s">
        <v>317</v>
      </c>
      <c r="E1570" s="24" t="s">
        <v>3527</v>
      </c>
      <c r="F1570" s="21" t="n">
        <v>35029</v>
      </c>
      <c r="G1570" s="22" t="s">
        <v>471</v>
      </c>
      <c r="H1570" s="23" t="n">
        <f aca="false">COUNTIF(CAL!U:AF,B1570)</f>
        <v>1</v>
      </c>
      <c r="I1570" s="22" t="n">
        <v>6</v>
      </c>
      <c r="J1570" s="20"/>
    </row>
    <row r="1571" customFormat="false" ht="15.75" hidden="false" customHeight="true" outlineLevel="0" collapsed="false">
      <c r="B1571" s="19" t="n">
        <v>2989</v>
      </c>
      <c r="C1571" s="20" t="s">
        <v>3528</v>
      </c>
      <c r="D1571" s="20" t="s">
        <v>254</v>
      </c>
      <c r="E1571" s="21" t="s">
        <v>3529</v>
      </c>
      <c r="F1571" s="21" t="n">
        <v>35825</v>
      </c>
      <c r="G1571" s="22" t="s">
        <v>471</v>
      </c>
      <c r="H1571" s="23" t="n">
        <f aca="false">COUNTIF(CAL!U:AF,B1571)</f>
        <v>1</v>
      </c>
      <c r="I1571" s="22" t="n">
        <v>6</v>
      </c>
      <c r="J1571" s="20"/>
    </row>
    <row r="1572" customFormat="false" ht="15.75" hidden="false" customHeight="true" outlineLevel="0" collapsed="false">
      <c r="B1572" s="19" t="n">
        <v>3637</v>
      </c>
      <c r="C1572" s="20" t="s">
        <v>3528</v>
      </c>
      <c r="D1572" s="20" t="s">
        <v>88</v>
      </c>
      <c r="E1572" s="21" t="s">
        <v>3530</v>
      </c>
      <c r="F1572" s="21" t="n">
        <v>36399</v>
      </c>
      <c r="G1572" s="22" t="s">
        <v>471</v>
      </c>
      <c r="H1572" s="23" t="n">
        <f aca="false">COUNTIF(CAL!U:AF,B1572)</f>
        <v>1</v>
      </c>
      <c r="I1572" s="22" t="n">
        <v>6</v>
      </c>
      <c r="J1572" s="20"/>
    </row>
    <row r="1573" customFormat="false" ht="15.75" hidden="false" customHeight="true" outlineLevel="0" collapsed="false">
      <c r="B1573" s="19" t="n">
        <v>2255</v>
      </c>
      <c r="C1573" s="20" t="s">
        <v>3531</v>
      </c>
      <c r="D1573" s="20" t="s">
        <v>179</v>
      </c>
      <c r="E1573" s="21" t="s">
        <v>3532</v>
      </c>
      <c r="F1573" s="21" t="n">
        <v>33074</v>
      </c>
      <c r="G1573" s="22" t="s">
        <v>471</v>
      </c>
      <c r="H1573" s="23" t="n">
        <f aca="false">COUNTIF(CAL!U:AF,B1573)</f>
        <v>1</v>
      </c>
      <c r="I1573" s="22" t="n">
        <v>6</v>
      </c>
      <c r="J1573" s="20"/>
    </row>
    <row r="1574" customFormat="false" ht="15.75" hidden="false" customHeight="true" outlineLevel="0" collapsed="false">
      <c r="B1574" s="19" t="n">
        <v>1156</v>
      </c>
      <c r="C1574" s="20" t="s">
        <v>3533</v>
      </c>
      <c r="D1574" s="20" t="s">
        <v>63</v>
      </c>
      <c r="E1574" s="21" t="s">
        <v>3534</v>
      </c>
      <c r="F1574" s="21" t="n">
        <v>36903</v>
      </c>
      <c r="G1574" s="22" t="s">
        <v>471</v>
      </c>
      <c r="H1574" s="23" t="n">
        <f aca="false">COUNTIF(CAL!U:AF,B1574)</f>
        <v>1</v>
      </c>
      <c r="I1574" s="22" t="n">
        <v>6</v>
      </c>
      <c r="J1574" s="20"/>
    </row>
    <row r="1575" customFormat="false" ht="15.75" hidden="false" customHeight="true" outlineLevel="0" collapsed="false">
      <c r="B1575" s="19" t="n">
        <v>1745</v>
      </c>
      <c r="C1575" s="20" t="s">
        <v>3535</v>
      </c>
      <c r="D1575" s="20" t="s">
        <v>125</v>
      </c>
      <c r="E1575" s="24" t="s">
        <v>3536</v>
      </c>
      <c r="F1575" s="21" t="n">
        <v>39096</v>
      </c>
      <c r="G1575" s="22" t="s">
        <v>471</v>
      </c>
      <c r="H1575" s="23" t="n">
        <f aca="false">COUNTIF(CAL!U:AF,B1575)</f>
        <v>1</v>
      </c>
      <c r="I1575" s="22" t="n">
        <v>6</v>
      </c>
      <c r="J1575" s="20"/>
    </row>
    <row r="1576" customFormat="false" ht="15.75" hidden="false" customHeight="true" outlineLevel="0" collapsed="false">
      <c r="B1576" s="19" t="n">
        <v>3124</v>
      </c>
      <c r="C1576" s="20" t="s">
        <v>3537</v>
      </c>
      <c r="D1576" s="20" t="s">
        <v>373</v>
      </c>
      <c r="E1576" s="21" t="s">
        <v>3538</v>
      </c>
      <c r="F1576" s="21" t="n">
        <v>37719</v>
      </c>
      <c r="G1576" s="22" t="s">
        <v>471</v>
      </c>
      <c r="H1576" s="23" t="n">
        <f aca="false">COUNTIF(CAL!U:AF,B1576)</f>
        <v>1</v>
      </c>
      <c r="I1576" s="22" t="n">
        <v>6</v>
      </c>
      <c r="J1576" s="20"/>
    </row>
    <row r="1577" customFormat="false" ht="15.75" hidden="false" customHeight="true" outlineLevel="0" collapsed="false">
      <c r="B1577" s="19" t="n">
        <v>2043</v>
      </c>
      <c r="C1577" s="20" t="s">
        <v>2507</v>
      </c>
      <c r="D1577" s="20" t="s">
        <v>214</v>
      </c>
      <c r="E1577" s="24" t="s">
        <v>3539</v>
      </c>
      <c r="F1577" s="21" t="n">
        <v>36352</v>
      </c>
      <c r="G1577" s="22" t="s">
        <v>471</v>
      </c>
      <c r="H1577" s="23" t="n">
        <f aca="false">COUNTIF(CAL!U:AF,B1577)</f>
        <v>1</v>
      </c>
      <c r="I1577" s="22" t="n">
        <v>6</v>
      </c>
      <c r="J1577" s="20" t="s">
        <v>3540</v>
      </c>
    </row>
    <row r="1578" customFormat="false" ht="15.75" hidden="false" customHeight="true" outlineLevel="0" collapsed="false">
      <c r="B1578" s="19" t="n">
        <v>1834</v>
      </c>
      <c r="C1578" s="20" t="s">
        <v>2325</v>
      </c>
      <c r="D1578" s="20" t="s">
        <v>293</v>
      </c>
      <c r="E1578" s="24" t="s">
        <v>3541</v>
      </c>
      <c r="F1578" s="21" t="n">
        <v>36236</v>
      </c>
      <c r="G1578" s="22" t="s">
        <v>471</v>
      </c>
      <c r="H1578" s="23" t="n">
        <f aca="false">COUNTIF(CAL!U:AF,B1578)</f>
        <v>1</v>
      </c>
      <c r="I1578" s="22" t="n">
        <v>6</v>
      </c>
      <c r="J1578" s="20"/>
    </row>
    <row r="1579" customFormat="false" ht="15.75" hidden="false" customHeight="true" outlineLevel="0" collapsed="false">
      <c r="B1579" s="19" t="n">
        <v>2488</v>
      </c>
      <c r="C1579" s="20" t="s">
        <v>3542</v>
      </c>
      <c r="D1579" s="20" t="s">
        <v>349</v>
      </c>
      <c r="E1579" s="21" t="s">
        <v>3543</v>
      </c>
      <c r="F1579" s="21" t="n">
        <v>38048</v>
      </c>
      <c r="G1579" s="22" t="s">
        <v>471</v>
      </c>
      <c r="H1579" s="23" t="n">
        <f aca="false">COUNTIF(CAL!U:AF,B1579)</f>
        <v>1</v>
      </c>
      <c r="I1579" s="22" t="n">
        <v>6</v>
      </c>
      <c r="J1579" s="20"/>
    </row>
    <row r="1580" customFormat="false" ht="15.75" hidden="false" customHeight="true" outlineLevel="0" collapsed="false">
      <c r="B1580" s="19" t="n">
        <v>2350</v>
      </c>
      <c r="C1580" s="20" t="s">
        <v>3544</v>
      </c>
      <c r="D1580" s="20" t="s">
        <v>132</v>
      </c>
      <c r="E1580" s="21" t="s">
        <v>3545</v>
      </c>
      <c r="F1580" s="21" t="n">
        <v>32936</v>
      </c>
      <c r="G1580" s="22" t="s">
        <v>471</v>
      </c>
      <c r="H1580" s="23" t="n">
        <f aca="false">COUNTIF(CAL!U:AF,B1580)</f>
        <v>1</v>
      </c>
      <c r="I1580" s="22" t="n">
        <v>6</v>
      </c>
      <c r="J1580" s="20"/>
    </row>
    <row r="1581" customFormat="false" ht="15.75" hidden="false" customHeight="true" outlineLevel="0" collapsed="false">
      <c r="B1581" s="19" t="n">
        <v>2306</v>
      </c>
      <c r="C1581" s="20" t="s">
        <v>3546</v>
      </c>
      <c r="D1581" s="20" t="s">
        <v>358</v>
      </c>
      <c r="E1581" s="24" t="s">
        <v>3547</v>
      </c>
      <c r="F1581" s="21" t="n">
        <v>37337</v>
      </c>
      <c r="G1581" s="22" t="s">
        <v>471</v>
      </c>
      <c r="H1581" s="23" t="n">
        <f aca="false">COUNTIF(CAL!U:AF,B1581)</f>
        <v>1</v>
      </c>
      <c r="I1581" s="22" t="n">
        <v>6</v>
      </c>
      <c r="J1581" s="20"/>
    </row>
    <row r="1582" customFormat="false" ht="15.75" hidden="false" customHeight="true" outlineLevel="0" collapsed="false">
      <c r="B1582" s="19" t="n">
        <v>2864</v>
      </c>
      <c r="C1582" s="20" t="s">
        <v>3548</v>
      </c>
      <c r="D1582" s="20" t="s">
        <v>134</v>
      </c>
      <c r="E1582" s="24" t="s">
        <v>3549</v>
      </c>
      <c r="F1582" s="21" t="n">
        <v>35071</v>
      </c>
      <c r="G1582" s="22" t="s">
        <v>471</v>
      </c>
      <c r="H1582" s="23" t="n">
        <f aca="false">COUNTIF(CAL!U:AF,B1582)</f>
        <v>1</v>
      </c>
      <c r="I1582" s="22" t="n">
        <v>6</v>
      </c>
      <c r="J1582" s="20"/>
    </row>
    <row r="1583" customFormat="false" ht="15.75" hidden="false" customHeight="true" outlineLevel="0" collapsed="false">
      <c r="B1583" s="19" t="n">
        <v>3497</v>
      </c>
      <c r="C1583" s="20" t="s">
        <v>3550</v>
      </c>
      <c r="D1583" s="20" t="s">
        <v>313</v>
      </c>
      <c r="E1583" s="21" t="s">
        <v>3551</v>
      </c>
      <c r="F1583" s="21" t="n">
        <v>36113</v>
      </c>
      <c r="G1583" s="22" t="s">
        <v>471</v>
      </c>
      <c r="H1583" s="23" t="n">
        <f aca="false">COUNTIF(CAL!U:AF,B1583)</f>
        <v>1</v>
      </c>
      <c r="I1583" s="22" t="n">
        <v>6</v>
      </c>
      <c r="J1583" s="20"/>
    </row>
    <row r="1584" customFormat="false" ht="15.75" hidden="false" customHeight="true" outlineLevel="0" collapsed="false">
      <c r="B1584" s="19" t="n">
        <v>2329</v>
      </c>
      <c r="C1584" s="20" t="s">
        <v>3552</v>
      </c>
      <c r="D1584" s="20" t="s">
        <v>293</v>
      </c>
      <c r="E1584" s="21" t="s">
        <v>3553</v>
      </c>
      <c r="F1584" s="21" t="n">
        <v>36437</v>
      </c>
      <c r="G1584" s="22" t="s">
        <v>471</v>
      </c>
      <c r="H1584" s="23" t="n">
        <f aca="false">COUNTIF(CAL!U:AF,B1584)</f>
        <v>1</v>
      </c>
      <c r="I1584" s="22" t="n">
        <v>6</v>
      </c>
      <c r="J1584" s="20"/>
    </row>
    <row r="1585" customFormat="false" ht="15.75" hidden="false" customHeight="true" outlineLevel="0" collapsed="false">
      <c r="B1585" s="19" t="n">
        <v>3136</v>
      </c>
      <c r="C1585" s="20" t="s">
        <v>3554</v>
      </c>
      <c r="D1585" s="20" t="s">
        <v>175</v>
      </c>
      <c r="E1585" s="21" t="s">
        <v>3555</v>
      </c>
      <c r="F1585" s="21" t="n">
        <v>36526</v>
      </c>
      <c r="G1585" s="22" t="s">
        <v>471</v>
      </c>
      <c r="H1585" s="23" t="n">
        <f aca="false">COUNTIF(CAL!U:AF,B1585)</f>
        <v>1</v>
      </c>
      <c r="I1585" s="22" t="n">
        <v>6</v>
      </c>
      <c r="J1585" s="20"/>
    </row>
    <row r="1586" customFormat="false" ht="15.75" hidden="false" customHeight="true" outlineLevel="0" collapsed="false">
      <c r="B1586" s="19" t="n">
        <v>1674</v>
      </c>
      <c r="C1586" s="20" t="s">
        <v>3556</v>
      </c>
      <c r="D1586" s="20" t="s">
        <v>78</v>
      </c>
      <c r="E1586" s="21" t="s">
        <v>3557</v>
      </c>
      <c r="F1586" s="21" t="n">
        <v>38743</v>
      </c>
      <c r="G1586" s="22" t="s">
        <v>471</v>
      </c>
      <c r="H1586" s="23" t="n">
        <f aca="false">COUNTIF(CAL!U:AF,B1586)</f>
        <v>1</v>
      </c>
      <c r="I1586" s="22" t="n">
        <v>6</v>
      </c>
      <c r="J1586" s="20"/>
    </row>
    <row r="1587" customFormat="false" ht="15.75" hidden="false" customHeight="true" outlineLevel="0" collapsed="false">
      <c r="B1587" s="19" t="n">
        <v>1407</v>
      </c>
      <c r="C1587" s="20" t="s">
        <v>3558</v>
      </c>
      <c r="D1587" s="20" t="s">
        <v>159</v>
      </c>
      <c r="E1587" s="21" t="s">
        <v>3559</v>
      </c>
      <c r="F1587" s="21" t="n">
        <v>38693</v>
      </c>
      <c r="G1587" s="22" t="s">
        <v>471</v>
      </c>
      <c r="H1587" s="23" t="n">
        <f aca="false">COUNTIF(CAL!U:AF,B1587)</f>
        <v>1</v>
      </c>
      <c r="I1587" s="22" t="n">
        <v>6</v>
      </c>
      <c r="J1587" s="20"/>
    </row>
    <row r="1588" customFormat="false" ht="15.75" hidden="false" customHeight="true" outlineLevel="0" collapsed="false">
      <c r="B1588" s="19" t="n">
        <v>1894</v>
      </c>
      <c r="C1588" s="20" t="s">
        <v>3560</v>
      </c>
      <c r="D1588" s="20" t="s">
        <v>53</v>
      </c>
      <c r="E1588" s="21" t="s">
        <v>3561</v>
      </c>
      <c r="F1588" s="21" t="n">
        <v>37890</v>
      </c>
      <c r="G1588" s="22" t="s">
        <v>471</v>
      </c>
      <c r="H1588" s="23" t="n">
        <f aca="false">COUNTIF(CAL!U:AF,B1588)</f>
        <v>1</v>
      </c>
      <c r="I1588" s="22" t="n">
        <v>6</v>
      </c>
      <c r="J1588" s="20"/>
    </row>
    <row r="1589" customFormat="false" ht="15.75" hidden="false" customHeight="true" outlineLevel="0" collapsed="false">
      <c r="B1589" s="19" t="n">
        <v>2915</v>
      </c>
      <c r="C1589" s="20" t="s">
        <v>2230</v>
      </c>
      <c r="D1589" s="20" t="s">
        <v>370</v>
      </c>
      <c r="E1589" s="21" t="s">
        <v>3562</v>
      </c>
      <c r="F1589" s="21" t="n">
        <v>38128</v>
      </c>
      <c r="G1589" s="22" t="s">
        <v>471</v>
      </c>
      <c r="H1589" s="23" t="n">
        <f aca="false">COUNTIF(CAL!U:AF,B1589)</f>
        <v>1</v>
      </c>
      <c r="I1589" s="22" t="n">
        <v>6</v>
      </c>
      <c r="J1589" s="20"/>
    </row>
    <row r="1590" customFormat="false" ht="15.75" hidden="false" customHeight="true" outlineLevel="0" collapsed="false">
      <c r="B1590" s="19" t="n">
        <v>2562</v>
      </c>
      <c r="C1590" s="20" t="s">
        <v>3563</v>
      </c>
      <c r="D1590" s="20" t="s">
        <v>180</v>
      </c>
      <c r="E1590" s="21" t="s">
        <v>3564</v>
      </c>
      <c r="F1590" s="21" t="n">
        <v>38693</v>
      </c>
      <c r="G1590" s="22" t="s">
        <v>471</v>
      </c>
      <c r="H1590" s="23" t="n">
        <f aca="false">COUNTIF(CAL!U:AF,B1590)</f>
        <v>1</v>
      </c>
      <c r="I1590" s="22" t="n">
        <v>6</v>
      </c>
      <c r="J1590" s="20"/>
    </row>
    <row r="1591" customFormat="false" ht="15.75" hidden="false" customHeight="true" outlineLevel="0" collapsed="false">
      <c r="B1591" s="19" t="n">
        <v>2440</v>
      </c>
      <c r="C1591" s="20" t="s">
        <v>3565</v>
      </c>
      <c r="D1591" s="20" t="s">
        <v>340</v>
      </c>
      <c r="E1591" s="21" t="s">
        <v>3566</v>
      </c>
      <c r="F1591" s="21" t="n">
        <v>36065</v>
      </c>
      <c r="G1591" s="22" t="s">
        <v>471</v>
      </c>
      <c r="H1591" s="23" t="n">
        <f aca="false">COUNTIF(CAL!U:AF,B1591)</f>
        <v>1</v>
      </c>
      <c r="I1591" s="22" t="n">
        <v>6</v>
      </c>
      <c r="J1591" s="20"/>
    </row>
    <row r="1592" customFormat="false" ht="15.75" hidden="false" customHeight="true" outlineLevel="0" collapsed="false">
      <c r="B1592" s="19" t="n">
        <v>1461</v>
      </c>
      <c r="C1592" s="20" t="s">
        <v>3567</v>
      </c>
      <c r="D1592" s="20" t="s">
        <v>274</v>
      </c>
      <c r="E1592" s="21" t="s">
        <v>3568</v>
      </c>
      <c r="F1592" s="21" t="n">
        <v>36885</v>
      </c>
      <c r="G1592" s="22" t="s">
        <v>471</v>
      </c>
      <c r="H1592" s="23" t="n">
        <f aca="false">COUNTIF(CAL!U:AF,B1592)</f>
        <v>1</v>
      </c>
      <c r="I1592" s="22" t="n">
        <v>6</v>
      </c>
      <c r="J1592" s="20"/>
    </row>
    <row r="1593" customFormat="false" ht="15.75" hidden="false" customHeight="true" outlineLevel="0" collapsed="false">
      <c r="B1593" s="19" t="n">
        <v>3527</v>
      </c>
      <c r="C1593" s="20" t="s">
        <v>3569</v>
      </c>
      <c r="D1593" s="20" t="s">
        <v>416</v>
      </c>
      <c r="E1593" s="21" t="s">
        <v>3570</v>
      </c>
      <c r="F1593" s="21" t="n">
        <v>31952</v>
      </c>
      <c r="G1593" s="22" t="s">
        <v>471</v>
      </c>
      <c r="H1593" s="23" t="n">
        <f aca="false">COUNTIF(CAL!U:AF,B1593)</f>
        <v>1</v>
      </c>
      <c r="I1593" s="22" t="n">
        <v>6</v>
      </c>
      <c r="J1593" s="20"/>
    </row>
    <row r="1594" customFormat="false" ht="15.75" hidden="false" customHeight="true" outlineLevel="0" collapsed="false">
      <c r="B1594" s="19" t="n">
        <v>2493</v>
      </c>
      <c r="C1594" s="20" t="s">
        <v>1580</v>
      </c>
      <c r="D1594" s="20" t="s">
        <v>141</v>
      </c>
      <c r="E1594" s="21" t="s">
        <v>3571</v>
      </c>
      <c r="F1594" s="21" t="n">
        <v>38057</v>
      </c>
      <c r="G1594" s="22" t="s">
        <v>471</v>
      </c>
      <c r="H1594" s="23" t="n">
        <f aca="false">COUNTIF(CAL!U:AF,B1594)</f>
        <v>1</v>
      </c>
      <c r="I1594" s="22" t="n">
        <v>6</v>
      </c>
      <c r="J1594" s="20"/>
    </row>
    <row r="1595" customFormat="false" ht="15.75" hidden="false" customHeight="true" outlineLevel="0" collapsed="false">
      <c r="B1595" s="19" t="n">
        <v>2492</v>
      </c>
      <c r="C1595" s="20" t="s">
        <v>3572</v>
      </c>
      <c r="D1595" s="20" t="s">
        <v>141</v>
      </c>
      <c r="E1595" s="21" t="s">
        <v>3573</v>
      </c>
      <c r="F1595" s="21" t="n">
        <v>38296</v>
      </c>
      <c r="G1595" s="22" t="s">
        <v>471</v>
      </c>
      <c r="H1595" s="23" t="n">
        <f aca="false">COUNTIF(CAL!U:AF,B1595)</f>
        <v>1</v>
      </c>
      <c r="I1595" s="22" t="n">
        <v>6</v>
      </c>
      <c r="J1595" s="20"/>
    </row>
    <row r="1596" customFormat="false" ht="15.75" hidden="false" customHeight="true" outlineLevel="0" collapsed="false">
      <c r="B1596" s="19" t="n">
        <v>1709</v>
      </c>
      <c r="C1596" s="20" t="s">
        <v>3574</v>
      </c>
      <c r="D1596" s="20" t="s">
        <v>231</v>
      </c>
      <c r="E1596" s="21" t="s">
        <v>3575</v>
      </c>
      <c r="F1596" s="21" t="n">
        <v>35586</v>
      </c>
      <c r="G1596" s="22" t="s">
        <v>471</v>
      </c>
      <c r="H1596" s="23" t="n">
        <f aca="false">COUNTIF(CAL!U:AF,B1596)</f>
        <v>1</v>
      </c>
      <c r="I1596" s="22" t="n">
        <v>6</v>
      </c>
      <c r="J1596" s="20"/>
    </row>
    <row r="1597" customFormat="false" ht="15.75" hidden="false" customHeight="true" outlineLevel="0" collapsed="false">
      <c r="B1597" s="19" t="n">
        <v>2013</v>
      </c>
      <c r="C1597" s="20" t="s">
        <v>548</v>
      </c>
      <c r="D1597" s="20" t="s">
        <v>174</v>
      </c>
      <c r="E1597" s="21" t="s">
        <v>3576</v>
      </c>
      <c r="F1597" s="21" t="n">
        <v>35314</v>
      </c>
      <c r="G1597" s="22" t="s">
        <v>471</v>
      </c>
      <c r="H1597" s="23" t="n">
        <f aca="false">COUNTIF(CAL!U:AF,B1597)</f>
        <v>1</v>
      </c>
      <c r="I1597" s="22" t="n">
        <v>6</v>
      </c>
      <c r="J1597" s="20"/>
    </row>
    <row r="1598" customFormat="false" ht="15.75" hidden="false" customHeight="true" outlineLevel="0" collapsed="false">
      <c r="B1598" s="19" t="n">
        <v>3092</v>
      </c>
      <c r="C1598" s="20" t="s">
        <v>3577</v>
      </c>
      <c r="D1598" s="20" t="s">
        <v>271</v>
      </c>
      <c r="E1598" s="21" t="s">
        <v>3578</v>
      </c>
      <c r="F1598" s="21" t="n">
        <v>38303</v>
      </c>
      <c r="G1598" s="22" t="s">
        <v>471</v>
      </c>
      <c r="H1598" s="23" t="n">
        <f aca="false">COUNTIF(CAL!U:AF,B1598)</f>
        <v>1</v>
      </c>
      <c r="I1598" s="22" t="n">
        <v>6</v>
      </c>
      <c r="J1598" s="20"/>
    </row>
    <row r="1599" customFormat="false" ht="15.75" hidden="false" customHeight="true" outlineLevel="0" collapsed="false">
      <c r="B1599" s="19" t="n">
        <v>3167</v>
      </c>
      <c r="C1599" s="20" t="s">
        <v>3579</v>
      </c>
      <c r="D1599" s="20" t="s">
        <v>416</v>
      </c>
      <c r="E1599" s="21" t="s">
        <v>3580</v>
      </c>
      <c r="F1599" s="21" t="n">
        <v>37679</v>
      </c>
      <c r="G1599" s="22" t="s">
        <v>471</v>
      </c>
      <c r="H1599" s="23" t="n">
        <f aca="false">COUNTIF(CAL!U:AF,B1599)</f>
        <v>1</v>
      </c>
      <c r="I1599" s="22" t="n">
        <v>6</v>
      </c>
      <c r="J1599" s="20"/>
    </row>
    <row r="1600" customFormat="false" ht="15.75" hidden="false" customHeight="true" outlineLevel="0" collapsed="false">
      <c r="B1600" s="19" t="n">
        <v>1671</v>
      </c>
      <c r="C1600" s="20" t="s">
        <v>3581</v>
      </c>
      <c r="D1600" s="20" t="s">
        <v>79</v>
      </c>
      <c r="E1600" s="21" t="s">
        <v>3582</v>
      </c>
      <c r="F1600" s="21" t="n">
        <v>31806</v>
      </c>
      <c r="G1600" s="22" t="s">
        <v>471</v>
      </c>
      <c r="H1600" s="23" t="n">
        <f aca="false">COUNTIF(CAL!U:AF,B1600)</f>
        <v>1</v>
      </c>
      <c r="I1600" s="22" t="n">
        <v>6</v>
      </c>
      <c r="J1600" s="20"/>
    </row>
    <row r="1601" customFormat="false" ht="15.75" hidden="false" customHeight="true" outlineLevel="0" collapsed="false">
      <c r="B1601" s="19" t="n">
        <v>1028</v>
      </c>
      <c r="C1601" s="20" t="s">
        <v>3583</v>
      </c>
      <c r="D1601" s="20" t="s">
        <v>56</v>
      </c>
      <c r="E1601" s="24" t="s">
        <v>3584</v>
      </c>
      <c r="F1601" s="21" t="n">
        <v>37054</v>
      </c>
      <c r="G1601" s="22" t="s">
        <v>471</v>
      </c>
      <c r="H1601" s="23" t="n">
        <f aca="false">COUNTIF(CAL!U:AF,B1601)</f>
        <v>1</v>
      </c>
      <c r="I1601" s="22" t="n">
        <v>6</v>
      </c>
      <c r="J1601" s="20"/>
    </row>
    <row r="1602" customFormat="false" ht="15.75" hidden="false" customHeight="true" outlineLevel="0" collapsed="false">
      <c r="B1602" s="19" t="n">
        <v>2657</v>
      </c>
      <c r="C1602" s="20" t="s">
        <v>3585</v>
      </c>
      <c r="D1602" s="20" t="s">
        <v>53</v>
      </c>
      <c r="E1602" s="21" t="s">
        <v>3586</v>
      </c>
      <c r="F1602" s="21" t="n">
        <v>33793</v>
      </c>
      <c r="G1602" s="22" t="s">
        <v>471</v>
      </c>
      <c r="H1602" s="23" t="n">
        <f aca="false">COUNTIF(CAL!U:AF,B1602)</f>
        <v>1</v>
      </c>
      <c r="I1602" s="22" t="n">
        <v>6</v>
      </c>
      <c r="J1602" s="20"/>
    </row>
    <row r="1603" customFormat="false" ht="15.75" hidden="false" customHeight="true" outlineLevel="0" collapsed="false">
      <c r="B1603" s="19" t="n">
        <v>3403</v>
      </c>
      <c r="C1603" s="20" t="s">
        <v>899</v>
      </c>
      <c r="D1603" s="20" t="s">
        <v>233</v>
      </c>
      <c r="E1603" s="24" t="s">
        <v>3587</v>
      </c>
      <c r="F1603" s="21" t="n">
        <v>38062</v>
      </c>
      <c r="G1603" s="22" t="s">
        <v>471</v>
      </c>
      <c r="H1603" s="23" t="n">
        <f aca="false">COUNTIF(CAL!U:AF,B1603)</f>
        <v>1</v>
      </c>
      <c r="I1603" s="22" t="n">
        <v>6</v>
      </c>
      <c r="J1603" s="20"/>
    </row>
    <row r="1604" customFormat="false" ht="15.75" hidden="false" customHeight="true" outlineLevel="0" collapsed="false">
      <c r="B1604" s="19" t="n">
        <v>1064</v>
      </c>
      <c r="C1604" s="20" t="s">
        <v>3588</v>
      </c>
      <c r="D1604" s="20" t="s">
        <v>149</v>
      </c>
      <c r="E1604" s="21" t="s">
        <v>3589</v>
      </c>
      <c r="F1604" s="21" t="n">
        <v>39567</v>
      </c>
      <c r="G1604" s="22" t="s">
        <v>471</v>
      </c>
      <c r="H1604" s="23" t="n">
        <f aca="false">COUNTIF(CAL!U:AF,B1604)</f>
        <v>1</v>
      </c>
      <c r="I1604" s="22" t="n">
        <v>6</v>
      </c>
      <c r="J1604" s="20"/>
    </row>
    <row r="1605" customFormat="false" ht="15.75" hidden="false" customHeight="true" outlineLevel="0" collapsed="false">
      <c r="B1605" s="19" t="n">
        <v>3477</v>
      </c>
      <c r="C1605" s="20" t="s">
        <v>2114</v>
      </c>
      <c r="D1605" s="20" t="s">
        <v>348</v>
      </c>
      <c r="E1605" s="21" t="s">
        <v>3590</v>
      </c>
      <c r="F1605" s="21" t="n">
        <v>33186</v>
      </c>
      <c r="G1605" s="22" t="s">
        <v>471</v>
      </c>
      <c r="H1605" s="23" t="n">
        <f aca="false">COUNTIF(CAL!U:AF,B1605)</f>
        <v>1</v>
      </c>
      <c r="I1605" s="22" t="n">
        <v>6</v>
      </c>
      <c r="J1605" s="20"/>
    </row>
    <row r="1606" customFormat="false" ht="15.75" hidden="false" customHeight="true" outlineLevel="0" collapsed="false">
      <c r="B1606" s="19" t="n">
        <v>2668</v>
      </c>
      <c r="C1606" s="20" t="s">
        <v>3591</v>
      </c>
      <c r="D1606" s="20" t="s">
        <v>219</v>
      </c>
      <c r="E1606" s="21" t="s">
        <v>3592</v>
      </c>
      <c r="F1606" s="21" t="n">
        <v>34926</v>
      </c>
      <c r="G1606" s="22" t="s">
        <v>471</v>
      </c>
      <c r="H1606" s="23" t="n">
        <f aca="false">COUNTIF(CAL!U:AF,B1606)</f>
        <v>1</v>
      </c>
      <c r="I1606" s="22" t="n">
        <v>6</v>
      </c>
      <c r="J1606" s="20"/>
    </row>
    <row r="1607" customFormat="false" ht="15.75" hidden="false" customHeight="true" outlineLevel="0" collapsed="false">
      <c r="B1607" s="19" t="n">
        <v>2105</v>
      </c>
      <c r="C1607" s="20" t="s">
        <v>2339</v>
      </c>
      <c r="D1607" s="20" t="s">
        <v>82</v>
      </c>
      <c r="E1607" s="21" t="s">
        <v>3593</v>
      </c>
      <c r="F1607" s="21" t="n">
        <v>38111</v>
      </c>
      <c r="G1607" s="22" t="s">
        <v>471</v>
      </c>
      <c r="H1607" s="23" t="n">
        <f aca="false">COUNTIF(CAL!U:AF,B1607)</f>
        <v>1</v>
      </c>
      <c r="I1607" s="22" t="n">
        <v>6</v>
      </c>
      <c r="J1607" s="20"/>
    </row>
    <row r="1608" customFormat="false" ht="15.75" hidden="false" customHeight="true" outlineLevel="0" collapsed="false">
      <c r="B1608" s="19" t="n">
        <v>2742</v>
      </c>
      <c r="C1608" s="20" t="s">
        <v>3594</v>
      </c>
      <c r="D1608" s="20" t="s">
        <v>365</v>
      </c>
      <c r="E1608" s="24" t="s">
        <v>3595</v>
      </c>
      <c r="F1608" s="21" t="n">
        <v>39150</v>
      </c>
      <c r="G1608" s="22" t="s">
        <v>471</v>
      </c>
      <c r="H1608" s="23" t="n">
        <f aca="false">COUNTIF(CAL!U:AF,B1608)</f>
        <v>1</v>
      </c>
      <c r="I1608" s="22" t="n">
        <v>6</v>
      </c>
      <c r="J1608" s="20"/>
    </row>
    <row r="1609" customFormat="false" ht="15.75" hidden="false" customHeight="true" outlineLevel="0" collapsed="false">
      <c r="B1609" s="19" t="n">
        <v>3121</v>
      </c>
      <c r="C1609" s="20" t="s">
        <v>3594</v>
      </c>
      <c r="D1609" s="20" t="s">
        <v>370</v>
      </c>
      <c r="E1609" s="21" t="s">
        <v>3596</v>
      </c>
      <c r="F1609" s="21" t="n">
        <v>38059</v>
      </c>
      <c r="G1609" s="22" t="s">
        <v>471</v>
      </c>
      <c r="H1609" s="23" t="n">
        <f aca="false">COUNTIF(CAL!U:AF,B1609)</f>
        <v>1</v>
      </c>
      <c r="I1609" s="22" t="n">
        <v>6</v>
      </c>
      <c r="J1609" s="20"/>
    </row>
    <row r="1610" customFormat="false" ht="15.75" hidden="false" customHeight="true" outlineLevel="0" collapsed="false">
      <c r="B1610" s="19" t="n">
        <v>1792</v>
      </c>
      <c r="C1610" s="20" t="s">
        <v>3597</v>
      </c>
      <c r="D1610" s="20" t="s">
        <v>64</v>
      </c>
      <c r="E1610" s="24" t="s">
        <v>3598</v>
      </c>
      <c r="F1610" s="21" t="n">
        <v>35965</v>
      </c>
      <c r="G1610" s="22" t="s">
        <v>471</v>
      </c>
      <c r="H1610" s="23" t="n">
        <f aca="false">COUNTIF(CAL!U:AF,B1610)</f>
        <v>1</v>
      </c>
      <c r="I1610" s="22" t="n">
        <v>6</v>
      </c>
      <c r="J1610" s="20"/>
    </row>
    <row r="1611" customFormat="false" ht="15.75" hidden="false" customHeight="true" outlineLevel="0" collapsed="false">
      <c r="B1611" s="19" t="n">
        <v>1817</v>
      </c>
      <c r="C1611" s="20" t="s">
        <v>3599</v>
      </c>
      <c r="D1611" s="20" t="s">
        <v>290</v>
      </c>
      <c r="E1611" s="21" t="s">
        <v>3600</v>
      </c>
      <c r="F1611" s="21" t="n">
        <v>37364</v>
      </c>
      <c r="G1611" s="22" t="s">
        <v>471</v>
      </c>
      <c r="H1611" s="23" t="n">
        <f aca="false">COUNTIF(CAL!U:AF,B1611)</f>
        <v>1</v>
      </c>
      <c r="I1611" s="22" t="n">
        <v>6</v>
      </c>
      <c r="J1611" s="20"/>
    </row>
    <row r="1612" customFormat="false" ht="15.75" hidden="false" customHeight="true" outlineLevel="0" collapsed="false">
      <c r="B1612" s="19" t="n">
        <v>2254</v>
      </c>
      <c r="C1612" s="20" t="s">
        <v>3143</v>
      </c>
      <c r="D1612" s="20" t="s">
        <v>181</v>
      </c>
      <c r="E1612" s="21" t="s">
        <v>3601</v>
      </c>
      <c r="F1612" s="21" t="n">
        <v>38414</v>
      </c>
      <c r="G1612" s="22" t="s">
        <v>471</v>
      </c>
      <c r="H1612" s="23" t="n">
        <f aca="false">COUNTIF(CAL!U:AF,B1612)</f>
        <v>1</v>
      </c>
      <c r="I1612" s="22" t="n">
        <v>6</v>
      </c>
      <c r="J1612" s="20"/>
    </row>
    <row r="1613" customFormat="false" ht="15.75" hidden="false" customHeight="true" outlineLevel="0" collapsed="false">
      <c r="B1613" s="19" t="n">
        <v>2640</v>
      </c>
      <c r="C1613" s="20" t="s">
        <v>3602</v>
      </c>
      <c r="D1613" s="20" t="s">
        <v>205</v>
      </c>
      <c r="E1613" s="21" t="s">
        <v>3603</v>
      </c>
      <c r="F1613" s="21" t="n">
        <v>34376</v>
      </c>
      <c r="G1613" s="22" t="s">
        <v>471</v>
      </c>
      <c r="H1613" s="23" t="n">
        <f aca="false">COUNTIF(CAL!U:AF,B1613)</f>
        <v>1</v>
      </c>
      <c r="I1613" s="22" t="n">
        <v>6</v>
      </c>
      <c r="J1613" s="20"/>
    </row>
    <row r="1614" customFormat="false" ht="15.75" hidden="false" customHeight="true" outlineLevel="0" collapsed="false">
      <c r="B1614" s="19" t="n">
        <v>2282</v>
      </c>
      <c r="C1614" s="20" t="s">
        <v>3604</v>
      </c>
      <c r="D1614" s="20" t="s">
        <v>32</v>
      </c>
      <c r="E1614" s="24" t="s">
        <v>3605</v>
      </c>
      <c r="F1614" s="21" t="n">
        <v>33851</v>
      </c>
      <c r="G1614" s="22" t="s">
        <v>471</v>
      </c>
      <c r="H1614" s="23" t="n">
        <f aca="false">COUNTIF(CAL!U:AF,B1614)</f>
        <v>1</v>
      </c>
      <c r="I1614" s="22" t="n">
        <v>6</v>
      </c>
      <c r="J1614" s="20"/>
    </row>
    <row r="1615" customFormat="false" ht="15.75" hidden="false" customHeight="true" outlineLevel="0" collapsed="false">
      <c r="B1615" s="19" t="n">
        <v>2887</v>
      </c>
      <c r="C1615" s="20" t="s">
        <v>3606</v>
      </c>
      <c r="D1615" s="20" t="s">
        <v>351</v>
      </c>
      <c r="E1615" s="21" t="s">
        <v>3607</v>
      </c>
      <c r="F1615" s="21" t="n">
        <v>36231</v>
      </c>
      <c r="G1615" s="22" t="s">
        <v>471</v>
      </c>
      <c r="H1615" s="23" t="n">
        <f aca="false">COUNTIF(CAL!U:AF,B1615)</f>
        <v>1</v>
      </c>
      <c r="I1615" s="22" t="n">
        <v>6</v>
      </c>
      <c r="J1615" s="20"/>
    </row>
    <row r="1616" customFormat="false" ht="15.75" hidden="false" customHeight="true" outlineLevel="0" collapsed="false">
      <c r="B1616" s="19" t="n">
        <v>2713</v>
      </c>
      <c r="C1616" s="20" t="s">
        <v>3608</v>
      </c>
      <c r="D1616" s="20" t="s">
        <v>389</v>
      </c>
      <c r="E1616" s="21" t="s">
        <v>3609</v>
      </c>
      <c r="F1616" s="21" t="n">
        <v>31467</v>
      </c>
      <c r="G1616" s="22" t="s">
        <v>471</v>
      </c>
      <c r="H1616" s="23" t="n">
        <f aca="false">COUNTIF(CAL!U:AF,B1616)</f>
        <v>1</v>
      </c>
      <c r="I1616" s="22" t="n">
        <v>6</v>
      </c>
      <c r="J1616" s="20"/>
    </row>
    <row r="1617" customFormat="false" ht="15.75" hidden="false" customHeight="true" outlineLevel="0" collapsed="false">
      <c r="B1617" s="19" t="n">
        <v>1781</v>
      </c>
      <c r="C1617" s="20" t="s">
        <v>3610</v>
      </c>
      <c r="D1617" s="20" t="s">
        <v>216</v>
      </c>
      <c r="E1617" s="21" t="s">
        <v>3611</v>
      </c>
      <c r="F1617" s="21" t="n">
        <v>33087</v>
      </c>
      <c r="G1617" s="22" t="s">
        <v>471</v>
      </c>
      <c r="H1617" s="23" t="n">
        <f aca="false">COUNTIF(CAL!U:AF,B1617)</f>
        <v>1</v>
      </c>
      <c r="I1617" s="22" t="n">
        <v>6</v>
      </c>
      <c r="J1617" s="20"/>
    </row>
    <row r="1618" customFormat="false" ht="15.75" hidden="false" customHeight="true" outlineLevel="0" collapsed="false">
      <c r="B1618" s="19" t="n">
        <v>2548</v>
      </c>
      <c r="C1618" s="20" t="s">
        <v>2122</v>
      </c>
      <c r="D1618" s="20" t="s">
        <v>223</v>
      </c>
      <c r="E1618" s="21" t="s">
        <v>3612</v>
      </c>
      <c r="F1618" s="21" t="n">
        <v>38336</v>
      </c>
      <c r="G1618" s="22" t="s">
        <v>471</v>
      </c>
      <c r="H1618" s="23" t="n">
        <f aca="false">COUNTIF(CAL!U:AF,B1618)</f>
        <v>1</v>
      </c>
      <c r="I1618" s="22" t="n">
        <v>6</v>
      </c>
      <c r="J1618" s="20"/>
    </row>
    <row r="1619" customFormat="false" ht="15.75" hidden="false" customHeight="true" outlineLevel="0" collapsed="false">
      <c r="B1619" s="19" t="n">
        <v>2702</v>
      </c>
      <c r="C1619" s="20" t="s">
        <v>3613</v>
      </c>
      <c r="D1619" s="20" t="s">
        <v>307</v>
      </c>
      <c r="E1619" s="21" t="s">
        <v>3614</v>
      </c>
      <c r="F1619" s="21" t="n">
        <v>38681</v>
      </c>
      <c r="G1619" s="22" t="s">
        <v>471</v>
      </c>
      <c r="H1619" s="23" t="n">
        <f aca="false">COUNTIF(CAL!U:AF,B1619)</f>
        <v>1</v>
      </c>
      <c r="I1619" s="22" t="n">
        <v>6</v>
      </c>
      <c r="J1619" s="20"/>
    </row>
    <row r="1620" customFormat="false" ht="15.75" hidden="false" customHeight="true" outlineLevel="0" collapsed="false">
      <c r="B1620" s="19" t="n">
        <v>1987</v>
      </c>
      <c r="C1620" s="20" t="s">
        <v>3615</v>
      </c>
      <c r="D1620" s="20" t="s">
        <v>71</v>
      </c>
      <c r="E1620" s="21" t="s">
        <v>3616</v>
      </c>
      <c r="F1620" s="21" t="n">
        <v>36654</v>
      </c>
      <c r="G1620" s="22" t="s">
        <v>471</v>
      </c>
      <c r="H1620" s="23" t="n">
        <f aca="false">COUNTIF(CAL!U:AF,B1620)</f>
        <v>1</v>
      </c>
      <c r="I1620" s="22" t="n">
        <v>6</v>
      </c>
      <c r="J1620" s="20"/>
    </row>
    <row r="1621" customFormat="false" ht="15.75" hidden="false" customHeight="true" outlineLevel="0" collapsed="false">
      <c r="B1621" s="19" t="n">
        <v>2436</v>
      </c>
      <c r="C1621" s="20" t="s">
        <v>2973</v>
      </c>
      <c r="D1621" s="20" t="s">
        <v>98</v>
      </c>
      <c r="E1621" s="21" t="s">
        <v>3617</v>
      </c>
      <c r="F1621" s="21" t="n">
        <v>37662</v>
      </c>
      <c r="G1621" s="22" t="s">
        <v>471</v>
      </c>
      <c r="H1621" s="23" t="n">
        <f aca="false">COUNTIF(CAL!U:AF,B1621)</f>
        <v>1</v>
      </c>
      <c r="I1621" s="22" t="n">
        <v>6</v>
      </c>
      <c r="J1621" s="20"/>
    </row>
    <row r="1622" customFormat="false" ht="15.75" hidden="false" customHeight="true" outlineLevel="0" collapsed="false">
      <c r="B1622" s="19" t="n">
        <v>2232</v>
      </c>
      <c r="C1622" s="20" t="s">
        <v>3618</v>
      </c>
      <c r="D1622" s="20" t="s">
        <v>269</v>
      </c>
      <c r="E1622" s="21" t="s">
        <v>3619</v>
      </c>
      <c r="F1622" s="21" t="n">
        <v>33718</v>
      </c>
      <c r="G1622" s="22" t="s">
        <v>471</v>
      </c>
      <c r="H1622" s="23" t="n">
        <f aca="false">COUNTIF(CAL!U:AF,B1622)</f>
        <v>1</v>
      </c>
      <c r="I1622" s="22" t="n">
        <v>6</v>
      </c>
      <c r="J1622" s="20"/>
    </row>
    <row r="1623" customFormat="false" ht="15.75" hidden="false" customHeight="true" outlineLevel="0" collapsed="false">
      <c r="B1623" s="19" t="n">
        <v>2876</v>
      </c>
      <c r="C1623" s="20" t="s">
        <v>3620</v>
      </c>
      <c r="D1623" s="20" t="s">
        <v>273</v>
      </c>
      <c r="E1623" s="21" t="s">
        <v>3621</v>
      </c>
      <c r="F1623" s="21" t="n">
        <v>37084</v>
      </c>
      <c r="G1623" s="22" t="s">
        <v>471</v>
      </c>
      <c r="H1623" s="23" t="n">
        <f aca="false">COUNTIF(CAL!U:AF,B1623)</f>
        <v>1</v>
      </c>
      <c r="I1623" s="22" t="n">
        <v>6</v>
      </c>
      <c r="J1623" s="20"/>
    </row>
    <row r="1624" customFormat="false" ht="15.75" hidden="false" customHeight="true" outlineLevel="0" collapsed="false">
      <c r="B1624" s="19" t="n">
        <v>3192</v>
      </c>
      <c r="C1624" s="20" t="s">
        <v>3622</v>
      </c>
      <c r="D1624" s="20" t="s">
        <v>43</v>
      </c>
      <c r="E1624" s="21" t="s">
        <v>3623</v>
      </c>
      <c r="F1624" s="21" t="n">
        <v>34750</v>
      </c>
      <c r="G1624" s="22" t="s">
        <v>471</v>
      </c>
      <c r="H1624" s="23" t="n">
        <f aca="false">COUNTIF(CAL!U:AF,B1624)</f>
        <v>1</v>
      </c>
      <c r="I1624" s="22" t="n">
        <v>6</v>
      </c>
      <c r="J1624" s="20"/>
    </row>
    <row r="1625" customFormat="false" ht="15.75" hidden="false" customHeight="true" outlineLevel="0" collapsed="false">
      <c r="B1625" s="19" t="n">
        <v>1436</v>
      </c>
      <c r="C1625" s="20" t="s">
        <v>3624</v>
      </c>
      <c r="D1625" s="20" t="s">
        <v>111</v>
      </c>
      <c r="E1625" s="21" t="s">
        <v>3625</v>
      </c>
      <c r="F1625" s="21" t="n">
        <v>35664</v>
      </c>
      <c r="G1625" s="22" t="s">
        <v>471</v>
      </c>
      <c r="H1625" s="23" t="n">
        <f aca="false">COUNTIF(CAL!U:AF,B1625)</f>
        <v>1</v>
      </c>
      <c r="I1625" s="22" t="n">
        <v>6</v>
      </c>
      <c r="J1625" s="20"/>
    </row>
    <row r="1626" customFormat="false" ht="15.75" hidden="false" customHeight="true" outlineLevel="0" collapsed="false">
      <c r="B1626" s="19" t="n">
        <v>2247</v>
      </c>
      <c r="C1626" s="20" t="s">
        <v>3626</v>
      </c>
      <c r="D1626" s="20" t="s">
        <v>432</v>
      </c>
      <c r="E1626" s="24" t="s">
        <v>3627</v>
      </c>
      <c r="F1626" s="21" t="n">
        <v>33685</v>
      </c>
      <c r="G1626" s="22" t="s">
        <v>471</v>
      </c>
      <c r="H1626" s="23" t="n">
        <f aca="false">COUNTIF(CAL!U:AF,B1626)</f>
        <v>1</v>
      </c>
      <c r="I1626" s="22" t="n">
        <v>6</v>
      </c>
      <c r="J1626" s="20" t="s">
        <v>3628</v>
      </c>
    </row>
    <row r="1627" customFormat="false" ht="15.75" hidden="false" customHeight="true" outlineLevel="0" collapsed="false">
      <c r="B1627" s="19" t="n">
        <v>3009</v>
      </c>
      <c r="C1627" s="20" t="s">
        <v>3629</v>
      </c>
      <c r="D1627" s="20" t="s">
        <v>70</v>
      </c>
      <c r="E1627" s="21" t="s">
        <v>3630</v>
      </c>
      <c r="F1627" s="21" t="n">
        <v>34312</v>
      </c>
      <c r="G1627" s="22" t="s">
        <v>471</v>
      </c>
      <c r="H1627" s="23" t="n">
        <f aca="false">COUNTIF(CAL!U:AF,B1627)</f>
        <v>1</v>
      </c>
      <c r="I1627" s="22" t="n">
        <v>6</v>
      </c>
      <c r="J1627" s="20"/>
    </row>
    <row r="1628" customFormat="false" ht="15.75" hidden="false" customHeight="true" outlineLevel="0" collapsed="false">
      <c r="B1628" s="19" t="n">
        <v>3449</v>
      </c>
      <c r="C1628" s="20" t="s">
        <v>3631</v>
      </c>
      <c r="D1628" s="20" t="s">
        <v>428</v>
      </c>
      <c r="E1628" s="21" t="s">
        <v>3632</v>
      </c>
      <c r="F1628" s="21" t="n">
        <v>39029</v>
      </c>
      <c r="G1628" s="22" t="s">
        <v>471</v>
      </c>
      <c r="H1628" s="23" t="n">
        <f aca="false">COUNTIF(CAL!U:AF,B1628)</f>
        <v>1</v>
      </c>
      <c r="I1628" s="22" t="n">
        <v>6</v>
      </c>
      <c r="J1628" s="20"/>
    </row>
    <row r="1629" customFormat="false" ht="15.75" hidden="false" customHeight="true" outlineLevel="0" collapsed="false">
      <c r="B1629" s="19" t="n">
        <v>2160</v>
      </c>
      <c r="C1629" s="20" t="s">
        <v>3633</v>
      </c>
      <c r="D1629" s="20" t="s">
        <v>43</v>
      </c>
      <c r="E1629" s="24" t="s">
        <v>3634</v>
      </c>
      <c r="F1629" s="21" t="n">
        <v>37238</v>
      </c>
      <c r="G1629" s="22" t="s">
        <v>471</v>
      </c>
      <c r="H1629" s="23" t="n">
        <f aca="false">COUNTIF(CAL!U:AF,B1629)</f>
        <v>1</v>
      </c>
      <c r="I1629" s="22" t="n">
        <v>6</v>
      </c>
      <c r="J1629" s="20"/>
    </row>
    <row r="1630" customFormat="false" ht="15.75" hidden="false" customHeight="true" outlineLevel="0" collapsed="false">
      <c r="B1630" s="19" t="n">
        <v>2571</v>
      </c>
      <c r="C1630" s="20" t="s">
        <v>3401</v>
      </c>
      <c r="D1630" s="20" t="s">
        <v>111</v>
      </c>
      <c r="E1630" s="21" t="s">
        <v>3635</v>
      </c>
      <c r="F1630" s="21" t="n">
        <v>38224</v>
      </c>
      <c r="G1630" s="22" t="s">
        <v>471</v>
      </c>
      <c r="H1630" s="23" t="n">
        <f aca="false">COUNTIF(CAL!U:AF,B1630)</f>
        <v>1</v>
      </c>
      <c r="I1630" s="22" t="n">
        <v>7</v>
      </c>
      <c r="J1630" s="20"/>
    </row>
    <row r="1631" customFormat="false" ht="15.75" hidden="false" customHeight="true" outlineLevel="0" collapsed="false">
      <c r="B1631" s="19" t="n">
        <v>3423</v>
      </c>
      <c r="C1631" s="20" t="s">
        <v>3636</v>
      </c>
      <c r="D1631" s="20" t="s">
        <v>251</v>
      </c>
      <c r="E1631" s="21" t="s">
        <v>3637</v>
      </c>
      <c r="F1631" s="21" t="n">
        <v>38544</v>
      </c>
      <c r="G1631" s="22" t="s">
        <v>471</v>
      </c>
      <c r="H1631" s="23" t="n">
        <f aca="false">COUNTIF(CAL!U:AF,B1631)</f>
        <v>1</v>
      </c>
      <c r="I1631" s="22" t="n">
        <v>7</v>
      </c>
      <c r="J1631" s="20"/>
    </row>
    <row r="1632" customFormat="false" ht="15.75" hidden="false" customHeight="true" outlineLevel="0" collapsed="false">
      <c r="B1632" s="19" t="n">
        <v>3429</v>
      </c>
      <c r="C1632" s="20" t="s">
        <v>3638</v>
      </c>
      <c r="D1632" s="20" t="s">
        <v>326</v>
      </c>
      <c r="E1632" s="21" t="s">
        <v>3639</v>
      </c>
      <c r="F1632" s="21" t="n">
        <v>32840</v>
      </c>
      <c r="G1632" s="22" t="s">
        <v>471</v>
      </c>
      <c r="H1632" s="23" t="n">
        <f aca="false">COUNTIF(CAL!U:AF,B1632)</f>
        <v>1</v>
      </c>
      <c r="I1632" s="22" t="n">
        <v>7</v>
      </c>
      <c r="J1632" s="20"/>
    </row>
    <row r="1633" customFormat="false" ht="15.75" hidden="false" customHeight="true" outlineLevel="0" collapsed="false">
      <c r="B1633" s="19" t="n">
        <v>1783</v>
      </c>
      <c r="C1633" s="20" t="s">
        <v>3640</v>
      </c>
      <c r="D1633" s="20" t="s">
        <v>146</v>
      </c>
      <c r="E1633" s="21" t="s">
        <v>3641</v>
      </c>
      <c r="F1633" s="21" t="n">
        <v>35646</v>
      </c>
      <c r="G1633" s="22" t="s">
        <v>471</v>
      </c>
      <c r="H1633" s="23" t="n">
        <f aca="false">COUNTIF(CAL!U:AF,B1633)</f>
        <v>1</v>
      </c>
      <c r="I1633" s="22" t="n">
        <v>7</v>
      </c>
      <c r="J1633" s="20"/>
    </row>
    <row r="1634" customFormat="false" ht="15.75" hidden="false" customHeight="true" outlineLevel="0" collapsed="false">
      <c r="B1634" s="19" t="n">
        <v>2413</v>
      </c>
      <c r="C1634" s="20" t="s">
        <v>3642</v>
      </c>
      <c r="D1634" s="20" t="s">
        <v>213</v>
      </c>
      <c r="E1634" s="21" t="s">
        <v>3643</v>
      </c>
      <c r="F1634" s="21" t="n">
        <v>38851</v>
      </c>
      <c r="G1634" s="22" t="s">
        <v>471</v>
      </c>
      <c r="H1634" s="23" t="n">
        <f aca="false">COUNTIF(CAL!U:AF,B1634)</f>
        <v>1</v>
      </c>
      <c r="I1634" s="22" t="n">
        <v>7</v>
      </c>
      <c r="J1634" s="20"/>
    </row>
    <row r="1635" customFormat="false" ht="15.75" hidden="false" customHeight="true" outlineLevel="0" collapsed="false">
      <c r="B1635" s="19" t="n">
        <v>2437</v>
      </c>
      <c r="C1635" s="20" t="s">
        <v>3179</v>
      </c>
      <c r="D1635" s="20" t="s">
        <v>59</v>
      </c>
      <c r="E1635" s="21" t="s">
        <v>3644</v>
      </c>
      <c r="F1635" s="21" t="n">
        <v>34871</v>
      </c>
      <c r="G1635" s="22" t="s">
        <v>471</v>
      </c>
      <c r="H1635" s="23" t="n">
        <f aca="false">COUNTIF(CAL!U:AF,B1635)</f>
        <v>1</v>
      </c>
      <c r="I1635" s="22" t="n">
        <v>7</v>
      </c>
      <c r="J1635" s="20"/>
    </row>
    <row r="1636" customFormat="false" ht="15.75" hidden="false" customHeight="true" outlineLevel="0" collapsed="false">
      <c r="B1636" s="19" t="n">
        <v>2558</v>
      </c>
      <c r="C1636" s="20" t="s">
        <v>3645</v>
      </c>
      <c r="D1636" s="20" t="s">
        <v>32</v>
      </c>
      <c r="E1636" s="21" t="s">
        <v>3646</v>
      </c>
      <c r="F1636" s="21" t="n">
        <v>35886</v>
      </c>
      <c r="G1636" s="22" t="s">
        <v>471</v>
      </c>
      <c r="H1636" s="23" t="n">
        <f aca="false">COUNTIF(CAL!U:AF,B1636)</f>
        <v>1</v>
      </c>
      <c r="I1636" s="22" t="n">
        <v>7</v>
      </c>
      <c r="J1636" s="20" t="s">
        <v>2313</v>
      </c>
    </row>
    <row r="1637" customFormat="false" ht="15.75" hidden="false" customHeight="true" outlineLevel="0" collapsed="false">
      <c r="B1637" s="19" t="n">
        <v>3428</v>
      </c>
      <c r="C1637" s="20" t="s">
        <v>3647</v>
      </c>
      <c r="D1637" s="20" t="s">
        <v>326</v>
      </c>
      <c r="E1637" s="21" t="s">
        <v>3648</v>
      </c>
      <c r="F1637" s="21" t="n">
        <v>37284</v>
      </c>
      <c r="G1637" s="22" t="s">
        <v>471</v>
      </c>
      <c r="H1637" s="23" t="n">
        <f aca="false">COUNTIF(CAL!U:AF,B1637)</f>
        <v>1</v>
      </c>
      <c r="I1637" s="22" t="n">
        <v>7</v>
      </c>
      <c r="J1637" s="20"/>
    </row>
    <row r="1638" customFormat="false" ht="15.75" hidden="false" customHeight="true" outlineLevel="0" collapsed="false">
      <c r="B1638" s="19" t="n">
        <v>3252</v>
      </c>
      <c r="C1638" s="20" t="s">
        <v>3649</v>
      </c>
      <c r="D1638" s="20" t="s">
        <v>354</v>
      </c>
      <c r="E1638" s="21" t="s">
        <v>3650</v>
      </c>
      <c r="F1638" s="21" t="n">
        <v>36236</v>
      </c>
      <c r="G1638" s="22" t="s">
        <v>471</v>
      </c>
      <c r="H1638" s="23" t="n">
        <f aca="false">COUNTIF(CAL!U:AF,B1638)</f>
        <v>1</v>
      </c>
      <c r="I1638" s="22" t="n">
        <v>7</v>
      </c>
      <c r="J1638" s="20"/>
    </row>
    <row r="1639" customFormat="false" ht="15.75" hidden="false" customHeight="true" outlineLevel="0" collapsed="false">
      <c r="B1639" s="19" t="n">
        <v>1125</v>
      </c>
      <c r="C1639" s="20" t="s">
        <v>3651</v>
      </c>
      <c r="D1639" s="20" t="s">
        <v>273</v>
      </c>
      <c r="E1639" s="21" t="s">
        <v>3652</v>
      </c>
      <c r="F1639" s="21" t="n">
        <v>32173</v>
      </c>
      <c r="G1639" s="22" t="s">
        <v>471</v>
      </c>
      <c r="H1639" s="23" t="n">
        <f aca="false">COUNTIF(CAL!U:AF,B1639)</f>
        <v>1</v>
      </c>
      <c r="I1639" s="22" t="n">
        <v>7</v>
      </c>
      <c r="J1639" s="20"/>
    </row>
    <row r="1640" customFormat="false" ht="15.75" hidden="false" customHeight="true" outlineLevel="0" collapsed="false">
      <c r="B1640" s="19" t="n">
        <v>1134</v>
      </c>
      <c r="C1640" s="20" t="s">
        <v>3653</v>
      </c>
      <c r="D1640" s="20" t="s">
        <v>228</v>
      </c>
      <c r="E1640" s="21" t="s">
        <v>3654</v>
      </c>
      <c r="F1640" s="21" t="n">
        <v>33650</v>
      </c>
      <c r="G1640" s="22" t="s">
        <v>471</v>
      </c>
      <c r="H1640" s="23" t="n">
        <f aca="false">COUNTIF(CAL!U:AF,B1640)</f>
        <v>1</v>
      </c>
      <c r="I1640" s="22" t="n">
        <v>7</v>
      </c>
      <c r="J1640" s="20"/>
    </row>
    <row r="1641" customFormat="false" ht="15.75" hidden="false" customHeight="true" outlineLevel="0" collapsed="false">
      <c r="B1641" s="19" t="n">
        <v>2209</v>
      </c>
      <c r="C1641" s="20" t="s">
        <v>3655</v>
      </c>
      <c r="D1641" s="20" t="s">
        <v>306</v>
      </c>
      <c r="E1641" s="21" t="s">
        <v>3656</v>
      </c>
      <c r="F1641" s="21" t="n">
        <v>32604</v>
      </c>
      <c r="G1641" s="22" t="s">
        <v>471</v>
      </c>
      <c r="H1641" s="23" t="n">
        <f aca="false">COUNTIF(CAL!U:AF,B1641)</f>
        <v>1</v>
      </c>
      <c r="I1641" s="22" t="n">
        <v>7</v>
      </c>
      <c r="J1641" s="20"/>
    </row>
    <row r="1642" customFormat="false" ht="15.75" hidden="false" customHeight="true" outlineLevel="0" collapsed="false">
      <c r="B1642" s="19" t="n">
        <v>3618</v>
      </c>
      <c r="C1642" s="20" t="s">
        <v>3657</v>
      </c>
      <c r="D1642" s="20" t="s">
        <v>272</v>
      </c>
      <c r="E1642" s="21" t="s">
        <v>3658</v>
      </c>
      <c r="F1642" s="21" t="n">
        <v>38794</v>
      </c>
      <c r="G1642" s="22" t="s">
        <v>471</v>
      </c>
      <c r="H1642" s="23" t="n">
        <f aca="false">COUNTIF(CAL!U:AF,B1642)</f>
        <v>1</v>
      </c>
      <c r="I1642" s="22" t="n">
        <v>7</v>
      </c>
      <c r="J1642" s="20"/>
    </row>
    <row r="1643" customFormat="false" ht="15.75" hidden="false" customHeight="true" outlineLevel="0" collapsed="false">
      <c r="B1643" s="19" t="n">
        <v>2312</v>
      </c>
      <c r="C1643" s="20" t="s">
        <v>2599</v>
      </c>
      <c r="D1643" s="20" t="s">
        <v>210</v>
      </c>
      <c r="E1643" s="24" t="s">
        <v>3659</v>
      </c>
      <c r="F1643" s="21" t="n">
        <v>37995</v>
      </c>
      <c r="G1643" s="22" t="s">
        <v>471</v>
      </c>
      <c r="H1643" s="23" t="n">
        <f aca="false">COUNTIF(CAL!U:AF,B1643)</f>
        <v>1</v>
      </c>
      <c r="I1643" s="22" t="n">
        <v>7</v>
      </c>
      <c r="J1643" s="20"/>
    </row>
    <row r="1644" customFormat="false" ht="15.75" hidden="false" customHeight="true" outlineLevel="0" collapsed="false">
      <c r="B1644" s="19" t="n">
        <v>2253</v>
      </c>
      <c r="C1644" s="20" t="s">
        <v>3660</v>
      </c>
      <c r="D1644" s="20" t="s">
        <v>178</v>
      </c>
      <c r="E1644" s="21" t="s">
        <v>3661</v>
      </c>
      <c r="F1644" s="21" t="n">
        <v>38470</v>
      </c>
      <c r="G1644" s="22" t="s">
        <v>471</v>
      </c>
      <c r="H1644" s="23" t="n">
        <f aca="false">COUNTIF(CAL!U:AF,B1644)</f>
        <v>1</v>
      </c>
      <c r="I1644" s="22" t="n">
        <v>7</v>
      </c>
      <c r="J1644" s="20"/>
    </row>
    <row r="1645" customFormat="false" ht="15.75" hidden="false" customHeight="true" outlineLevel="0" collapsed="false">
      <c r="B1645" s="19" t="n">
        <v>3179</v>
      </c>
      <c r="C1645" s="20" t="s">
        <v>3662</v>
      </c>
      <c r="D1645" s="20" t="s">
        <v>78</v>
      </c>
      <c r="E1645" s="21" t="s">
        <v>3663</v>
      </c>
      <c r="F1645" s="21" t="n">
        <v>33984</v>
      </c>
      <c r="G1645" s="22" t="s">
        <v>471</v>
      </c>
      <c r="H1645" s="23" t="n">
        <f aca="false">COUNTIF(CAL!U:AF,B1645)</f>
        <v>1</v>
      </c>
      <c r="I1645" s="22" t="n">
        <v>7</v>
      </c>
      <c r="J1645" s="20"/>
    </row>
    <row r="1646" customFormat="false" ht="15.75" hidden="false" customHeight="true" outlineLevel="0" collapsed="false">
      <c r="B1646" s="19" t="n">
        <v>1993</v>
      </c>
      <c r="C1646" s="20" t="s">
        <v>3664</v>
      </c>
      <c r="D1646" s="20" t="s">
        <v>278</v>
      </c>
      <c r="E1646" s="21" t="s">
        <v>3665</v>
      </c>
      <c r="F1646" s="21" t="n">
        <v>33967</v>
      </c>
      <c r="G1646" s="22" t="s">
        <v>471</v>
      </c>
      <c r="H1646" s="23" t="n">
        <f aca="false">COUNTIF(CAL!U:AF,B1646)</f>
        <v>1</v>
      </c>
      <c r="I1646" s="22" t="n">
        <v>7</v>
      </c>
      <c r="J1646" s="20"/>
    </row>
    <row r="1647" customFormat="false" ht="15.75" hidden="false" customHeight="true" outlineLevel="0" collapsed="false">
      <c r="B1647" s="19" t="n">
        <v>2421</v>
      </c>
      <c r="C1647" s="20" t="s">
        <v>3666</v>
      </c>
      <c r="D1647" s="20" t="s">
        <v>110</v>
      </c>
      <c r="E1647" s="21" t="s">
        <v>3667</v>
      </c>
      <c r="F1647" s="21" t="n">
        <v>34494</v>
      </c>
      <c r="G1647" s="22" t="s">
        <v>471</v>
      </c>
      <c r="H1647" s="23" t="n">
        <f aca="false">COUNTIF(CAL!U:AF,B1647)</f>
        <v>1</v>
      </c>
      <c r="I1647" s="22" t="n">
        <v>7</v>
      </c>
      <c r="J1647" s="20"/>
    </row>
    <row r="1648" customFormat="false" ht="15.75" hidden="false" customHeight="true" outlineLevel="0" collapsed="false">
      <c r="B1648" s="19" t="n">
        <v>2397</v>
      </c>
      <c r="C1648" s="20" t="s">
        <v>3668</v>
      </c>
      <c r="D1648" s="20" t="s">
        <v>104</v>
      </c>
      <c r="E1648" s="21" t="s">
        <v>3669</v>
      </c>
      <c r="F1648" s="21" t="n">
        <v>37208</v>
      </c>
      <c r="G1648" s="22" t="s">
        <v>471</v>
      </c>
      <c r="H1648" s="23" t="n">
        <f aca="false">COUNTIF(CAL!U:AF,B1648)</f>
        <v>1</v>
      </c>
      <c r="I1648" s="22" t="n">
        <v>7</v>
      </c>
      <c r="J1648" s="20"/>
    </row>
    <row r="1649" customFormat="false" ht="15.75" hidden="false" customHeight="true" outlineLevel="0" collapsed="false">
      <c r="B1649" s="19" t="n">
        <v>2402</v>
      </c>
      <c r="C1649" s="20" t="s">
        <v>3670</v>
      </c>
      <c r="D1649" s="20" t="s">
        <v>186</v>
      </c>
      <c r="E1649" s="21" t="s">
        <v>3671</v>
      </c>
      <c r="F1649" s="21" t="n">
        <v>37095</v>
      </c>
      <c r="G1649" s="22" t="s">
        <v>471</v>
      </c>
      <c r="H1649" s="23" t="n">
        <f aca="false">COUNTIF(CAL!U:AF,B1649)</f>
        <v>1</v>
      </c>
      <c r="I1649" s="22" t="n">
        <v>7</v>
      </c>
      <c r="J1649" s="20"/>
    </row>
    <row r="1650" customFormat="false" ht="15.75" hidden="false" customHeight="true" outlineLevel="0" collapsed="false">
      <c r="B1650" s="19" t="n">
        <v>2287</v>
      </c>
      <c r="C1650" s="20" t="s">
        <v>2733</v>
      </c>
      <c r="D1650" s="20" t="s">
        <v>74</v>
      </c>
      <c r="E1650" s="24" t="s">
        <v>3672</v>
      </c>
      <c r="F1650" s="21" t="n">
        <v>38178</v>
      </c>
      <c r="G1650" s="22" t="s">
        <v>471</v>
      </c>
      <c r="H1650" s="23" t="n">
        <f aca="false">COUNTIF(CAL!U:AF,B1650)</f>
        <v>1</v>
      </c>
      <c r="I1650" s="22" t="n">
        <v>7</v>
      </c>
      <c r="J1650" s="20"/>
    </row>
    <row r="1651" customFormat="false" ht="15.75" hidden="false" customHeight="true" outlineLevel="0" collapsed="false">
      <c r="B1651" s="19" t="n">
        <v>2245</v>
      </c>
      <c r="C1651" s="20" t="s">
        <v>3673</v>
      </c>
      <c r="D1651" s="20" t="s">
        <v>63</v>
      </c>
      <c r="E1651" s="21" t="s">
        <v>3674</v>
      </c>
      <c r="F1651" s="21" t="n">
        <v>36951</v>
      </c>
      <c r="G1651" s="22" t="s">
        <v>471</v>
      </c>
      <c r="H1651" s="23" t="n">
        <f aca="false">COUNTIF(CAL!U:AF,B1651)</f>
        <v>1</v>
      </c>
      <c r="I1651" s="22" t="n">
        <v>7</v>
      </c>
      <c r="J1651" s="20"/>
    </row>
    <row r="1652" customFormat="false" ht="15.75" hidden="false" customHeight="true" outlineLevel="0" collapsed="false">
      <c r="B1652" s="19" t="n">
        <v>1366</v>
      </c>
      <c r="C1652" s="20" t="s">
        <v>3675</v>
      </c>
      <c r="D1652" s="20" t="s">
        <v>268</v>
      </c>
      <c r="E1652" s="21" t="s">
        <v>3676</v>
      </c>
      <c r="F1652" s="21" t="n">
        <v>36228</v>
      </c>
      <c r="G1652" s="22" t="s">
        <v>504</v>
      </c>
      <c r="H1652" s="23" t="n">
        <f aca="false">COUNTIF(CAL!U:AF,B1652)</f>
        <v>1</v>
      </c>
      <c r="I1652" s="22" t="n">
        <v>7</v>
      </c>
      <c r="J1652" s="20"/>
    </row>
    <row r="1653" customFormat="false" ht="15.75" hidden="false" customHeight="true" outlineLevel="0" collapsed="false">
      <c r="B1653" s="19" t="n">
        <v>1744</v>
      </c>
      <c r="C1653" s="20" t="s">
        <v>3677</v>
      </c>
      <c r="D1653" s="20" t="s">
        <v>125</v>
      </c>
      <c r="E1653" s="21" t="s">
        <v>3678</v>
      </c>
      <c r="F1653" s="21" t="n">
        <v>37866</v>
      </c>
      <c r="G1653" s="22" t="s">
        <v>471</v>
      </c>
      <c r="H1653" s="23" t="n">
        <f aca="false">COUNTIF(CAL!U:AF,B1653)</f>
        <v>1</v>
      </c>
      <c r="I1653" s="22" t="n">
        <v>7</v>
      </c>
      <c r="J1653" s="20"/>
    </row>
    <row r="1654" customFormat="false" ht="15.75" hidden="false" customHeight="true" outlineLevel="0" collapsed="false">
      <c r="B1654" s="19" t="n">
        <v>3076</v>
      </c>
      <c r="C1654" s="20" t="s">
        <v>3679</v>
      </c>
      <c r="D1654" s="20" t="s">
        <v>95</v>
      </c>
      <c r="E1654" s="21" t="s">
        <v>3680</v>
      </c>
      <c r="F1654" s="21" t="n">
        <v>30430</v>
      </c>
      <c r="G1654" s="22" t="s">
        <v>471</v>
      </c>
      <c r="H1654" s="23" t="n">
        <f aca="false">COUNTIF(CAL!U:AF,B1654)</f>
        <v>1</v>
      </c>
      <c r="I1654" s="22" t="n">
        <v>7</v>
      </c>
      <c r="J1654" s="20"/>
    </row>
    <row r="1655" customFormat="false" ht="15.75" hidden="false" customHeight="true" outlineLevel="0" collapsed="false">
      <c r="B1655" s="19" t="n">
        <v>2425</v>
      </c>
      <c r="C1655" s="20" t="s">
        <v>3681</v>
      </c>
      <c r="D1655" s="20" t="s">
        <v>154</v>
      </c>
      <c r="E1655" s="21" t="s">
        <v>3682</v>
      </c>
      <c r="F1655" s="21" t="n">
        <v>36046</v>
      </c>
      <c r="G1655" s="22" t="s">
        <v>471</v>
      </c>
      <c r="H1655" s="23" t="n">
        <f aca="false">COUNTIF(CAL!U:AF,B1655)</f>
        <v>1</v>
      </c>
      <c r="I1655" s="22" t="n">
        <v>7</v>
      </c>
      <c r="J1655" s="20"/>
    </row>
    <row r="1656" customFormat="false" ht="15.75" hidden="false" customHeight="true" outlineLevel="0" collapsed="false">
      <c r="B1656" s="19" t="n">
        <v>2969</v>
      </c>
      <c r="C1656" s="20" t="s">
        <v>3683</v>
      </c>
      <c r="D1656" s="20" t="s">
        <v>385</v>
      </c>
      <c r="E1656" s="21" t="s">
        <v>3684</v>
      </c>
      <c r="F1656" s="21" t="n">
        <v>37651</v>
      </c>
      <c r="G1656" s="22" t="s">
        <v>471</v>
      </c>
      <c r="H1656" s="23" t="n">
        <f aca="false">COUNTIF(CAL!U:AF,B1656)</f>
        <v>1</v>
      </c>
      <c r="I1656" s="22" t="n">
        <v>7</v>
      </c>
      <c r="J1656" s="20"/>
    </row>
    <row r="1657" customFormat="false" ht="15.75" hidden="false" customHeight="true" outlineLevel="0" collapsed="false">
      <c r="B1657" s="19" t="n">
        <v>2610</v>
      </c>
      <c r="C1657" s="20" t="s">
        <v>3685</v>
      </c>
      <c r="D1657" s="20" t="s">
        <v>376</v>
      </c>
      <c r="E1657" s="24" t="s">
        <v>3686</v>
      </c>
      <c r="F1657" s="21" t="n">
        <v>37890</v>
      </c>
      <c r="G1657" s="22" t="s">
        <v>471</v>
      </c>
      <c r="H1657" s="23" t="n">
        <f aca="false">COUNTIF(CAL!U:AF,B1657)</f>
        <v>1</v>
      </c>
      <c r="I1657" s="22" t="n">
        <v>7</v>
      </c>
      <c r="J1657" s="20"/>
    </row>
    <row r="1658" customFormat="false" ht="15.75" hidden="false" customHeight="true" outlineLevel="0" collapsed="false">
      <c r="B1658" s="19" t="n">
        <v>2549</v>
      </c>
      <c r="C1658" s="20" t="s">
        <v>3687</v>
      </c>
      <c r="D1658" s="20" t="s">
        <v>258</v>
      </c>
      <c r="E1658" s="24" t="s">
        <v>3688</v>
      </c>
      <c r="F1658" s="21" t="n">
        <v>37911</v>
      </c>
      <c r="G1658" s="22" t="s">
        <v>471</v>
      </c>
      <c r="H1658" s="23" t="n">
        <f aca="false">COUNTIF(CAL!U:AF,B1658)</f>
        <v>1</v>
      </c>
      <c r="I1658" s="22" t="n">
        <v>7</v>
      </c>
      <c r="J1658" s="20"/>
    </row>
    <row r="1659" customFormat="false" ht="15.75" hidden="false" customHeight="true" outlineLevel="0" collapsed="false">
      <c r="B1659" s="19" t="n">
        <v>1913</v>
      </c>
      <c r="C1659" s="20" t="s">
        <v>3689</v>
      </c>
      <c r="D1659" s="20" t="s">
        <v>215</v>
      </c>
      <c r="E1659" s="21" t="s">
        <v>3690</v>
      </c>
      <c r="F1659" s="21" t="n">
        <v>37841</v>
      </c>
      <c r="G1659" s="22" t="s">
        <v>471</v>
      </c>
      <c r="H1659" s="23" t="n">
        <f aca="false">COUNTIF(CAL!U:AF,B1659)</f>
        <v>1</v>
      </c>
      <c r="I1659" s="22" t="n">
        <v>7</v>
      </c>
      <c r="J1659" s="20"/>
    </row>
    <row r="1660" customFormat="false" ht="15.75" hidden="false" customHeight="true" outlineLevel="0" collapsed="false">
      <c r="B1660" s="19" t="n">
        <v>1075</v>
      </c>
      <c r="C1660" s="20" t="s">
        <v>3691</v>
      </c>
      <c r="D1660" s="20" t="s">
        <v>93</v>
      </c>
      <c r="E1660" s="21" t="s">
        <v>3692</v>
      </c>
      <c r="F1660" s="21" t="n">
        <v>38891</v>
      </c>
      <c r="G1660" s="22" t="s">
        <v>471</v>
      </c>
      <c r="H1660" s="23" t="n">
        <f aca="false">COUNTIF(CAL!U:AF,B1660)</f>
        <v>1</v>
      </c>
      <c r="I1660" s="22" t="n">
        <v>7</v>
      </c>
      <c r="J1660" s="20"/>
    </row>
    <row r="1661" customFormat="false" ht="15.75" hidden="false" customHeight="true" outlineLevel="0" collapsed="false">
      <c r="B1661" s="19" t="n">
        <v>1106</v>
      </c>
      <c r="C1661" s="20" t="s">
        <v>3693</v>
      </c>
      <c r="D1661" s="20" t="s">
        <v>111</v>
      </c>
      <c r="E1661" s="21" t="s">
        <v>3694</v>
      </c>
      <c r="F1661" s="21" t="n">
        <v>37962</v>
      </c>
      <c r="G1661" s="22" t="s">
        <v>471</v>
      </c>
      <c r="H1661" s="23" t="n">
        <f aca="false">COUNTIF(CAL!U:AF,B1661)</f>
        <v>1</v>
      </c>
      <c r="I1661" s="22" t="n">
        <v>7</v>
      </c>
      <c r="J1661" s="20"/>
    </row>
    <row r="1662" customFormat="false" ht="15.75" hidden="false" customHeight="true" outlineLevel="0" collapsed="false">
      <c r="B1662" s="19" t="n">
        <v>1835</v>
      </c>
      <c r="C1662" s="20" t="s">
        <v>3695</v>
      </c>
      <c r="D1662" s="20" t="s">
        <v>317</v>
      </c>
      <c r="E1662" s="21" t="s">
        <v>3696</v>
      </c>
      <c r="F1662" s="21" t="n">
        <v>35743</v>
      </c>
      <c r="G1662" s="22" t="s">
        <v>471</v>
      </c>
      <c r="H1662" s="23" t="n">
        <f aca="false">COUNTIF(CAL!U:AF,B1662)</f>
        <v>1</v>
      </c>
      <c r="I1662" s="22" t="n">
        <v>7</v>
      </c>
      <c r="J1662" s="20"/>
    </row>
    <row r="1663" customFormat="false" ht="15.75" hidden="false" customHeight="true" outlineLevel="0" collapsed="false">
      <c r="B1663" s="19" t="n">
        <v>3054</v>
      </c>
      <c r="C1663" s="20" t="s">
        <v>3697</v>
      </c>
      <c r="D1663" s="20" t="s">
        <v>265</v>
      </c>
      <c r="E1663" s="24" t="s">
        <v>3698</v>
      </c>
      <c r="F1663" s="21" t="n">
        <v>35953</v>
      </c>
      <c r="G1663" s="22" t="s">
        <v>471</v>
      </c>
      <c r="H1663" s="23" t="n">
        <f aca="false">COUNTIF(CAL!U:AF,B1663)</f>
        <v>1</v>
      </c>
      <c r="I1663" s="22" t="n">
        <v>7</v>
      </c>
      <c r="J1663" s="20"/>
    </row>
    <row r="1664" customFormat="false" ht="15.75" hidden="false" customHeight="true" outlineLevel="0" collapsed="false">
      <c r="B1664" s="19" t="n">
        <v>1196</v>
      </c>
      <c r="C1664" s="20" t="s">
        <v>3699</v>
      </c>
      <c r="D1664" s="20" t="s">
        <v>224</v>
      </c>
      <c r="E1664" s="21" t="s">
        <v>3700</v>
      </c>
      <c r="F1664" s="21" t="n">
        <v>38274</v>
      </c>
      <c r="G1664" s="22" t="s">
        <v>471</v>
      </c>
      <c r="H1664" s="23" t="n">
        <f aca="false">COUNTIF(CAL!U:AF,B1664)</f>
        <v>1</v>
      </c>
      <c r="I1664" s="22" t="n">
        <v>7</v>
      </c>
      <c r="J1664" s="20"/>
    </row>
    <row r="1665" customFormat="false" ht="15.75" hidden="false" customHeight="true" outlineLevel="0" collapsed="false">
      <c r="B1665" s="19" t="n">
        <v>1876</v>
      </c>
      <c r="C1665" s="20" t="s">
        <v>1376</v>
      </c>
      <c r="D1665" s="20" t="s">
        <v>185</v>
      </c>
      <c r="E1665" s="21" t="s">
        <v>3701</v>
      </c>
      <c r="F1665" s="21" t="n">
        <v>34716</v>
      </c>
      <c r="G1665" s="22" t="s">
        <v>471</v>
      </c>
      <c r="H1665" s="23" t="n">
        <f aca="false">COUNTIF(CAL!U:AF,B1665)</f>
        <v>1</v>
      </c>
      <c r="I1665" s="22" t="n">
        <v>7</v>
      </c>
      <c r="J1665" s="20"/>
    </row>
    <row r="1666" customFormat="false" ht="15.75" hidden="false" customHeight="true" outlineLevel="0" collapsed="false">
      <c r="B1666" s="19" t="n">
        <v>2882</v>
      </c>
      <c r="C1666" s="20" t="s">
        <v>3702</v>
      </c>
      <c r="D1666" s="20" t="s">
        <v>284</v>
      </c>
      <c r="E1666" s="21" t="s">
        <v>3703</v>
      </c>
      <c r="F1666" s="21" t="n">
        <v>38523</v>
      </c>
      <c r="G1666" s="22" t="s">
        <v>471</v>
      </c>
      <c r="H1666" s="23" t="n">
        <f aca="false">COUNTIF(CAL!U:AF,B1666)</f>
        <v>1</v>
      </c>
      <c r="I1666" s="22" t="n">
        <v>7</v>
      </c>
      <c r="J1666" s="20"/>
    </row>
    <row r="1667" customFormat="false" ht="15.75" hidden="false" customHeight="true" outlineLevel="0" collapsed="false">
      <c r="B1667" s="19" t="n">
        <v>2833</v>
      </c>
      <c r="C1667" s="20" t="s">
        <v>3704</v>
      </c>
      <c r="D1667" s="20" t="s">
        <v>341</v>
      </c>
      <c r="E1667" s="21" t="s">
        <v>3705</v>
      </c>
      <c r="F1667" s="21" t="n">
        <v>34156</v>
      </c>
      <c r="G1667" s="22" t="s">
        <v>471</v>
      </c>
      <c r="H1667" s="23" t="n">
        <f aca="false">COUNTIF(CAL!U:AF,B1667)</f>
        <v>1</v>
      </c>
      <c r="I1667" s="22" t="n">
        <v>7</v>
      </c>
      <c r="J1667" s="20"/>
    </row>
    <row r="1668" customFormat="false" ht="15.75" hidden="false" customHeight="true" outlineLevel="0" collapsed="false">
      <c r="B1668" s="19" t="n">
        <v>2952</v>
      </c>
      <c r="C1668" s="20" t="s">
        <v>3706</v>
      </c>
      <c r="D1668" s="20" t="s">
        <v>299</v>
      </c>
      <c r="E1668" s="21" t="s">
        <v>3707</v>
      </c>
      <c r="F1668" s="21" t="n">
        <v>36186</v>
      </c>
      <c r="G1668" s="22" t="s">
        <v>471</v>
      </c>
      <c r="H1668" s="23" t="n">
        <f aca="false">COUNTIF(CAL!U:AF,B1668)</f>
        <v>1</v>
      </c>
      <c r="I1668" s="22" t="n">
        <v>7</v>
      </c>
      <c r="J1668" s="20"/>
    </row>
    <row r="1669" customFormat="false" ht="15.75" hidden="false" customHeight="true" outlineLevel="0" collapsed="false">
      <c r="B1669" s="19" t="n">
        <v>3133</v>
      </c>
      <c r="C1669" s="20" t="s">
        <v>3257</v>
      </c>
      <c r="D1669" s="20" t="s">
        <v>84</v>
      </c>
      <c r="E1669" s="21" t="s">
        <v>3708</v>
      </c>
      <c r="F1669" s="21" t="n">
        <v>34591</v>
      </c>
      <c r="G1669" s="22" t="s">
        <v>471</v>
      </c>
      <c r="H1669" s="23" t="n">
        <f aca="false">COUNTIF(CAL!U:AF,B1669)</f>
        <v>1</v>
      </c>
      <c r="I1669" s="22" t="n">
        <v>7</v>
      </c>
      <c r="J1669" s="20"/>
    </row>
    <row r="1670" customFormat="false" ht="15.75" hidden="false" customHeight="true" outlineLevel="0" collapsed="false">
      <c r="B1670" s="19" t="n">
        <v>2917</v>
      </c>
      <c r="C1670" s="20" t="s">
        <v>3709</v>
      </c>
      <c r="D1670" s="20" t="s">
        <v>158</v>
      </c>
      <c r="E1670" s="21" t="s">
        <v>3710</v>
      </c>
      <c r="F1670" s="21" t="n">
        <v>38368</v>
      </c>
      <c r="G1670" s="22" t="s">
        <v>471</v>
      </c>
      <c r="H1670" s="23" t="n">
        <f aca="false">COUNTIF(CAL!U:AF,B1670)</f>
        <v>1</v>
      </c>
      <c r="I1670" s="22" t="n">
        <v>7</v>
      </c>
      <c r="J1670" s="20"/>
    </row>
    <row r="1671" customFormat="false" ht="15.75" hidden="false" customHeight="true" outlineLevel="0" collapsed="false">
      <c r="B1671" s="19" t="n">
        <v>2068</v>
      </c>
      <c r="C1671" s="20" t="s">
        <v>3711</v>
      </c>
      <c r="D1671" s="20" t="s">
        <v>252</v>
      </c>
      <c r="E1671" s="21" t="s">
        <v>3712</v>
      </c>
      <c r="F1671" s="21" t="n">
        <v>34337</v>
      </c>
      <c r="G1671" s="22" t="s">
        <v>471</v>
      </c>
      <c r="H1671" s="23" t="n">
        <f aca="false">COUNTIF(CAL!U:AF,B1671)</f>
        <v>1</v>
      </c>
      <c r="I1671" s="22" t="n">
        <v>7</v>
      </c>
      <c r="J1671" s="20"/>
    </row>
    <row r="1672" customFormat="false" ht="15.75" hidden="false" customHeight="true" outlineLevel="0" collapsed="false">
      <c r="B1672" s="19" t="n">
        <v>2366</v>
      </c>
      <c r="C1672" s="20" t="s">
        <v>3713</v>
      </c>
      <c r="D1672" s="20" t="s">
        <v>241</v>
      </c>
      <c r="E1672" s="21" t="s">
        <v>3714</v>
      </c>
      <c r="F1672" s="21" t="n">
        <v>35144</v>
      </c>
      <c r="G1672" s="22" t="s">
        <v>471</v>
      </c>
      <c r="H1672" s="23" t="n">
        <f aca="false">COUNTIF(CAL!U:AF,B1672)</f>
        <v>1</v>
      </c>
      <c r="I1672" s="22" t="n">
        <v>7</v>
      </c>
      <c r="J1672" s="20"/>
    </row>
    <row r="1673" customFormat="false" ht="15.75" hidden="false" customHeight="true" outlineLevel="0" collapsed="false">
      <c r="B1673" s="19" t="n">
        <v>3288</v>
      </c>
      <c r="C1673" s="20" t="s">
        <v>3715</v>
      </c>
      <c r="D1673" s="20" t="s">
        <v>292</v>
      </c>
      <c r="E1673" s="21" t="s">
        <v>3716</v>
      </c>
      <c r="F1673" s="21" t="n">
        <v>37278</v>
      </c>
      <c r="G1673" s="22" t="s">
        <v>471</v>
      </c>
      <c r="H1673" s="23" t="n">
        <f aca="false">COUNTIF(CAL!U:AF,B1673)</f>
        <v>1</v>
      </c>
      <c r="I1673" s="22" t="n">
        <v>7</v>
      </c>
      <c r="J1673" s="20"/>
    </row>
    <row r="1674" customFormat="false" ht="15.75" hidden="false" customHeight="true" outlineLevel="0" collapsed="false">
      <c r="B1674" s="19" t="n">
        <v>1810</v>
      </c>
      <c r="C1674" s="20" t="s">
        <v>3717</v>
      </c>
      <c r="D1674" s="20" t="s">
        <v>227</v>
      </c>
      <c r="E1674" s="24" t="s">
        <v>3718</v>
      </c>
      <c r="F1674" s="21" t="n">
        <v>36559</v>
      </c>
      <c r="G1674" s="22" t="s">
        <v>471</v>
      </c>
      <c r="H1674" s="23" t="n">
        <f aca="false">COUNTIF(CAL!U:AF,B1674)</f>
        <v>1</v>
      </c>
      <c r="I1674" s="22" t="n">
        <v>7</v>
      </c>
      <c r="J1674" s="20"/>
    </row>
    <row r="1675" customFormat="false" ht="15.75" hidden="false" customHeight="true" outlineLevel="0" collapsed="false">
      <c r="B1675" s="19" t="n">
        <v>3633</v>
      </c>
      <c r="C1675" s="20" t="s">
        <v>2043</v>
      </c>
      <c r="D1675" s="20" t="s">
        <v>261</v>
      </c>
      <c r="E1675" s="24" t="s">
        <v>3719</v>
      </c>
      <c r="F1675" s="21" t="n">
        <v>34621</v>
      </c>
      <c r="G1675" s="22" t="s">
        <v>471</v>
      </c>
      <c r="H1675" s="23" t="n">
        <f aca="false">COUNTIF(CAL!U:AF,B1675)</f>
        <v>1</v>
      </c>
      <c r="I1675" s="22" t="n">
        <v>7</v>
      </c>
      <c r="J1675" s="20"/>
    </row>
    <row r="1676" customFormat="false" ht="15.75" hidden="false" customHeight="true" outlineLevel="0" collapsed="false">
      <c r="B1676" s="19" t="n">
        <v>2301</v>
      </c>
      <c r="C1676" s="20" t="s">
        <v>3720</v>
      </c>
      <c r="D1676" s="20" t="s">
        <v>128</v>
      </c>
      <c r="E1676" s="24" t="s">
        <v>3721</v>
      </c>
      <c r="F1676" s="21" t="n">
        <v>35096</v>
      </c>
      <c r="G1676" s="22" t="s">
        <v>471</v>
      </c>
      <c r="H1676" s="23" t="n">
        <f aca="false">COUNTIF(CAL!U:AF,B1676)</f>
        <v>1</v>
      </c>
      <c r="I1676" s="22" t="n">
        <v>7</v>
      </c>
      <c r="J1676" s="20"/>
    </row>
    <row r="1677" customFormat="false" ht="15.75" hidden="false" customHeight="true" outlineLevel="0" collapsed="false">
      <c r="B1677" s="19" t="n">
        <v>3221</v>
      </c>
      <c r="C1677" s="20" t="s">
        <v>3722</v>
      </c>
      <c r="D1677" s="20" t="s">
        <v>262</v>
      </c>
      <c r="E1677" s="21" t="s">
        <v>3723</v>
      </c>
      <c r="F1677" s="21" t="n">
        <v>39051</v>
      </c>
      <c r="G1677" s="22" t="s">
        <v>471</v>
      </c>
      <c r="H1677" s="23" t="n">
        <f aca="false">COUNTIF(CAL!U:AF,B1677)</f>
        <v>1</v>
      </c>
      <c r="I1677" s="22" t="n">
        <v>7</v>
      </c>
      <c r="J1677" s="20"/>
    </row>
    <row r="1678" customFormat="false" ht="15.75" hidden="false" customHeight="true" outlineLevel="0" collapsed="false">
      <c r="B1678" s="19" t="n">
        <v>2346</v>
      </c>
      <c r="C1678" s="20" t="s">
        <v>3724</v>
      </c>
      <c r="D1678" s="20" t="s">
        <v>228</v>
      </c>
      <c r="E1678" s="21" t="s">
        <v>3725</v>
      </c>
      <c r="F1678" s="21" t="n">
        <v>39119</v>
      </c>
      <c r="G1678" s="22" t="s">
        <v>471</v>
      </c>
      <c r="H1678" s="23" t="n">
        <f aca="false">COUNTIF(CAL!U:AF,B1678)</f>
        <v>1</v>
      </c>
      <c r="I1678" s="22" t="n">
        <v>7</v>
      </c>
      <c r="J1678" s="20"/>
    </row>
    <row r="1679" customFormat="false" ht="15.75" hidden="false" customHeight="true" outlineLevel="0" collapsed="false">
      <c r="B1679" s="19" t="n">
        <v>1521</v>
      </c>
      <c r="C1679" s="20" t="s">
        <v>1444</v>
      </c>
      <c r="D1679" s="20" t="s">
        <v>118</v>
      </c>
      <c r="E1679" s="21" t="s">
        <v>3726</v>
      </c>
      <c r="F1679" s="21" t="n">
        <v>37617</v>
      </c>
      <c r="G1679" s="22" t="s">
        <v>471</v>
      </c>
      <c r="H1679" s="23" t="n">
        <f aca="false">COUNTIF(CAL!U:AF,B1679)</f>
        <v>1</v>
      </c>
      <c r="I1679" s="22" t="n">
        <v>7</v>
      </c>
      <c r="J1679" s="20"/>
    </row>
    <row r="1680" customFormat="false" ht="15.75" hidden="false" customHeight="true" outlineLevel="0" collapsed="false">
      <c r="B1680" s="19" t="n">
        <v>1717</v>
      </c>
      <c r="C1680" s="20" t="s">
        <v>3727</v>
      </c>
      <c r="D1680" s="20" t="s">
        <v>208</v>
      </c>
      <c r="E1680" s="21" t="s">
        <v>3728</v>
      </c>
      <c r="F1680" s="21" t="n">
        <v>36487</v>
      </c>
      <c r="G1680" s="22" t="s">
        <v>471</v>
      </c>
      <c r="H1680" s="23" t="n">
        <f aca="false">COUNTIF(CAL!U:AF,B1680)</f>
        <v>1</v>
      </c>
      <c r="I1680" s="22" t="n">
        <v>7</v>
      </c>
      <c r="J1680" s="20"/>
    </row>
    <row r="1681" customFormat="false" ht="15.75" hidden="false" customHeight="true" outlineLevel="0" collapsed="false">
      <c r="B1681" s="19" t="n">
        <v>1132</v>
      </c>
      <c r="C1681" s="20" t="s">
        <v>3729</v>
      </c>
      <c r="D1681" s="20" t="s">
        <v>228</v>
      </c>
      <c r="E1681" s="21" t="s">
        <v>3730</v>
      </c>
      <c r="F1681" s="21" t="n">
        <v>34052</v>
      </c>
      <c r="G1681" s="22" t="s">
        <v>471</v>
      </c>
      <c r="H1681" s="23" t="n">
        <f aca="false">COUNTIF(CAL!U:AF,B1681)</f>
        <v>1</v>
      </c>
      <c r="I1681" s="22" t="n">
        <v>7</v>
      </c>
      <c r="J1681" s="20"/>
    </row>
    <row r="1682" customFormat="false" ht="15.75" hidden="false" customHeight="true" outlineLevel="0" collapsed="false">
      <c r="B1682" s="19" t="n">
        <v>2662</v>
      </c>
      <c r="C1682" s="20" t="s">
        <v>1625</v>
      </c>
      <c r="D1682" s="20" t="s">
        <v>135</v>
      </c>
      <c r="E1682" s="24" t="s">
        <v>3731</v>
      </c>
      <c r="F1682" s="21" t="n">
        <v>37782</v>
      </c>
      <c r="G1682" s="22" t="s">
        <v>471</v>
      </c>
      <c r="H1682" s="23" t="n">
        <f aca="false">COUNTIF(CAL!U:AF,B1682)</f>
        <v>1</v>
      </c>
      <c r="I1682" s="22" t="n">
        <v>7</v>
      </c>
      <c r="J1682" s="20"/>
    </row>
    <row r="1683" customFormat="false" ht="15.75" hidden="false" customHeight="true" outlineLevel="0" collapsed="false">
      <c r="B1683" s="19" t="n">
        <v>1441</v>
      </c>
      <c r="C1683" s="20" t="s">
        <v>2188</v>
      </c>
      <c r="D1683" s="20" t="s">
        <v>176</v>
      </c>
      <c r="E1683" s="21" t="s">
        <v>3732</v>
      </c>
      <c r="F1683" s="21" t="n">
        <v>35512</v>
      </c>
      <c r="G1683" s="22" t="s">
        <v>471</v>
      </c>
      <c r="H1683" s="23" t="n">
        <f aca="false">COUNTIF(CAL!U:AF,B1683)</f>
        <v>1</v>
      </c>
      <c r="I1683" s="22" t="n">
        <v>7</v>
      </c>
      <c r="J1683" s="20"/>
    </row>
    <row r="1684" customFormat="false" ht="15.75" hidden="false" customHeight="true" outlineLevel="0" collapsed="false">
      <c r="B1684" s="19" t="n">
        <v>3135</v>
      </c>
      <c r="C1684" s="20" t="s">
        <v>3733</v>
      </c>
      <c r="D1684" s="20" t="s">
        <v>195</v>
      </c>
      <c r="E1684" s="21" t="s">
        <v>3734</v>
      </c>
      <c r="F1684" s="21" t="n">
        <v>34830</v>
      </c>
      <c r="G1684" s="22" t="s">
        <v>471</v>
      </c>
      <c r="H1684" s="23" t="n">
        <f aca="false">COUNTIF(CAL!U:AF,B1684)</f>
        <v>1</v>
      </c>
      <c r="I1684" s="22" t="n">
        <v>7</v>
      </c>
      <c r="J1684" s="20"/>
    </row>
    <row r="1685" customFormat="false" ht="15.75" hidden="false" customHeight="true" outlineLevel="0" collapsed="false">
      <c r="B1685" s="19" t="n">
        <v>2361</v>
      </c>
      <c r="C1685" s="20" t="s">
        <v>516</v>
      </c>
      <c r="D1685" s="20" t="s">
        <v>263</v>
      </c>
      <c r="E1685" s="21" t="s">
        <v>3735</v>
      </c>
      <c r="F1685" s="21" t="n">
        <v>37635</v>
      </c>
      <c r="G1685" s="22" t="s">
        <v>471</v>
      </c>
      <c r="H1685" s="23" t="n">
        <f aca="false">COUNTIF(CAL!U:AF,B1685)</f>
        <v>1</v>
      </c>
      <c r="I1685" s="22" t="n">
        <v>7</v>
      </c>
      <c r="J1685" s="20"/>
    </row>
    <row r="1686" customFormat="false" ht="15.75" hidden="false" customHeight="true" outlineLevel="0" collapsed="false">
      <c r="B1686" s="19" t="n">
        <v>2900</v>
      </c>
      <c r="C1686" s="20" t="s">
        <v>516</v>
      </c>
      <c r="D1686" s="20" t="s">
        <v>169</v>
      </c>
      <c r="E1686" s="21" t="s">
        <v>3736</v>
      </c>
      <c r="F1686" s="21" t="n">
        <v>36892</v>
      </c>
      <c r="G1686" s="22" t="s">
        <v>471</v>
      </c>
      <c r="H1686" s="23" t="n">
        <f aca="false">COUNTIF(CAL!U:AF,B1686)</f>
        <v>1</v>
      </c>
      <c r="I1686" s="22" t="n">
        <v>7</v>
      </c>
      <c r="J1686" s="20"/>
    </row>
    <row r="1687" customFormat="false" ht="15.75" hidden="false" customHeight="true" outlineLevel="0" collapsed="false">
      <c r="B1687" s="19" t="n">
        <v>2212</v>
      </c>
      <c r="C1687" s="20" t="s">
        <v>3737</v>
      </c>
      <c r="D1687" s="20" t="s">
        <v>298</v>
      </c>
      <c r="E1687" s="21" t="s">
        <v>3738</v>
      </c>
      <c r="F1687" s="21" t="n">
        <v>37598</v>
      </c>
      <c r="G1687" s="22" t="s">
        <v>471</v>
      </c>
      <c r="H1687" s="23" t="n">
        <f aca="false">COUNTIF(CAL!U:AF,B1687)</f>
        <v>1</v>
      </c>
      <c r="I1687" s="22" t="n">
        <v>7</v>
      </c>
      <c r="J1687" s="20"/>
    </row>
    <row r="1688" customFormat="false" ht="15.75" hidden="false" customHeight="true" outlineLevel="0" collapsed="false">
      <c r="B1688" s="19" t="n">
        <v>2288</v>
      </c>
      <c r="C1688" s="20" t="s">
        <v>3739</v>
      </c>
      <c r="D1688" s="20" t="s">
        <v>171</v>
      </c>
      <c r="E1688" s="24" t="s">
        <v>3740</v>
      </c>
      <c r="F1688" s="21" t="n">
        <v>33698</v>
      </c>
      <c r="G1688" s="22" t="s">
        <v>471</v>
      </c>
      <c r="H1688" s="23" t="n">
        <f aca="false">COUNTIF(CAL!U:AF,B1688)</f>
        <v>1</v>
      </c>
      <c r="I1688" s="22" t="n">
        <v>7</v>
      </c>
      <c r="J1688" s="20"/>
    </row>
    <row r="1689" customFormat="false" ht="15.75" hidden="false" customHeight="true" outlineLevel="0" collapsed="false">
      <c r="B1689" s="19" t="n">
        <v>2963</v>
      </c>
      <c r="C1689" s="20" t="s">
        <v>3741</v>
      </c>
      <c r="D1689" s="20" t="s">
        <v>340</v>
      </c>
      <c r="E1689" s="21" t="s">
        <v>3742</v>
      </c>
      <c r="F1689" s="21" t="n">
        <v>35627</v>
      </c>
      <c r="G1689" s="22" t="s">
        <v>471</v>
      </c>
      <c r="H1689" s="23" t="n">
        <f aca="false">COUNTIF(CAL!U:AF,B1689)</f>
        <v>1</v>
      </c>
      <c r="I1689" s="22" t="n">
        <v>7</v>
      </c>
      <c r="J1689" s="20"/>
    </row>
    <row r="1690" customFormat="false" ht="15.75" hidden="false" customHeight="true" outlineLevel="0" collapsed="false">
      <c r="B1690" s="19" t="n">
        <v>2516</v>
      </c>
      <c r="C1690" s="20" t="s">
        <v>1130</v>
      </c>
      <c r="D1690" s="20" t="s">
        <v>75</v>
      </c>
      <c r="E1690" s="21" t="s">
        <v>3743</v>
      </c>
      <c r="F1690" s="21" t="n">
        <v>38025</v>
      </c>
      <c r="G1690" s="22" t="s">
        <v>471</v>
      </c>
      <c r="H1690" s="23" t="n">
        <f aca="false">COUNTIF(CAL!U:AF,B1690)</f>
        <v>1</v>
      </c>
      <c r="I1690" s="22" t="n">
        <v>7</v>
      </c>
      <c r="J1690" s="20"/>
    </row>
    <row r="1691" customFormat="false" ht="15.75" hidden="false" customHeight="true" outlineLevel="0" collapsed="false">
      <c r="B1691" s="19" t="n">
        <v>2380</v>
      </c>
      <c r="C1691" s="20" t="s">
        <v>3744</v>
      </c>
      <c r="D1691" s="20" t="s">
        <v>117</v>
      </c>
      <c r="E1691" s="21" t="s">
        <v>3745</v>
      </c>
      <c r="F1691" s="21" t="n">
        <v>38222</v>
      </c>
      <c r="G1691" s="22" t="s">
        <v>471</v>
      </c>
      <c r="H1691" s="23" t="n">
        <f aca="false">COUNTIF(CAL!U:AF,B1691)</f>
        <v>1</v>
      </c>
      <c r="I1691" s="22" t="n">
        <v>7</v>
      </c>
      <c r="J1691" s="20"/>
    </row>
    <row r="1692" customFormat="false" ht="15.75" hidden="false" customHeight="true" outlineLevel="0" collapsed="false">
      <c r="B1692" s="19" t="n">
        <v>2584</v>
      </c>
      <c r="C1692" s="20" t="s">
        <v>3746</v>
      </c>
      <c r="D1692" s="20" t="s">
        <v>317</v>
      </c>
      <c r="E1692" s="21" t="s">
        <v>3747</v>
      </c>
      <c r="F1692" s="21" t="n">
        <v>31800</v>
      </c>
      <c r="G1692" s="22" t="s">
        <v>471</v>
      </c>
      <c r="H1692" s="23" t="n">
        <f aca="false">COUNTIF(CAL!U:AF,B1692)</f>
        <v>1</v>
      </c>
      <c r="I1692" s="22" t="n">
        <v>7</v>
      </c>
      <c r="J1692" s="20"/>
    </row>
    <row r="1693" customFormat="false" ht="15.75" hidden="false" customHeight="true" outlineLevel="0" collapsed="false">
      <c r="B1693" s="19" t="n">
        <v>3624</v>
      </c>
      <c r="C1693" s="20" t="s">
        <v>3748</v>
      </c>
      <c r="D1693" s="20" t="s">
        <v>410</v>
      </c>
      <c r="E1693" s="21" t="s">
        <v>3749</v>
      </c>
      <c r="F1693" s="21" t="n">
        <v>36255</v>
      </c>
      <c r="G1693" s="22" t="s">
        <v>471</v>
      </c>
      <c r="H1693" s="23" t="n">
        <f aca="false">COUNTIF(CAL!U:AF,B1693)</f>
        <v>1</v>
      </c>
      <c r="I1693" s="22" t="n">
        <v>7</v>
      </c>
      <c r="J1693" s="20"/>
    </row>
    <row r="1694" customFormat="false" ht="15.75" hidden="false" customHeight="true" outlineLevel="0" collapsed="false">
      <c r="B1694" s="19" t="n">
        <v>2629</v>
      </c>
      <c r="C1694" s="20" t="s">
        <v>1749</v>
      </c>
      <c r="D1694" s="20" t="s">
        <v>171</v>
      </c>
      <c r="E1694" s="24" t="s">
        <v>3750</v>
      </c>
      <c r="F1694" s="21" t="n">
        <v>37063</v>
      </c>
      <c r="G1694" s="22" t="s">
        <v>471</v>
      </c>
      <c r="H1694" s="23" t="n">
        <f aca="false">COUNTIF(CAL!U:AF,B1694)</f>
        <v>1</v>
      </c>
      <c r="I1694" s="22" t="n">
        <v>7</v>
      </c>
      <c r="J1694" s="20"/>
    </row>
    <row r="1695" customFormat="false" ht="15.75" hidden="false" customHeight="true" outlineLevel="0" collapsed="false">
      <c r="B1695" s="19" t="n">
        <v>1102</v>
      </c>
      <c r="C1695" s="20" t="s">
        <v>3751</v>
      </c>
      <c r="D1695" s="20" t="s">
        <v>140</v>
      </c>
      <c r="E1695" s="21" t="s">
        <v>3752</v>
      </c>
      <c r="F1695" s="21" t="n">
        <v>37998</v>
      </c>
      <c r="G1695" s="22" t="s">
        <v>471</v>
      </c>
      <c r="H1695" s="23" t="n">
        <f aca="false">COUNTIF(CAL!U:AF,B1695)</f>
        <v>1</v>
      </c>
      <c r="I1695" s="22" t="n">
        <v>7</v>
      </c>
      <c r="J1695" s="20"/>
    </row>
    <row r="1696" customFormat="false" ht="15.75" hidden="false" customHeight="true" outlineLevel="0" collapsed="false">
      <c r="B1696" s="19" t="n">
        <v>3345</v>
      </c>
      <c r="C1696" s="20" t="s">
        <v>3751</v>
      </c>
      <c r="D1696" s="20" t="s">
        <v>251</v>
      </c>
      <c r="E1696" s="21" t="s">
        <v>3753</v>
      </c>
      <c r="F1696" s="21" t="n">
        <v>38134</v>
      </c>
      <c r="G1696" s="22" t="s">
        <v>471</v>
      </c>
      <c r="H1696" s="23" t="n">
        <f aca="false">COUNTIF(CAL!U:AF,B1696)</f>
        <v>1</v>
      </c>
      <c r="I1696" s="22" t="n">
        <v>7</v>
      </c>
      <c r="J1696" s="20"/>
    </row>
    <row r="1697" customFormat="false" ht="15.75" hidden="false" customHeight="true" outlineLevel="0" collapsed="false">
      <c r="B1697" s="19" t="n">
        <v>1890</v>
      </c>
      <c r="C1697" s="20" t="s">
        <v>3754</v>
      </c>
      <c r="D1697" s="20" t="s">
        <v>267</v>
      </c>
      <c r="E1697" s="21" t="s">
        <v>3755</v>
      </c>
      <c r="F1697" s="21" t="n">
        <v>34559</v>
      </c>
      <c r="G1697" s="22" t="s">
        <v>481</v>
      </c>
      <c r="H1697" s="23" t="n">
        <f aca="false">COUNTIF(CAL!U:AF,B1697)</f>
        <v>1</v>
      </c>
      <c r="I1697" s="22" t="n">
        <v>7</v>
      </c>
      <c r="J1697" s="20"/>
    </row>
    <row r="1698" customFormat="false" ht="15.75" hidden="false" customHeight="true" outlineLevel="0" collapsed="false">
      <c r="B1698" s="19" t="n">
        <v>1916</v>
      </c>
      <c r="C1698" s="20" t="s">
        <v>3756</v>
      </c>
      <c r="D1698" s="20" t="s">
        <v>215</v>
      </c>
      <c r="E1698" s="21" t="s">
        <v>3757</v>
      </c>
      <c r="F1698" s="21" t="n">
        <v>38776</v>
      </c>
      <c r="G1698" s="22" t="s">
        <v>471</v>
      </c>
      <c r="H1698" s="23" t="n">
        <f aca="false">COUNTIF(CAL!U:AF,B1698)</f>
        <v>1</v>
      </c>
      <c r="I1698" s="22" t="n">
        <v>7</v>
      </c>
      <c r="J1698" s="20"/>
    </row>
    <row r="1699" customFormat="false" ht="15.75" hidden="false" customHeight="true" outlineLevel="0" collapsed="false">
      <c r="B1699" s="19" t="n">
        <v>1264</v>
      </c>
      <c r="C1699" s="20" t="s">
        <v>3758</v>
      </c>
      <c r="D1699" s="20" t="s">
        <v>116</v>
      </c>
      <c r="E1699" s="24" t="s">
        <v>3759</v>
      </c>
      <c r="F1699" s="21" t="n">
        <v>38747</v>
      </c>
      <c r="G1699" s="22" t="s">
        <v>471</v>
      </c>
      <c r="H1699" s="23" t="n">
        <f aca="false">COUNTIF(CAL!U:AF,B1699)</f>
        <v>1</v>
      </c>
      <c r="I1699" s="22" t="n">
        <v>7</v>
      </c>
      <c r="J1699" s="20"/>
    </row>
    <row r="1700" customFormat="false" ht="15.75" hidden="false" customHeight="true" outlineLevel="0" collapsed="false">
      <c r="B1700" s="19" t="n">
        <v>1323</v>
      </c>
      <c r="C1700" s="20" t="s">
        <v>2058</v>
      </c>
      <c r="D1700" s="20" t="s">
        <v>196</v>
      </c>
      <c r="E1700" s="21" t="s">
        <v>3760</v>
      </c>
      <c r="F1700" s="21" t="n">
        <v>32402</v>
      </c>
      <c r="G1700" s="22" t="s">
        <v>471</v>
      </c>
      <c r="H1700" s="23" t="n">
        <f aca="false">COUNTIF(CAL!U:AF,B1700)</f>
        <v>1</v>
      </c>
      <c r="I1700" s="22" t="n">
        <v>7</v>
      </c>
      <c r="J1700" s="20"/>
    </row>
    <row r="1701" customFormat="false" ht="15.75" hidden="false" customHeight="true" outlineLevel="0" collapsed="false">
      <c r="B1701" s="19" t="n">
        <v>2412</v>
      </c>
      <c r="C1701" s="20" t="s">
        <v>3761</v>
      </c>
      <c r="D1701" s="20" t="s">
        <v>171</v>
      </c>
      <c r="E1701" s="21" t="s">
        <v>3762</v>
      </c>
      <c r="F1701" s="21" t="n">
        <v>37602</v>
      </c>
      <c r="G1701" s="22" t="s">
        <v>471</v>
      </c>
      <c r="H1701" s="23" t="n">
        <f aca="false">COUNTIF(CAL!U:AF,B1701)</f>
        <v>1</v>
      </c>
      <c r="I1701" s="22" t="n">
        <v>7</v>
      </c>
      <c r="J1701" s="20"/>
    </row>
    <row r="1702" customFormat="false" ht="15.75" hidden="false" customHeight="true" outlineLevel="0" collapsed="false">
      <c r="B1702" s="19" t="n">
        <v>1066</v>
      </c>
      <c r="C1702" s="20" t="s">
        <v>3763</v>
      </c>
      <c r="D1702" s="20" t="s">
        <v>116</v>
      </c>
      <c r="E1702" s="21" t="s">
        <v>3764</v>
      </c>
      <c r="F1702" s="21" t="n">
        <v>39672</v>
      </c>
      <c r="G1702" s="22" t="s">
        <v>471</v>
      </c>
      <c r="H1702" s="23" t="n">
        <f aca="false">COUNTIF(CAL!U:AF,B1702)</f>
        <v>1</v>
      </c>
      <c r="I1702" s="22" t="n">
        <v>7</v>
      </c>
      <c r="J1702" s="20"/>
    </row>
    <row r="1703" customFormat="false" ht="15.75" hidden="false" customHeight="true" outlineLevel="0" collapsed="false">
      <c r="B1703" s="19" t="n">
        <v>2369</v>
      </c>
      <c r="C1703" s="20" t="s">
        <v>3765</v>
      </c>
      <c r="D1703" s="20" t="s">
        <v>231</v>
      </c>
      <c r="E1703" s="21" t="s">
        <v>3766</v>
      </c>
      <c r="F1703" s="21" t="n">
        <v>35660</v>
      </c>
      <c r="G1703" s="22" t="s">
        <v>471</v>
      </c>
      <c r="H1703" s="23" t="n">
        <f aca="false">COUNTIF(CAL!U:AF,B1703)</f>
        <v>1</v>
      </c>
      <c r="I1703" s="22" t="n">
        <v>7</v>
      </c>
      <c r="J1703" s="20"/>
    </row>
    <row r="1704" customFormat="false" ht="15.75" hidden="false" customHeight="true" outlineLevel="0" collapsed="false">
      <c r="B1704" s="19" t="n">
        <v>2316</v>
      </c>
      <c r="C1704" s="20" t="s">
        <v>3767</v>
      </c>
      <c r="D1704" s="20" t="s">
        <v>226</v>
      </c>
      <c r="E1704" s="21" t="s">
        <v>3768</v>
      </c>
      <c r="F1704" s="21" t="n">
        <v>33874</v>
      </c>
      <c r="G1704" s="22" t="s">
        <v>471</v>
      </c>
      <c r="H1704" s="23" t="n">
        <f aca="false">COUNTIF(CAL!U:AF,B1704)</f>
        <v>1</v>
      </c>
      <c r="I1704" s="22" t="n">
        <v>7</v>
      </c>
      <c r="J1704" s="20"/>
    </row>
    <row r="1705" customFormat="false" ht="15.75" hidden="false" customHeight="true" outlineLevel="0" collapsed="false">
      <c r="B1705" s="19" t="n">
        <v>3251</v>
      </c>
      <c r="C1705" s="20" t="s">
        <v>3769</v>
      </c>
      <c r="D1705" s="20" t="s">
        <v>259</v>
      </c>
      <c r="E1705" s="21" t="s">
        <v>3770</v>
      </c>
      <c r="F1705" s="21" t="n">
        <v>37373</v>
      </c>
      <c r="G1705" s="22" t="s">
        <v>471</v>
      </c>
      <c r="H1705" s="23" t="n">
        <f aca="false">COUNTIF(CAL!U:AF,B1705)</f>
        <v>1</v>
      </c>
      <c r="I1705" s="22" t="n">
        <v>7</v>
      </c>
      <c r="J1705" s="20"/>
    </row>
    <row r="1706" customFormat="false" ht="15.75" hidden="false" customHeight="true" outlineLevel="0" collapsed="false">
      <c r="B1706" s="19" t="n">
        <v>2729</v>
      </c>
      <c r="C1706" s="20" t="s">
        <v>3771</v>
      </c>
      <c r="D1706" s="20" t="s">
        <v>337</v>
      </c>
      <c r="E1706" s="21" t="s">
        <v>3772</v>
      </c>
      <c r="F1706" s="21" t="n">
        <v>37373</v>
      </c>
      <c r="G1706" s="22" t="s">
        <v>471</v>
      </c>
      <c r="H1706" s="23" t="n">
        <f aca="false">COUNTIF(CAL!U:AF,B1706)</f>
        <v>1</v>
      </c>
      <c r="I1706" s="22" t="n">
        <v>7</v>
      </c>
      <c r="J1706" s="20"/>
    </row>
    <row r="1707" customFormat="false" ht="15.75" hidden="false" customHeight="true" outlineLevel="0" collapsed="false">
      <c r="B1707" s="19" t="n">
        <v>1981</v>
      </c>
      <c r="C1707" s="20" t="s">
        <v>3773</v>
      </c>
      <c r="D1707" s="20" t="s">
        <v>351</v>
      </c>
      <c r="E1707" s="21" t="s">
        <v>3774</v>
      </c>
      <c r="F1707" s="21" t="n">
        <v>36547</v>
      </c>
      <c r="G1707" s="22" t="s">
        <v>471</v>
      </c>
      <c r="H1707" s="23" t="n">
        <f aca="false">COUNTIF(CAL!U:AF,B1707)</f>
        <v>1</v>
      </c>
      <c r="I1707" s="22" t="n">
        <v>7</v>
      </c>
      <c r="J1707" s="20"/>
    </row>
    <row r="1708" customFormat="false" ht="15.75" hidden="false" customHeight="true" outlineLevel="0" collapsed="false">
      <c r="B1708" s="19" t="n">
        <v>2888</v>
      </c>
      <c r="C1708" s="20" t="s">
        <v>3775</v>
      </c>
      <c r="D1708" s="20" t="s">
        <v>351</v>
      </c>
      <c r="E1708" s="24" t="s">
        <v>3776</v>
      </c>
      <c r="F1708" s="21" t="n">
        <v>35545</v>
      </c>
      <c r="G1708" s="22" t="s">
        <v>471</v>
      </c>
      <c r="H1708" s="23" t="n">
        <f aca="false">COUNTIF(CAL!U:AF,B1708)</f>
        <v>1</v>
      </c>
      <c r="I1708" s="22" t="n">
        <v>7</v>
      </c>
      <c r="J1708" s="20"/>
    </row>
    <row r="1709" customFormat="false" ht="15.75" hidden="false" customHeight="true" outlineLevel="0" collapsed="false">
      <c r="B1709" s="19" t="n">
        <v>3419</v>
      </c>
      <c r="C1709" s="20" t="s">
        <v>3777</v>
      </c>
      <c r="D1709" s="20" t="s">
        <v>284</v>
      </c>
      <c r="E1709" s="21" t="s">
        <v>3778</v>
      </c>
      <c r="F1709" s="21" t="n">
        <v>37862</v>
      </c>
      <c r="G1709" s="22" t="s">
        <v>471</v>
      </c>
      <c r="H1709" s="23" t="n">
        <f aca="false">COUNTIF(CAL!U:AF,B1709)</f>
        <v>1</v>
      </c>
      <c r="I1709" s="22" t="n">
        <v>7</v>
      </c>
      <c r="J1709" s="20"/>
    </row>
    <row r="1710" customFormat="false" ht="15.75" hidden="false" customHeight="true" outlineLevel="0" collapsed="false">
      <c r="B1710" s="19" t="n">
        <v>2284</v>
      </c>
      <c r="C1710" s="20" t="s">
        <v>680</v>
      </c>
      <c r="D1710" s="20" t="s">
        <v>46</v>
      </c>
      <c r="E1710" s="24" t="s">
        <v>3779</v>
      </c>
      <c r="F1710" s="21" t="n">
        <v>34956</v>
      </c>
      <c r="G1710" s="22" t="s">
        <v>471</v>
      </c>
      <c r="H1710" s="23" t="n">
        <f aca="false">COUNTIF(CAL!U:AF,B1710)</f>
        <v>1</v>
      </c>
      <c r="I1710" s="22" t="n">
        <v>7</v>
      </c>
      <c r="J1710" s="20"/>
    </row>
    <row r="1711" customFormat="false" ht="15.75" hidden="false" customHeight="true" outlineLevel="0" collapsed="false">
      <c r="B1711" s="19" t="n">
        <v>2699</v>
      </c>
      <c r="C1711" s="20" t="s">
        <v>3780</v>
      </c>
      <c r="D1711" s="20" t="s">
        <v>287</v>
      </c>
      <c r="E1711" s="21" t="s">
        <v>3781</v>
      </c>
      <c r="F1711" s="21" t="n">
        <v>38626</v>
      </c>
      <c r="G1711" s="22" t="s">
        <v>471</v>
      </c>
      <c r="H1711" s="23" t="n">
        <f aca="false">COUNTIF(CAL!U:AF,B1711)</f>
        <v>1</v>
      </c>
      <c r="I1711" s="22" t="n">
        <v>7</v>
      </c>
      <c r="J1711" s="20"/>
    </row>
    <row r="1712" customFormat="false" ht="15.75" hidden="false" customHeight="true" outlineLevel="0" collapsed="false">
      <c r="B1712" s="19" t="n">
        <v>2384</v>
      </c>
      <c r="C1712" s="20" t="s">
        <v>3782</v>
      </c>
      <c r="D1712" s="20" t="s">
        <v>113</v>
      </c>
      <c r="E1712" s="21" t="s">
        <v>3783</v>
      </c>
      <c r="F1712" s="21" t="n">
        <v>37534</v>
      </c>
      <c r="G1712" s="22" t="s">
        <v>471</v>
      </c>
      <c r="H1712" s="23" t="n">
        <f aca="false">COUNTIF(CAL!U:AF,B1712)</f>
        <v>1</v>
      </c>
      <c r="I1712" s="22" t="n">
        <v>7</v>
      </c>
      <c r="J1712" s="20"/>
    </row>
    <row r="1713" customFormat="false" ht="15.75" hidden="false" customHeight="true" outlineLevel="0" collapsed="false">
      <c r="B1713" s="19" t="n">
        <v>3230</v>
      </c>
      <c r="C1713" s="20" t="s">
        <v>3784</v>
      </c>
      <c r="D1713" s="20" t="s">
        <v>287</v>
      </c>
      <c r="E1713" s="21" t="s">
        <v>3785</v>
      </c>
      <c r="F1713" s="21" t="n">
        <v>37901</v>
      </c>
      <c r="G1713" s="22" t="s">
        <v>471</v>
      </c>
      <c r="H1713" s="23" t="n">
        <f aca="false">COUNTIF(CAL!U:AF,B1713)</f>
        <v>1</v>
      </c>
      <c r="I1713" s="22" t="n">
        <v>7</v>
      </c>
      <c r="J1713" s="20"/>
    </row>
    <row r="1714" customFormat="false" ht="15.75" hidden="false" customHeight="true" outlineLevel="0" collapsed="false">
      <c r="B1714" s="19" t="n">
        <v>1825</v>
      </c>
      <c r="C1714" s="20" t="s">
        <v>2222</v>
      </c>
      <c r="D1714" s="20" t="s">
        <v>325</v>
      </c>
      <c r="E1714" s="21" t="s">
        <v>3786</v>
      </c>
      <c r="F1714" s="21" t="n">
        <v>33610</v>
      </c>
      <c r="G1714" s="22" t="s">
        <v>471</v>
      </c>
      <c r="H1714" s="23" t="n">
        <f aca="false">COUNTIF(CAL!U:AF,B1714)</f>
        <v>1</v>
      </c>
      <c r="I1714" s="22" t="n">
        <v>7</v>
      </c>
      <c r="J1714" s="20"/>
    </row>
    <row r="1715" customFormat="false" ht="15.75" hidden="false" customHeight="true" outlineLevel="0" collapsed="false">
      <c r="B1715" s="19" t="n">
        <v>2106</v>
      </c>
      <c r="C1715" s="20" t="s">
        <v>3537</v>
      </c>
      <c r="D1715" s="20" t="s">
        <v>107</v>
      </c>
      <c r="E1715" s="21" t="s">
        <v>3787</v>
      </c>
      <c r="F1715" s="21" t="n">
        <v>38206</v>
      </c>
      <c r="G1715" s="22" t="s">
        <v>471</v>
      </c>
      <c r="H1715" s="23" t="n">
        <f aca="false">COUNTIF(CAL!U:AF,B1715)</f>
        <v>1</v>
      </c>
      <c r="I1715" s="22" t="n">
        <v>7</v>
      </c>
      <c r="J1715" s="20" t="s">
        <v>3788</v>
      </c>
    </row>
    <row r="1716" customFormat="false" ht="15.75" hidden="false" customHeight="true" outlineLevel="0" collapsed="false">
      <c r="B1716" s="19" t="n">
        <v>1638</v>
      </c>
      <c r="C1716" s="20" t="s">
        <v>3789</v>
      </c>
      <c r="D1716" s="20" t="s">
        <v>200</v>
      </c>
      <c r="E1716" s="21" t="s">
        <v>3790</v>
      </c>
      <c r="F1716" s="21" t="n">
        <v>37039</v>
      </c>
      <c r="G1716" s="22" t="s">
        <v>471</v>
      </c>
      <c r="H1716" s="23" t="n">
        <f aca="false">COUNTIF(CAL!U:AF,B1716)</f>
        <v>1</v>
      </c>
      <c r="I1716" s="22" t="n">
        <v>7</v>
      </c>
      <c r="J1716" s="20"/>
    </row>
    <row r="1717" customFormat="false" ht="15.75" hidden="false" customHeight="true" outlineLevel="0" collapsed="false">
      <c r="B1717" s="19" t="n">
        <v>2012</v>
      </c>
      <c r="C1717" s="20" t="s">
        <v>1578</v>
      </c>
      <c r="D1717" s="20" t="s">
        <v>86</v>
      </c>
      <c r="E1717" s="21" t="s">
        <v>3791</v>
      </c>
      <c r="F1717" s="21" t="n">
        <v>37404</v>
      </c>
      <c r="G1717" s="22" t="s">
        <v>471</v>
      </c>
      <c r="H1717" s="23" t="n">
        <f aca="false">COUNTIF(CAL!U:AF,B1717)</f>
        <v>1</v>
      </c>
      <c r="I1717" s="22" t="n">
        <v>7</v>
      </c>
      <c r="J1717" s="20"/>
    </row>
    <row r="1718" customFormat="false" ht="15.75" hidden="false" customHeight="true" outlineLevel="0" collapsed="false">
      <c r="B1718" s="19" t="n">
        <v>3147</v>
      </c>
      <c r="C1718" s="20" t="s">
        <v>3792</v>
      </c>
      <c r="D1718" s="20" t="s">
        <v>293</v>
      </c>
      <c r="E1718" s="21" t="s">
        <v>3793</v>
      </c>
      <c r="F1718" s="21" t="n">
        <v>34038</v>
      </c>
      <c r="G1718" s="22" t="s">
        <v>471</v>
      </c>
      <c r="H1718" s="23" t="n">
        <f aca="false">COUNTIF(CAL!U:AF,B1718)</f>
        <v>1</v>
      </c>
      <c r="I1718" s="22" t="n">
        <v>7</v>
      </c>
      <c r="J1718" s="20"/>
    </row>
    <row r="1719" customFormat="false" ht="15.75" hidden="false" customHeight="true" outlineLevel="0" collapsed="false">
      <c r="B1719" s="19" t="n">
        <v>2589</v>
      </c>
      <c r="C1719" s="20" t="s">
        <v>3794</v>
      </c>
      <c r="D1719" s="20" t="s">
        <v>391</v>
      </c>
      <c r="E1719" s="24" t="s">
        <v>3795</v>
      </c>
      <c r="F1719" s="21" t="n">
        <v>35959</v>
      </c>
      <c r="G1719" s="22" t="s">
        <v>471</v>
      </c>
      <c r="H1719" s="23" t="n">
        <f aca="false">COUNTIF(CAL!U:AF,B1719)</f>
        <v>1</v>
      </c>
      <c r="I1719" s="22" t="n">
        <v>7</v>
      </c>
      <c r="J1719" s="20"/>
    </row>
    <row r="1720" customFormat="false" ht="15.75" hidden="false" customHeight="true" outlineLevel="0" collapsed="false">
      <c r="B1720" s="19" t="n">
        <v>3008</v>
      </c>
      <c r="C1720" s="20" t="s">
        <v>917</v>
      </c>
      <c r="D1720" s="20" t="s">
        <v>389</v>
      </c>
      <c r="E1720" s="24" t="s">
        <v>3796</v>
      </c>
      <c r="F1720" s="21" t="n">
        <v>34928</v>
      </c>
      <c r="G1720" s="22" t="s">
        <v>471</v>
      </c>
      <c r="H1720" s="23" t="n">
        <f aca="false">COUNTIF(CAL!U:AF,B1720)</f>
        <v>1</v>
      </c>
      <c r="I1720" s="22" t="n">
        <v>7</v>
      </c>
      <c r="J1720" s="20"/>
    </row>
    <row r="1721" customFormat="false" ht="15.75" hidden="false" customHeight="true" outlineLevel="0" collapsed="false">
      <c r="B1721" s="19" t="n">
        <v>3062</v>
      </c>
      <c r="C1721" s="20" t="s">
        <v>3797</v>
      </c>
      <c r="D1721" s="20" t="s">
        <v>168</v>
      </c>
      <c r="E1721" s="21" t="s">
        <v>3798</v>
      </c>
      <c r="F1721" s="21" t="n">
        <v>36846</v>
      </c>
      <c r="G1721" s="22" t="s">
        <v>471</v>
      </c>
      <c r="H1721" s="23" t="n">
        <f aca="false">COUNTIF(CAL!U:AF,B1721)</f>
        <v>1</v>
      </c>
      <c r="I1721" s="22" t="n">
        <v>7</v>
      </c>
      <c r="J1721" s="20"/>
    </row>
    <row r="1722" customFormat="false" ht="15.75" hidden="false" customHeight="true" outlineLevel="0" collapsed="false">
      <c r="B1722" s="19" t="n">
        <v>2783</v>
      </c>
      <c r="C1722" s="20" t="s">
        <v>3799</v>
      </c>
      <c r="D1722" s="20" t="s">
        <v>314</v>
      </c>
      <c r="E1722" s="21" t="s">
        <v>3800</v>
      </c>
      <c r="F1722" s="21" t="n">
        <v>39020</v>
      </c>
      <c r="G1722" s="22" t="s">
        <v>471</v>
      </c>
      <c r="H1722" s="23" t="n">
        <f aca="false">COUNTIF(CAL!U:AF,B1722)</f>
        <v>1</v>
      </c>
      <c r="I1722" s="22" t="n">
        <v>7</v>
      </c>
      <c r="J1722" s="20"/>
    </row>
    <row r="1723" customFormat="false" ht="15.75" hidden="false" customHeight="true" outlineLevel="0" collapsed="false">
      <c r="B1723" s="19" t="n">
        <v>2529</v>
      </c>
      <c r="C1723" s="20" t="s">
        <v>1289</v>
      </c>
      <c r="D1723" s="20" t="s">
        <v>146</v>
      </c>
      <c r="E1723" s="21" t="s">
        <v>3801</v>
      </c>
      <c r="F1723" s="21" t="n">
        <v>35459</v>
      </c>
      <c r="G1723" s="22" t="s">
        <v>471</v>
      </c>
      <c r="H1723" s="23" t="n">
        <f aca="false">COUNTIF(CAL!U:AF,B1723)</f>
        <v>1</v>
      </c>
      <c r="I1723" s="22" t="n">
        <v>7</v>
      </c>
      <c r="J1723" s="20"/>
    </row>
    <row r="1724" customFormat="false" ht="15.75" hidden="false" customHeight="true" outlineLevel="0" collapsed="false">
      <c r="B1724" s="19" t="n">
        <v>1990</v>
      </c>
      <c r="C1724" s="20" t="s">
        <v>1289</v>
      </c>
      <c r="D1724" s="20" t="s">
        <v>122</v>
      </c>
      <c r="E1724" s="21" t="s">
        <v>3802</v>
      </c>
      <c r="F1724" s="21" t="n">
        <v>39065</v>
      </c>
      <c r="G1724" s="22" t="s">
        <v>471</v>
      </c>
      <c r="H1724" s="23" t="n">
        <f aca="false">COUNTIF(CAL!U:AF,B1724)</f>
        <v>1</v>
      </c>
      <c r="I1724" s="22" t="n">
        <v>7</v>
      </c>
      <c r="J1724" s="20"/>
    </row>
    <row r="1725" customFormat="false" ht="15.75" hidden="false" customHeight="true" outlineLevel="0" collapsed="false">
      <c r="B1725" s="19" t="n">
        <v>3061</v>
      </c>
      <c r="C1725" s="20" t="s">
        <v>3803</v>
      </c>
      <c r="D1725" s="20" t="s">
        <v>308</v>
      </c>
      <c r="E1725" s="21" t="s">
        <v>3804</v>
      </c>
      <c r="F1725" s="21" t="n">
        <v>37749</v>
      </c>
      <c r="G1725" s="22" t="s">
        <v>471</v>
      </c>
      <c r="H1725" s="23" t="n">
        <f aca="false">COUNTIF(CAL!U:AF,B1725)</f>
        <v>1</v>
      </c>
      <c r="I1725" s="22" t="n">
        <v>7</v>
      </c>
      <c r="J1725" s="20"/>
    </row>
    <row r="1726" customFormat="false" ht="15.75" hidden="false" customHeight="true" outlineLevel="0" collapsed="false">
      <c r="B1726" s="19" t="n">
        <v>2624</v>
      </c>
      <c r="C1726" s="20" t="s">
        <v>3805</v>
      </c>
      <c r="D1726" s="20" t="s">
        <v>265</v>
      </c>
      <c r="E1726" s="21" t="s">
        <v>3806</v>
      </c>
      <c r="F1726" s="21" t="n">
        <v>36182</v>
      </c>
      <c r="G1726" s="22" t="s">
        <v>471</v>
      </c>
      <c r="H1726" s="23" t="n">
        <f aca="false">COUNTIF(CAL!U:AF,B1726)</f>
        <v>1</v>
      </c>
      <c r="I1726" s="22" t="n">
        <v>7</v>
      </c>
      <c r="J1726" s="20"/>
    </row>
    <row r="1727" customFormat="false" ht="15.75" hidden="false" customHeight="true" outlineLevel="0" collapsed="false">
      <c r="B1727" s="19" t="n">
        <v>1968</v>
      </c>
      <c r="C1727" s="20" t="s">
        <v>3807</v>
      </c>
      <c r="D1727" s="20" t="s">
        <v>32</v>
      </c>
      <c r="E1727" s="21" t="s">
        <v>3808</v>
      </c>
      <c r="F1727" s="21" t="n">
        <v>34089</v>
      </c>
      <c r="G1727" s="22" t="s">
        <v>471</v>
      </c>
      <c r="H1727" s="23" t="n">
        <f aca="false">COUNTIF(CAL!U:AF,B1727)</f>
        <v>1</v>
      </c>
      <c r="I1727" s="22" t="n">
        <v>7</v>
      </c>
      <c r="J1727" s="20"/>
    </row>
    <row r="1728" customFormat="false" ht="15.75" hidden="false" customHeight="true" outlineLevel="0" collapsed="false">
      <c r="B1728" s="19" t="n">
        <v>1491</v>
      </c>
      <c r="C1728" s="20" t="s">
        <v>3556</v>
      </c>
      <c r="D1728" s="20" t="s">
        <v>287</v>
      </c>
      <c r="E1728" s="21" t="s">
        <v>3809</v>
      </c>
      <c r="F1728" s="21" t="n">
        <v>37483</v>
      </c>
      <c r="G1728" s="22" t="s">
        <v>471</v>
      </c>
      <c r="H1728" s="23" t="n">
        <f aca="false">COUNTIF(CAL!U:AF,B1728)</f>
        <v>1</v>
      </c>
      <c r="I1728" s="22" t="n">
        <v>7</v>
      </c>
      <c r="J1728" s="20"/>
    </row>
    <row r="1729" customFormat="false" ht="15.75" hidden="false" customHeight="true" outlineLevel="0" collapsed="false">
      <c r="B1729" s="19" t="n">
        <v>1117</v>
      </c>
      <c r="C1729" s="20" t="s">
        <v>2091</v>
      </c>
      <c r="D1729" s="20" t="s">
        <v>135</v>
      </c>
      <c r="E1729" s="21" t="s">
        <v>3810</v>
      </c>
      <c r="F1729" s="21" t="n">
        <v>34737</v>
      </c>
      <c r="G1729" s="22" t="s">
        <v>471</v>
      </c>
      <c r="H1729" s="23" t="n">
        <f aca="false">COUNTIF(CAL!U:AF,B1729)</f>
        <v>1</v>
      </c>
      <c r="I1729" s="22" t="n">
        <v>7</v>
      </c>
      <c r="J1729" s="20"/>
    </row>
    <row r="1730" customFormat="false" ht="15.75" hidden="false" customHeight="true" outlineLevel="0" collapsed="false">
      <c r="B1730" s="19" t="n">
        <v>2127</v>
      </c>
      <c r="C1730" s="20" t="s">
        <v>3811</v>
      </c>
      <c r="D1730" s="20" t="s">
        <v>273</v>
      </c>
      <c r="E1730" s="21" t="s">
        <v>3812</v>
      </c>
      <c r="F1730" s="21" t="n">
        <v>38904</v>
      </c>
      <c r="G1730" s="22" t="s">
        <v>471</v>
      </c>
      <c r="H1730" s="23" t="n">
        <f aca="false">COUNTIF(CAL!U:AF,B1730)</f>
        <v>1</v>
      </c>
      <c r="I1730" s="22" t="n">
        <v>7</v>
      </c>
      <c r="J1730" s="20"/>
    </row>
    <row r="1731" customFormat="false" ht="15.75" hidden="false" customHeight="true" outlineLevel="0" collapsed="false">
      <c r="B1731" s="19" t="n">
        <v>2515</v>
      </c>
      <c r="C1731" s="20" t="s">
        <v>3813</v>
      </c>
      <c r="D1731" s="20" t="s">
        <v>75</v>
      </c>
      <c r="E1731" s="21" t="s">
        <v>3814</v>
      </c>
      <c r="F1731" s="21" t="n">
        <v>37157</v>
      </c>
      <c r="G1731" s="22" t="s">
        <v>471</v>
      </c>
      <c r="H1731" s="23" t="n">
        <f aca="false">COUNTIF(CAL!U:AF,B1731)</f>
        <v>1</v>
      </c>
      <c r="I1731" s="22" t="n">
        <v>7</v>
      </c>
      <c r="J1731" s="20"/>
    </row>
    <row r="1732" customFormat="false" ht="15.75" hidden="false" customHeight="true" outlineLevel="0" collapsed="false">
      <c r="B1732" s="19" t="n">
        <v>2458</v>
      </c>
      <c r="C1732" s="20" t="s">
        <v>3815</v>
      </c>
      <c r="D1732" s="20" t="s">
        <v>311</v>
      </c>
      <c r="E1732" s="21" t="s">
        <v>3816</v>
      </c>
      <c r="F1732" s="21" t="n">
        <v>38913</v>
      </c>
      <c r="G1732" s="22" t="s">
        <v>471</v>
      </c>
      <c r="H1732" s="23" t="n">
        <f aca="false">COUNTIF(CAL!U:AF,B1732)</f>
        <v>1</v>
      </c>
      <c r="I1732" s="22" t="n">
        <v>7</v>
      </c>
      <c r="J1732" s="20"/>
    </row>
    <row r="1733" customFormat="false" ht="15.75" hidden="false" customHeight="true" outlineLevel="0" collapsed="false">
      <c r="B1733" s="19" t="n">
        <v>1522</v>
      </c>
      <c r="C1733" s="20" t="s">
        <v>1859</v>
      </c>
      <c r="D1733" s="20" t="s">
        <v>199</v>
      </c>
      <c r="E1733" s="24" t="s">
        <v>3817</v>
      </c>
      <c r="F1733" s="21" t="n">
        <v>34832</v>
      </c>
      <c r="G1733" s="22" t="s">
        <v>471</v>
      </c>
      <c r="H1733" s="23" t="n">
        <f aca="false">COUNTIF(CAL!U:AF,B1733)</f>
        <v>1</v>
      </c>
      <c r="I1733" s="22" t="n">
        <v>7</v>
      </c>
      <c r="J1733" s="20"/>
    </row>
    <row r="1734" customFormat="false" ht="15.75" hidden="false" customHeight="true" outlineLevel="0" collapsed="false">
      <c r="B1734" s="19" t="n">
        <v>2693</v>
      </c>
      <c r="C1734" s="20" t="s">
        <v>3818</v>
      </c>
      <c r="D1734" s="20" t="s">
        <v>227</v>
      </c>
      <c r="E1734" s="21" t="s">
        <v>3819</v>
      </c>
      <c r="F1734" s="21" t="n">
        <v>36936</v>
      </c>
      <c r="G1734" s="22" t="s">
        <v>471</v>
      </c>
      <c r="H1734" s="23" t="n">
        <f aca="false">COUNTIF(CAL!U:AF,B1734)</f>
        <v>1</v>
      </c>
      <c r="I1734" s="22" t="n">
        <v>7</v>
      </c>
      <c r="J1734" s="20"/>
    </row>
    <row r="1735" customFormat="false" ht="15.75" hidden="false" customHeight="true" outlineLevel="0" collapsed="false">
      <c r="B1735" s="19" t="n">
        <v>1325</v>
      </c>
      <c r="C1735" s="20" t="s">
        <v>3820</v>
      </c>
      <c r="D1735" s="20" t="s">
        <v>263</v>
      </c>
      <c r="E1735" s="21" t="s">
        <v>3821</v>
      </c>
      <c r="F1735" s="21" t="n">
        <v>35467</v>
      </c>
      <c r="G1735" s="22" t="s">
        <v>471</v>
      </c>
      <c r="H1735" s="23" t="n">
        <f aca="false">COUNTIF(CAL!U:AF,B1735)</f>
        <v>1</v>
      </c>
      <c r="I1735" s="22" t="n">
        <v>7</v>
      </c>
      <c r="J1735" s="20" t="s">
        <v>3822</v>
      </c>
    </row>
    <row r="1736" customFormat="false" ht="15.75" hidden="false" customHeight="true" outlineLevel="0" collapsed="false">
      <c r="B1736" s="19" t="n">
        <v>1801</v>
      </c>
      <c r="C1736" s="20" t="s">
        <v>3823</v>
      </c>
      <c r="D1736" s="20" t="s">
        <v>303</v>
      </c>
      <c r="E1736" s="21" t="s">
        <v>3824</v>
      </c>
      <c r="F1736" s="21" t="n">
        <v>36411</v>
      </c>
      <c r="G1736" s="22" t="s">
        <v>471</v>
      </c>
      <c r="H1736" s="23" t="n">
        <f aca="false">COUNTIF(CAL!U:AF,B1736)</f>
        <v>1</v>
      </c>
      <c r="I1736" s="22" t="n">
        <v>7</v>
      </c>
      <c r="J1736" s="20"/>
    </row>
    <row r="1737" customFormat="false" ht="15.75" hidden="false" customHeight="true" outlineLevel="0" collapsed="false">
      <c r="B1737" s="19" t="n">
        <v>1238</v>
      </c>
      <c r="C1737" s="20" t="s">
        <v>3825</v>
      </c>
      <c r="D1737" s="20" t="s">
        <v>161</v>
      </c>
      <c r="E1737" s="21" t="s">
        <v>3826</v>
      </c>
      <c r="F1737" s="21" t="n">
        <v>36367</v>
      </c>
      <c r="G1737" s="22" t="s">
        <v>471</v>
      </c>
      <c r="H1737" s="23" t="n">
        <f aca="false">COUNTIF(CAL!U:AF,B1737)</f>
        <v>1</v>
      </c>
      <c r="I1737" s="22" t="n">
        <v>7</v>
      </c>
      <c r="J1737" s="20"/>
    </row>
    <row r="1738" customFormat="false" ht="15.75" hidden="false" customHeight="true" outlineLevel="0" collapsed="false">
      <c r="B1738" s="19" t="n">
        <v>2283</v>
      </c>
      <c r="C1738" s="20" t="s">
        <v>3827</v>
      </c>
      <c r="D1738" s="20" t="s">
        <v>46</v>
      </c>
      <c r="E1738" s="24" t="s">
        <v>3828</v>
      </c>
      <c r="F1738" s="21" t="n">
        <v>37552</v>
      </c>
      <c r="G1738" s="22" t="s">
        <v>471</v>
      </c>
      <c r="H1738" s="23" t="n">
        <f aca="false">COUNTIF(CAL!U:AF,B1738)</f>
        <v>1</v>
      </c>
      <c r="I1738" s="22" t="n">
        <v>7</v>
      </c>
      <c r="J1738" s="20"/>
    </row>
    <row r="1739" customFormat="false" ht="15.75" hidden="false" customHeight="true" outlineLevel="0" collapsed="false">
      <c r="B1739" s="19" t="n">
        <v>2185</v>
      </c>
      <c r="C1739" s="20" t="s">
        <v>925</v>
      </c>
      <c r="D1739" s="20" t="s">
        <v>49</v>
      </c>
      <c r="E1739" s="21" t="s">
        <v>3829</v>
      </c>
      <c r="F1739" s="21" t="n">
        <v>36696</v>
      </c>
      <c r="G1739" s="22" t="s">
        <v>471</v>
      </c>
      <c r="H1739" s="23" t="n">
        <f aca="false">COUNTIF(CAL!U:AF,B1739)</f>
        <v>1</v>
      </c>
      <c r="I1739" s="22" t="n">
        <v>7</v>
      </c>
      <c r="J1739" s="20" t="s">
        <v>2713</v>
      </c>
    </row>
    <row r="1740" customFormat="false" ht="15.75" hidden="false" customHeight="true" outlineLevel="0" collapsed="false">
      <c r="B1740" s="19" t="n">
        <v>2744</v>
      </c>
      <c r="C1740" s="20" t="s">
        <v>2666</v>
      </c>
      <c r="D1740" s="20" t="s">
        <v>232</v>
      </c>
      <c r="E1740" s="21" t="s">
        <v>3830</v>
      </c>
      <c r="F1740" s="21" t="n">
        <v>35475</v>
      </c>
      <c r="G1740" s="22" t="s">
        <v>471</v>
      </c>
      <c r="H1740" s="23" t="n">
        <f aca="false">COUNTIF(CAL!U:AF,B1740)</f>
        <v>1</v>
      </c>
      <c r="I1740" s="22" t="n">
        <v>7</v>
      </c>
      <c r="J1740" s="20"/>
    </row>
    <row r="1741" customFormat="false" ht="15.75" hidden="false" customHeight="true" outlineLevel="0" collapsed="false">
      <c r="B1741" s="19" t="n">
        <v>1922</v>
      </c>
      <c r="C1741" s="20" t="s">
        <v>3831</v>
      </c>
      <c r="D1741" s="20" t="s">
        <v>213</v>
      </c>
      <c r="E1741" s="21" t="s">
        <v>3832</v>
      </c>
      <c r="F1741" s="21" t="n">
        <v>36991</v>
      </c>
      <c r="G1741" s="22" t="s">
        <v>471</v>
      </c>
      <c r="H1741" s="23" t="n">
        <f aca="false">COUNTIF(CAL!U:AF,B1741)</f>
        <v>1</v>
      </c>
      <c r="I1741" s="22" t="n">
        <v>7</v>
      </c>
      <c r="J1741" s="20"/>
    </row>
    <row r="1742" customFormat="false" ht="15.75" hidden="false" customHeight="true" outlineLevel="0" collapsed="false">
      <c r="B1742" s="19" t="n">
        <v>2207</v>
      </c>
      <c r="C1742" s="20" t="s">
        <v>3833</v>
      </c>
      <c r="D1742" s="20" t="s">
        <v>111</v>
      </c>
      <c r="E1742" s="21" t="s">
        <v>3834</v>
      </c>
      <c r="F1742" s="21" t="n">
        <v>37917</v>
      </c>
      <c r="G1742" s="22" t="s">
        <v>471</v>
      </c>
      <c r="H1742" s="23" t="n">
        <f aca="false">COUNTIF(CAL!U:AF,B1742)</f>
        <v>1</v>
      </c>
      <c r="I1742" s="22" t="n">
        <v>7</v>
      </c>
      <c r="J1742" s="20"/>
    </row>
    <row r="1743" customFormat="false" ht="15.75" hidden="false" customHeight="true" outlineLevel="0" collapsed="false">
      <c r="B1743" s="19" t="n">
        <v>1966</v>
      </c>
      <c r="C1743" s="20" t="s">
        <v>3835</v>
      </c>
      <c r="D1743" s="20" t="s">
        <v>207</v>
      </c>
      <c r="E1743" s="21" t="s">
        <v>3836</v>
      </c>
      <c r="F1743" s="21" t="n">
        <v>36831</v>
      </c>
      <c r="G1743" s="22" t="s">
        <v>661</v>
      </c>
      <c r="H1743" s="23" t="n">
        <f aca="false">COUNTIF(CAL!U:AF,B1743)</f>
        <v>1</v>
      </c>
      <c r="I1743" s="22" t="n">
        <v>7</v>
      </c>
      <c r="J1743" s="20"/>
    </row>
    <row r="1744" customFormat="false" ht="15.75" hidden="false" customHeight="true" outlineLevel="0" collapsed="false">
      <c r="B1744" s="19" t="n">
        <v>2136</v>
      </c>
      <c r="C1744" s="20" t="s">
        <v>3837</v>
      </c>
      <c r="D1744" s="20" t="s">
        <v>271</v>
      </c>
      <c r="E1744" s="21" t="s">
        <v>3838</v>
      </c>
      <c r="F1744" s="21" t="n">
        <v>34202</v>
      </c>
      <c r="G1744" s="22" t="s">
        <v>471</v>
      </c>
      <c r="H1744" s="23" t="n">
        <f aca="false">COUNTIF(CAL!U:AF,B1744)</f>
        <v>1</v>
      </c>
      <c r="I1744" s="22" t="n">
        <v>7</v>
      </c>
      <c r="J1744" s="20"/>
    </row>
    <row r="1745" customFormat="false" ht="15.75" hidden="false" customHeight="true" outlineLevel="0" collapsed="false">
      <c r="B1745" s="19" t="n">
        <v>2118</v>
      </c>
      <c r="C1745" s="20" t="s">
        <v>3839</v>
      </c>
      <c r="D1745" s="20" t="s">
        <v>174</v>
      </c>
      <c r="E1745" s="21" t="s">
        <v>3840</v>
      </c>
      <c r="F1745" s="21" t="n">
        <v>33728</v>
      </c>
      <c r="G1745" s="22" t="s">
        <v>471</v>
      </c>
      <c r="H1745" s="23" t="n">
        <f aca="false">COUNTIF(CAL!U:AF,B1745)</f>
        <v>1</v>
      </c>
      <c r="I1745" s="22" t="n">
        <v>7</v>
      </c>
      <c r="J1745" s="20"/>
    </row>
    <row r="1746" customFormat="false" ht="15.75" hidden="false" customHeight="true" outlineLevel="0" collapsed="false">
      <c r="B1746" s="19" t="n">
        <v>2881</v>
      </c>
      <c r="C1746" s="20" t="s">
        <v>3841</v>
      </c>
      <c r="D1746" s="20" t="s">
        <v>290</v>
      </c>
      <c r="E1746" s="21" t="s">
        <v>3842</v>
      </c>
      <c r="F1746" s="21" t="n">
        <v>36377</v>
      </c>
      <c r="G1746" s="22" t="s">
        <v>471</v>
      </c>
      <c r="H1746" s="23" t="n">
        <f aca="false">COUNTIF(CAL!U:AF,B1746)</f>
        <v>1</v>
      </c>
      <c r="I1746" s="22" t="n">
        <v>7</v>
      </c>
      <c r="J1746" s="20"/>
    </row>
    <row r="1747" customFormat="false" ht="15.75" hidden="false" customHeight="true" outlineLevel="0" collapsed="false">
      <c r="B1747" s="19" t="n">
        <v>1769</v>
      </c>
      <c r="C1747" s="20" t="s">
        <v>3843</v>
      </c>
      <c r="D1747" s="20" t="s">
        <v>51</v>
      </c>
      <c r="E1747" s="21" t="s">
        <v>3844</v>
      </c>
      <c r="F1747" s="21" t="n">
        <v>37964</v>
      </c>
      <c r="G1747" s="22" t="s">
        <v>471</v>
      </c>
      <c r="H1747" s="23" t="n">
        <f aca="false">COUNTIF(CAL!U:AF,B1747)</f>
        <v>1</v>
      </c>
      <c r="I1747" s="22" t="n">
        <v>7</v>
      </c>
      <c r="J1747" s="20" t="s">
        <v>3845</v>
      </c>
    </row>
    <row r="1748" customFormat="false" ht="15.75" hidden="false" customHeight="true" outlineLevel="0" collapsed="false">
      <c r="B1748" s="19" t="n">
        <v>3123</v>
      </c>
      <c r="C1748" s="20" t="s">
        <v>3846</v>
      </c>
      <c r="D1748" s="20" t="s">
        <v>279</v>
      </c>
      <c r="E1748" s="21" t="s">
        <v>3847</v>
      </c>
      <c r="F1748" s="21" t="n">
        <v>36414</v>
      </c>
      <c r="G1748" s="22" t="s">
        <v>471</v>
      </c>
      <c r="H1748" s="23" t="n">
        <f aca="false">COUNTIF(CAL!U:AF,B1748)</f>
        <v>1</v>
      </c>
      <c r="I1748" s="22" t="n">
        <v>7</v>
      </c>
      <c r="J1748" s="20"/>
    </row>
    <row r="1749" customFormat="false" ht="15.75" hidden="false" customHeight="true" outlineLevel="0" collapsed="false">
      <c r="B1749" s="19" t="n">
        <v>3476</v>
      </c>
      <c r="C1749" s="20" t="s">
        <v>3848</v>
      </c>
      <c r="D1749" s="20" t="s">
        <v>338</v>
      </c>
      <c r="E1749" s="21" t="s">
        <v>3849</v>
      </c>
      <c r="F1749" s="21" t="n">
        <v>36710</v>
      </c>
      <c r="G1749" s="22" t="s">
        <v>471</v>
      </c>
      <c r="H1749" s="23" t="n">
        <f aca="false">COUNTIF(CAL!U:AF,B1749)</f>
        <v>1</v>
      </c>
      <c r="I1749" s="22" t="n">
        <v>7</v>
      </c>
      <c r="J1749" s="20"/>
    </row>
    <row r="1750" customFormat="false" ht="15.75" hidden="false" customHeight="true" outlineLevel="0" collapsed="false">
      <c r="B1750" s="19" t="n">
        <v>3458</v>
      </c>
      <c r="C1750" s="20" t="s">
        <v>3850</v>
      </c>
      <c r="D1750" s="20" t="s">
        <v>140</v>
      </c>
      <c r="E1750" s="21" t="s">
        <v>3851</v>
      </c>
      <c r="F1750" s="21" t="n">
        <v>33174</v>
      </c>
      <c r="G1750" s="22" t="s">
        <v>471</v>
      </c>
      <c r="H1750" s="23" t="n">
        <f aca="false">COUNTIF(CAL!U:AF,B1750)</f>
        <v>1</v>
      </c>
      <c r="I1750" s="22" t="n">
        <v>7</v>
      </c>
      <c r="J1750" s="20"/>
    </row>
    <row r="1751" customFormat="false" ht="15.75" hidden="false" customHeight="true" outlineLevel="0" collapsed="false">
      <c r="B1751" s="19" t="n">
        <v>2790</v>
      </c>
      <c r="C1751" s="20" t="s">
        <v>3852</v>
      </c>
      <c r="D1751" s="20" t="s">
        <v>257</v>
      </c>
      <c r="E1751" s="21" t="s">
        <v>3853</v>
      </c>
      <c r="F1751" s="21" t="n">
        <v>33786</v>
      </c>
      <c r="G1751" s="22" t="s">
        <v>471</v>
      </c>
      <c r="H1751" s="23" t="n">
        <f aca="false">COUNTIF(CAL!U:AF,B1751)</f>
        <v>1</v>
      </c>
      <c r="I1751" s="22" t="n">
        <v>7</v>
      </c>
      <c r="J1751" s="20"/>
    </row>
    <row r="1752" customFormat="false" ht="15.75" hidden="false" customHeight="true" outlineLevel="0" collapsed="false">
      <c r="B1752" s="19" t="n">
        <v>2030</v>
      </c>
      <c r="C1752" s="20" t="s">
        <v>1076</v>
      </c>
      <c r="D1752" s="20" t="s">
        <v>316</v>
      </c>
      <c r="E1752" s="21" t="s">
        <v>3854</v>
      </c>
      <c r="F1752" s="21" t="n">
        <v>35746</v>
      </c>
      <c r="G1752" s="22" t="s">
        <v>471</v>
      </c>
      <c r="H1752" s="23" t="n">
        <f aca="false">COUNTIF(CAL!U:AF,B1752)</f>
        <v>1</v>
      </c>
      <c r="I1752" s="22" t="n">
        <v>7</v>
      </c>
      <c r="J1752" s="20"/>
    </row>
    <row r="1753" customFormat="false" ht="15.75" hidden="false" customHeight="true" outlineLevel="0" collapsed="false">
      <c r="B1753" s="19" t="n">
        <v>1577</v>
      </c>
      <c r="C1753" s="20" t="s">
        <v>3855</v>
      </c>
      <c r="D1753" s="20" t="s">
        <v>53</v>
      </c>
      <c r="E1753" s="21" t="s">
        <v>3856</v>
      </c>
      <c r="F1753" s="21" t="n">
        <v>35144</v>
      </c>
      <c r="G1753" s="22" t="s">
        <v>471</v>
      </c>
      <c r="H1753" s="23" t="n">
        <f aca="false">COUNTIF(CAL!U:AF,B1753)</f>
        <v>1</v>
      </c>
      <c r="I1753" s="22" t="n">
        <v>7</v>
      </c>
      <c r="J1753" s="20"/>
    </row>
    <row r="1754" customFormat="false" ht="15.75" hidden="false" customHeight="true" outlineLevel="0" collapsed="false">
      <c r="B1754" s="19" t="n">
        <v>2379</v>
      </c>
      <c r="C1754" s="20" t="s">
        <v>584</v>
      </c>
      <c r="D1754" s="20" t="s">
        <v>208</v>
      </c>
      <c r="E1754" s="21" t="s">
        <v>3857</v>
      </c>
      <c r="F1754" s="21" t="n">
        <v>34230</v>
      </c>
      <c r="G1754" s="22" t="s">
        <v>471</v>
      </c>
      <c r="H1754" s="23" t="n">
        <f aca="false">COUNTIF(CAL!U:AF,B1754)</f>
        <v>1</v>
      </c>
      <c r="I1754" s="22" t="n">
        <v>7</v>
      </c>
      <c r="J1754" s="20"/>
    </row>
    <row r="1755" customFormat="false" ht="15.75" hidden="false" customHeight="true" outlineLevel="0" collapsed="false">
      <c r="B1755" s="19" t="n">
        <v>3078</v>
      </c>
      <c r="C1755" s="20" t="s">
        <v>3858</v>
      </c>
      <c r="D1755" s="20" t="s">
        <v>102</v>
      </c>
      <c r="E1755" s="21" t="s">
        <v>3859</v>
      </c>
      <c r="F1755" s="21" t="n">
        <v>39114</v>
      </c>
      <c r="G1755" s="22" t="s">
        <v>471</v>
      </c>
      <c r="H1755" s="23" t="n">
        <f aca="false">COUNTIF(CAL!U:AF,B1755)</f>
        <v>1</v>
      </c>
      <c r="I1755" s="22" t="n">
        <v>7</v>
      </c>
      <c r="J1755" s="20"/>
    </row>
    <row r="1756" customFormat="false" ht="15.75" hidden="false" customHeight="true" outlineLevel="0" collapsed="false">
      <c r="B1756" s="19" t="n">
        <v>2639</v>
      </c>
      <c r="C1756" s="20" t="s">
        <v>3860</v>
      </c>
      <c r="D1756" s="20" t="s">
        <v>139</v>
      </c>
      <c r="E1756" s="21" t="s">
        <v>3861</v>
      </c>
      <c r="F1756" s="21" t="n">
        <v>37478</v>
      </c>
      <c r="G1756" s="22" t="s">
        <v>471</v>
      </c>
      <c r="H1756" s="23" t="n">
        <f aca="false">COUNTIF(CAL!U:AF,B1756)</f>
        <v>1</v>
      </c>
      <c r="I1756" s="22" t="n">
        <v>7</v>
      </c>
      <c r="J1756" s="20"/>
    </row>
    <row r="1757" customFormat="false" ht="15.75" hidden="false" customHeight="true" outlineLevel="0" collapsed="false">
      <c r="B1757" s="19" t="n">
        <v>2531</v>
      </c>
      <c r="C1757" s="20" t="s">
        <v>3860</v>
      </c>
      <c r="D1757" s="20" t="s">
        <v>63</v>
      </c>
      <c r="E1757" s="24" t="s">
        <v>3862</v>
      </c>
      <c r="F1757" s="21" t="n">
        <v>37030</v>
      </c>
      <c r="G1757" s="22" t="s">
        <v>471</v>
      </c>
      <c r="H1757" s="23" t="n">
        <f aca="false">COUNTIF(CAL!U:AF,B1757)</f>
        <v>1</v>
      </c>
      <c r="I1757" s="22" t="n">
        <v>7</v>
      </c>
      <c r="J1757" s="20"/>
    </row>
    <row r="1758" customFormat="false" ht="15.75" hidden="false" customHeight="true" outlineLevel="0" collapsed="false">
      <c r="B1758" s="19" t="n">
        <v>2409</v>
      </c>
      <c r="C1758" s="20" t="s">
        <v>3863</v>
      </c>
      <c r="D1758" s="20" t="s">
        <v>170</v>
      </c>
      <c r="E1758" s="21" t="s">
        <v>3864</v>
      </c>
      <c r="F1758" s="21" t="n">
        <v>33832</v>
      </c>
      <c r="G1758" s="22" t="s">
        <v>471</v>
      </c>
      <c r="H1758" s="23" t="n">
        <f aca="false">COUNTIF(CAL!U:AF,B1758)</f>
        <v>1</v>
      </c>
      <c r="I1758" s="22" t="n">
        <v>7</v>
      </c>
      <c r="J1758" s="20"/>
    </row>
    <row r="1759" customFormat="false" ht="15.75" hidden="false" customHeight="true" outlineLevel="0" collapsed="false">
      <c r="B1759" s="19" t="n">
        <v>3209</v>
      </c>
      <c r="C1759" s="20" t="s">
        <v>2339</v>
      </c>
      <c r="D1759" s="20" t="s">
        <v>370</v>
      </c>
      <c r="E1759" s="24" t="s">
        <v>3865</v>
      </c>
      <c r="F1759" s="21" t="n">
        <v>37148</v>
      </c>
      <c r="G1759" s="22" t="s">
        <v>471</v>
      </c>
      <c r="H1759" s="23" t="n">
        <f aca="false">COUNTIF(CAL!U:AF,B1759)</f>
        <v>1</v>
      </c>
      <c r="I1759" s="22" t="n">
        <v>7</v>
      </c>
      <c r="J1759" s="20"/>
    </row>
    <row r="1760" customFormat="false" ht="15.75" hidden="false" customHeight="true" outlineLevel="0" collapsed="false">
      <c r="B1760" s="19" t="n">
        <v>1645</v>
      </c>
      <c r="C1760" s="20" t="s">
        <v>3866</v>
      </c>
      <c r="D1760" s="20" t="s">
        <v>64</v>
      </c>
      <c r="E1760" s="21" t="s">
        <v>3867</v>
      </c>
      <c r="F1760" s="21" t="n">
        <v>36936</v>
      </c>
      <c r="G1760" s="22" t="s">
        <v>471</v>
      </c>
      <c r="H1760" s="23" t="n">
        <f aca="false">COUNTIF(CAL!U:AF,B1760)</f>
        <v>1</v>
      </c>
      <c r="I1760" s="22" t="n">
        <v>7</v>
      </c>
      <c r="J1760" s="20"/>
    </row>
    <row r="1761" customFormat="false" ht="15.75" hidden="false" customHeight="true" outlineLevel="0" collapsed="false">
      <c r="B1761" s="19" t="n">
        <v>1030</v>
      </c>
      <c r="C1761" s="20" t="s">
        <v>3868</v>
      </c>
      <c r="D1761" s="20" t="s">
        <v>56</v>
      </c>
      <c r="E1761" s="24" t="s">
        <v>3869</v>
      </c>
      <c r="F1761" s="21" t="n">
        <v>33055</v>
      </c>
      <c r="G1761" s="22" t="s">
        <v>471</v>
      </c>
      <c r="H1761" s="23" t="n">
        <f aca="false">COUNTIF(CAL!U:AF,B1761)</f>
        <v>1</v>
      </c>
      <c r="I1761" s="22" t="n">
        <v>7</v>
      </c>
      <c r="J1761" s="20"/>
    </row>
    <row r="1762" customFormat="false" ht="15.75" hidden="false" customHeight="true" outlineLevel="0" collapsed="false">
      <c r="B1762" s="19" t="n">
        <v>2944</v>
      </c>
      <c r="C1762" s="20" t="s">
        <v>3870</v>
      </c>
      <c r="D1762" s="20" t="s">
        <v>341</v>
      </c>
      <c r="E1762" s="21" t="s">
        <v>3871</v>
      </c>
      <c r="F1762" s="21" t="n">
        <v>36644</v>
      </c>
      <c r="G1762" s="22" t="s">
        <v>471</v>
      </c>
      <c r="H1762" s="23" t="n">
        <f aca="false">COUNTIF(CAL!U:AF,B1762)</f>
        <v>1</v>
      </c>
      <c r="I1762" s="22" t="n">
        <v>7</v>
      </c>
      <c r="J1762" s="20"/>
    </row>
    <row r="1763" customFormat="false" ht="15.75" hidden="false" customHeight="true" outlineLevel="0" collapsed="false">
      <c r="B1763" s="19" t="n">
        <v>1016</v>
      </c>
      <c r="C1763" s="20" t="s">
        <v>3872</v>
      </c>
      <c r="D1763" s="20" t="s">
        <v>50</v>
      </c>
      <c r="E1763" s="24" t="s">
        <v>3873</v>
      </c>
      <c r="F1763" s="21" t="n">
        <v>37333</v>
      </c>
      <c r="G1763" s="22" t="s">
        <v>471</v>
      </c>
      <c r="H1763" s="23" t="n">
        <f aca="false">COUNTIF(CAL!U:AF,B1763)</f>
        <v>1</v>
      </c>
      <c r="I1763" s="22" t="n">
        <v>7</v>
      </c>
      <c r="J1763" s="20"/>
    </row>
    <row r="1764" customFormat="false" ht="15.75" hidden="false" customHeight="true" outlineLevel="0" collapsed="false">
      <c r="B1764" s="19" t="n">
        <v>1042</v>
      </c>
      <c r="C1764" s="20" t="s">
        <v>3874</v>
      </c>
      <c r="D1764" s="20" t="s">
        <v>433</v>
      </c>
      <c r="E1764" s="24" t="s">
        <v>3875</v>
      </c>
      <c r="F1764" s="21" t="n">
        <v>36407</v>
      </c>
      <c r="G1764" s="22" t="s">
        <v>471</v>
      </c>
      <c r="H1764" s="23" t="n">
        <f aca="false">COUNTIF(CAL!U:AF,B1764)</f>
        <v>1</v>
      </c>
      <c r="I1764" s="22" t="n">
        <v>7</v>
      </c>
      <c r="J1764" s="20" t="s">
        <v>2313</v>
      </c>
    </row>
    <row r="1765" customFormat="false" ht="15.75" hidden="false" customHeight="true" outlineLevel="0" collapsed="false">
      <c r="B1765" s="19" t="n">
        <v>1554</v>
      </c>
      <c r="C1765" s="20" t="s">
        <v>3876</v>
      </c>
      <c r="D1765" s="20" t="s">
        <v>191</v>
      </c>
      <c r="E1765" s="21" t="s">
        <v>3877</v>
      </c>
      <c r="F1765" s="21" t="n">
        <v>33752</v>
      </c>
      <c r="G1765" s="22" t="s">
        <v>471</v>
      </c>
      <c r="H1765" s="23" t="n">
        <f aca="false">COUNTIF(CAL!U:AF,B1765)</f>
        <v>1</v>
      </c>
      <c r="I1765" s="22" t="n">
        <v>7</v>
      </c>
      <c r="J1765" s="20"/>
    </row>
    <row r="1766" customFormat="false" ht="15.75" hidden="false" customHeight="true" outlineLevel="0" collapsed="false">
      <c r="B1766" s="19" t="n">
        <v>2567</v>
      </c>
      <c r="C1766" s="20" t="s">
        <v>3878</v>
      </c>
      <c r="D1766" s="20" t="s">
        <v>191</v>
      </c>
      <c r="E1766" s="24" t="s">
        <v>3879</v>
      </c>
      <c r="F1766" s="21" t="n">
        <v>33839</v>
      </c>
      <c r="G1766" s="22" t="s">
        <v>471</v>
      </c>
      <c r="H1766" s="23" t="n">
        <f aca="false">COUNTIF(CAL!U:AF,B1766)</f>
        <v>1</v>
      </c>
      <c r="I1766" s="22" t="n">
        <v>7</v>
      </c>
      <c r="J1766" s="20"/>
    </row>
    <row r="1767" customFormat="false" ht="15.75" hidden="false" customHeight="true" outlineLevel="0" collapsed="false">
      <c r="B1767" s="19" t="n">
        <v>2339</v>
      </c>
      <c r="C1767" s="20" t="s">
        <v>3880</v>
      </c>
      <c r="D1767" s="20" t="s">
        <v>310</v>
      </c>
      <c r="E1767" s="21" t="s">
        <v>3881</v>
      </c>
      <c r="F1767" s="21" t="n">
        <v>35126</v>
      </c>
      <c r="G1767" s="22" t="s">
        <v>471</v>
      </c>
      <c r="H1767" s="23" t="n">
        <f aca="false">COUNTIF(CAL!U:AF,B1767)</f>
        <v>1</v>
      </c>
      <c r="I1767" s="22" t="n">
        <v>7</v>
      </c>
      <c r="J1767" s="20"/>
    </row>
    <row r="1768" customFormat="false" ht="15.75" hidden="false" customHeight="true" outlineLevel="0" collapsed="false">
      <c r="B1768" s="19" t="n">
        <v>2922</v>
      </c>
      <c r="C1768" s="20" t="s">
        <v>3882</v>
      </c>
      <c r="D1768" s="20" t="s">
        <v>149</v>
      </c>
      <c r="E1768" s="21" t="s">
        <v>3883</v>
      </c>
      <c r="F1768" s="21" t="n">
        <v>38354</v>
      </c>
      <c r="G1768" s="22" t="s">
        <v>471</v>
      </c>
      <c r="H1768" s="23" t="n">
        <f aca="false">COUNTIF(CAL!U:AF,B1768)</f>
        <v>1</v>
      </c>
      <c r="I1768" s="22" t="n">
        <v>7</v>
      </c>
      <c r="J1768" s="20"/>
    </row>
    <row r="1769" customFormat="false" ht="15.75" hidden="false" customHeight="true" outlineLevel="0" collapsed="false">
      <c r="B1769" s="19" t="n">
        <v>1788</v>
      </c>
      <c r="C1769" s="20" t="s">
        <v>1616</v>
      </c>
      <c r="D1769" s="20" t="s">
        <v>117</v>
      </c>
      <c r="E1769" s="21" t="s">
        <v>3884</v>
      </c>
      <c r="F1769" s="21" t="n">
        <v>38028</v>
      </c>
      <c r="G1769" s="22" t="s">
        <v>471</v>
      </c>
      <c r="H1769" s="23" t="n">
        <f aca="false">COUNTIF(CAL!U:AF,B1769)</f>
        <v>1</v>
      </c>
      <c r="I1769" s="22" t="n">
        <v>7</v>
      </c>
      <c r="J1769" s="20"/>
    </row>
    <row r="1770" customFormat="false" ht="15.75" hidden="false" customHeight="true" outlineLevel="0" collapsed="false">
      <c r="B1770" s="19" t="n">
        <v>2793</v>
      </c>
      <c r="C1770" s="20" t="s">
        <v>3885</v>
      </c>
      <c r="D1770" s="20" t="s">
        <v>146</v>
      </c>
      <c r="E1770" s="21" t="s">
        <v>3886</v>
      </c>
      <c r="F1770" s="21" t="n">
        <v>35949</v>
      </c>
      <c r="G1770" s="22" t="s">
        <v>471</v>
      </c>
      <c r="H1770" s="23" t="n">
        <f aca="false">COUNTIF(CAL!U:AF,B1770)</f>
        <v>1</v>
      </c>
      <c r="I1770" s="22" t="n">
        <v>7</v>
      </c>
      <c r="J1770" s="20"/>
    </row>
    <row r="1771" customFormat="false" ht="15.75" hidden="false" customHeight="true" outlineLevel="0" collapsed="false">
      <c r="B1771" s="19" t="n">
        <v>3047</v>
      </c>
      <c r="C1771" s="20" t="s">
        <v>3887</v>
      </c>
      <c r="D1771" s="20" t="s">
        <v>371</v>
      </c>
      <c r="E1771" s="21" t="s">
        <v>3888</v>
      </c>
      <c r="F1771" s="21" t="n">
        <v>37666</v>
      </c>
      <c r="G1771" s="22" t="s">
        <v>471</v>
      </c>
      <c r="H1771" s="23" t="n">
        <f aca="false">COUNTIF(CAL!U:AF,B1771)</f>
        <v>1</v>
      </c>
      <c r="I1771" s="22" t="n">
        <v>7</v>
      </c>
      <c r="J1771" s="20"/>
    </row>
    <row r="1772" customFormat="false" ht="15.75" hidden="false" customHeight="true" outlineLevel="0" collapsed="false">
      <c r="B1772" s="19" t="n">
        <v>1063</v>
      </c>
      <c r="C1772" s="20" t="s">
        <v>3889</v>
      </c>
      <c r="D1772" s="20" t="s">
        <v>149</v>
      </c>
      <c r="E1772" s="21" t="s">
        <v>3890</v>
      </c>
      <c r="F1772" s="21" t="n">
        <v>36364</v>
      </c>
      <c r="G1772" s="22" t="s">
        <v>471</v>
      </c>
      <c r="H1772" s="23" t="n">
        <f aca="false">COUNTIF(CAL!U:AF,B1772)</f>
        <v>1</v>
      </c>
      <c r="I1772" s="22" t="n">
        <v>7</v>
      </c>
      <c r="J1772" s="20"/>
    </row>
    <row r="1773" customFormat="false" ht="15.75" hidden="false" customHeight="true" outlineLevel="0" collapsed="false">
      <c r="B1773" s="19" t="n">
        <v>2528</v>
      </c>
      <c r="C1773" s="20" t="s">
        <v>3891</v>
      </c>
      <c r="D1773" s="20" t="s">
        <v>148</v>
      </c>
      <c r="E1773" s="21" t="s">
        <v>3892</v>
      </c>
      <c r="F1773" s="21" t="n">
        <v>35169</v>
      </c>
      <c r="G1773" s="22" t="s">
        <v>471</v>
      </c>
      <c r="H1773" s="23" t="n">
        <f aca="false">COUNTIF(CAL!U:AF,B1773)</f>
        <v>1</v>
      </c>
      <c r="I1773" s="22" t="n">
        <v>7</v>
      </c>
      <c r="J1773" s="20"/>
    </row>
    <row r="1774" customFormat="false" ht="15.75" hidden="false" customHeight="true" outlineLevel="0" collapsed="false">
      <c r="B1774" s="19" t="n">
        <v>1108</v>
      </c>
      <c r="C1774" s="20" t="s">
        <v>3893</v>
      </c>
      <c r="D1774" s="20" t="s">
        <v>85</v>
      </c>
      <c r="E1774" s="21" t="s">
        <v>3894</v>
      </c>
      <c r="F1774" s="21" t="n">
        <v>33899</v>
      </c>
      <c r="G1774" s="22" t="s">
        <v>471</v>
      </c>
      <c r="H1774" s="23" t="n">
        <f aca="false">COUNTIF(CAL!U:AF,B1774)</f>
        <v>1</v>
      </c>
      <c r="I1774" s="22" t="n">
        <v>7</v>
      </c>
      <c r="J1774" s="20"/>
    </row>
    <row r="1775" customFormat="false" ht="15.75" hidden="false" customHeight="true" outlineLevel="0" collapsed="false">
      <c r="B1775" s="19" t="n">
        <v>2174</v>
      </c>
      <c r="C1775" s="20" t="s">
        <v>1798</v>
      </c>
      <c r="D1775" s="20" t="s">
        <v>374</v>
      </c>
      <c r="E1775" s="21" t="s">
        <v>3895</v>
      </c>
      <c r="F1775" s="21" t="n">
        <v>37892</v>
      </c>
      <c r="G1775" s="22" t="s">
        <v>471</v>
      </c>
      <c r="H1775" s="23" t="n">
        <f aca="false">COUNTIF(CAL!U:AF,B1775)</f>
        <v>1</v>
      </c>
      <c r="I1775" s="22" t="n">
        <v>7</v>
      </c>
      <c r="J1775" s="20"/>
    </row>
    <row r="1776" customFormat="false" ht="15.75" hidden="false" customHeight="true" outlineLevel="0" collapsed="false">
      <c r="B1776" s="19" t="n">
        <v>2019</v>
      </c>
      <c r="C1776" s="20" t="s">
        <v>3896</v>
      </c>
      <c r="D1776" s="20" t="s">
        <v>295</v>
      </c>
      <c r="E1776" s="21" t="s">
        <v>3897</v>
      </c>
      <c r="F1776" s="21" t="n">
        <v>37169</v>
      </c>
      <c r="G1776" s="22" t="s">
        <v>471</v>
      </c>
      <c r="H1776" s="23" t="n">
        <f aca="false">COUNTIF(CAL!U:AF,B1776)</f>
        <v>1</v>
      </c>
      <c r="I1776" s="22" t="n">
        <v>7</v>
      </c>
      <c r="J1776" s="20"/>
    </row>
    <row r="1777" customFormat="false" ht="15.75" hidden="false" customHeight="true" outlineLevel="0" collapsed="false">
      <c r="B1777" s="19" t="n">
        <v>1984</v>
      </c>
      <c r="C1777" s="20" t="s">
        <v>1800</v>
      </c>
      <c r="D1777" s="20" t="s">
        <v>351</v>
      </c>
      <c r="E1777" s="21" t="s">
        <v>3898</v>
      </c>
      <c r="F1777" s="21" t="n">
        <v>34028</v>
      </c>
      <c r="G1777" s="22" t="s">
        <v>471</v>
      </c>
      <c r="H1777" s="23" t="n">
        <f aca="false">COUNTIF(CAL!U:AF,B1777)</f>
        <v>1</v>
      </c>
      <c r="I1777" s="22" t="n">
        <v>7</v>
      </c>
      <c r="J1777" s="20"/>
    </row>
    <row r="1778" customFormat="false" ht="15.75" hidden="false" customHeight="true" outlineLevel="0" collapsed="false">
      <c r="B1778" s="19" t="n">
        <v>2046</v>
      </c>
      <c r="C1778" s="20" t="s">
        <v>3899</v>
      </c>
      <c r="D1778" s="20" t="s">
        <v>337</v>
      </c>
      <c r="E1778" s="21" t="s">
        <v>3900</v>
      </c>
      <c r="F1778" s="21" t="n">
        <v>36002</v>
      </c>
      <c r="G1778" s="22" t="s">
        <v>471</v>
      </c>
      <c r="H1778" s="23" t="n">
        <f aca="false">COUNTIF(CAL!U:AF,B1778)</f>
        <v>1</v>
      </c>
      <c r="I1778" s="22" t="n">
        <v>7</v>
      </c>
      <c r="J1778" s="20"/>
    </row>
    <row r="1779" customFormat="false" ht="15.75" hidden="false" customHeight="true" outlineLevel="0" collapsed="false">
      <c r="B1779" s="19" t="n">
        <v>2047</v>
      </c>
      <c r="C1779" s="20" t="s">
        <v>3901</v>
      </c>
      <c r="D1779" s="20" t="s">
        <v>313</v>
      </c>
      <c r="E1779" s="21" t="s">
        <v>3902</v>
      </c>
      <c r="F1779" s="21" t="n">
        <v>37334</v>
      </c>
      <c r="G1779" s="22" t="s">
        <v>471</v>
      </c>
      <c r="H1779" s="23" t="n">
        <f aca="false">COUNTIF(CAL!U:AF,B1779)</f>
        <v>1</v>
      </c>
      <c r="I1779" s="22" t="n">
        <v>7</v>
      </c>
      <c r="J1779" s="20"/>
    </row>
    <row r="1780" customFormat="false" ht="15.75" hidden="false" customHeight="true" outlineLevel="0" collapsed="false">
      <c r="B1780" s="19" t="n">
        <v>3223</v>
      </c>
      <c r="C1780" s="20" t="s">
        <v>3903</v>
      </c>
      <c r="D1780" s="20" t="s">
        <v>270</v>
      </c>
      <c r="E1780" s="21" t="s">
        <v>3904</v>
      </c>
      <c r="F1780" s="21" t="n">
        <v>39778</v>
      </c>
      <c r="G1780" s="22" t="s">
        <v>471</v>
      </c>
      <c r="H1780" s="23" t="n">
        <f aca="false">COUNTIF(CAL!U:AF,B1780)</f>
        <v>1</v>
      </c>
      <c r="I1780" s="22" t="n">
        <v>7</v>
      </c>
      <c r="J1780" s="20"/>
    </row>
    <row r="1781" customFormat="false" ht="15.75" hidden="false" customHeight="true" outlineLevel="0" collapsed="false">
      <c r="B1781" s="19" t="n">
        <v>1860</v>
      </c>
      <c r="C1781" s="20" t="s">
        <v>3905</v>
      </c>
      <c r="D1781" s="20" t="s">
        <v>161</v>
      </c>
      <c r="E1781" s="21" t="s">
        <v>3906</v>
      </c>
      <c r="F1781" s="21" t="n">
        <v>34304</v>
      </c>
      <c r="G1781" s="22" t="s">
        <v>471</v>
      </c>
      <c r="H1781" s="23" t="n">
        <f aca="false">COUNTIF(CAL!U:AF,B1781)</f>
        <v>1</v>
      </c>
      <c r="I1781" s="22" t="n">
        <v>8</v>
      </c>
      <c r="J1781" s="20"/>
    </row>
    <row r="1782" customFormat="false" ht="15.75" hidden="false" customHeight="true" outlineLevel="0" collapsed="false">
      <c r="B1782" s="19" t="n">
        <v>2404</v>
      </c>
      <c r="C1782" s="20" t="s">
        <v>3907</v>
      </c>
      <c r="D1782" s="20" t="s">
        <v>108</v>
      </c>
      <c r="E1782" s="21" t="s">
        <v>3908</v>
      </c>
      <c r="F1782" s="21" t="n">
        <v>34069</v>
      </c>
      <c r="G1782" s="22" t="s">
        <v>471</v>
      </c>
      <c r="H1782" s="23" t="n">
        <f aca="false">COUNTIF(CAL!U:AF,B1782)</f>
        <v>1</v>
      </c>
      <c r="I1782" s="22" t="n">
        <v>8</v>
      </c>
      <c r="J1782" s="20"/>
    </row>
    <row r="1783" customFormat="false" ht="15.75" hidden="false" customHeight="true" outlineLevel="0" collapsed="false">
      <c r="B1783" s="19" t="n">
        <v>1477</v>
      </c>
      <c r="C1783" s="20" t="s">
        <v>3909</v>
      </c>
      <c r="D1783" s="20" t="s">
        <v>100</v>
      </c>
      <c r="E1783" s="21" t="s">
        <v>3910</v>
      </c>
      <c r="F1783" s="21" t="n">
        <v>32184</v>
      </c>
      <c r="G1783" s="22" t="s">
        <v>471</v>
      </c>
      <c r="H1783" s="23" t="n">
        <f aca="false">COUNTIF(CAL!U:AF,B1783)</f>
        <v>1</v>
      </c>
      <c r="I1783" s="22" t="n">
        <v>8</v>
      </c>
      <c r="J1783" s="20"/>
    </row>
    <row r="1784" customFormat="false" ht="15.75" hidden="false" customHeight="true" outlineLevel="0" collapsed="false">
      <c r="B1784" s="19" t="n">
        <v>2559</v>
      </c>
      <c r="C1784" s="20" t="s">
        <v>3911</v>
      </c>
      <c r="D1784" s="20" t="s">
        <v>179</v>
      </c>
      <c r="E1784" s="21" t="s">
        <v>3912</v>
      </c>
      <c r="F1784" s="21" t="n">
        <v>32324</v>
      </c>
      <c r="G1784" s="22" t="s">
        <v>471</v>
      </c>
      <c r="H1784" s="23" t="n">
        <f aca="false">COUNTIF(CAL!U:AF,B1784)</f>
        <v>1</v>
      </c>
      <c r="I1784" s="22" t="n">
        <v>8</v>
      </c>
      <c r="J1784" s="20"/>
    </row>
    <row r="1785" customFormat="false" ht="15.75" hidden="false" customHeight="true" outlineLevel="0" collapsed="false">
      <c r="B1785" s="19" t="n">
        <v>3589</v>
      </c>
      <c r="C1785" s="20" t="s">
        <v>3913</v>
      </c>
      <c r="D1785" s="20" t="s">
        <v>435</v>
      </c>
      <c r="E1785" s="21" t="s">
        <v>3914</v>
      </c>
      <c r="F1785" s="21" t="n">
        <v>37388</v>
      </c>
      <c r="G1785" s="22" t="s">
        <v>471</v>
      </c>
      <c r="H1785" s="23" t="n">
        <f aca="false">COUNTIF(CAL!U:AF,B1785)</f>
        <v>1</v>
      </c>
      <c r="I1785" s="22" t="n">
        <v>8</v>
      </c>
      <c r="J1785" s="20"/>
    </row>
    <row r="1786" customFormat="false" ht="15.75" hidden="false" customHeight="true" outlineLevel="0" collapsed="false">
      <c r="B1786" s="19" t="n">
        <v>1307</v>
      </c>
      <c r="C1786" s="20" t="s">
        <v>3915</v>
      </c>
      <c r="D1786" s="20" t="s">
        <v>83</v>
      </c>
      <c r="E1786" s="24" t="s">
        <v>3916</v>
      </c>
      <c r="F1786" s="21" t="n">
        <v>34544</v>
      </c>
      <c r="G1786" s="22" t="s">
        <v>471</v>
      </c>
      <c r="H1786" s="23" t="n">
        <f aca="false">COUNTIF(CAL!U:AF,B1786)</f>
        <v>1</v>
      </c>
      <c r="I1786" s="22" t="n">
        <v>8</v>
      </c>
      <c r="J1786" s="20"/>
    </row>
    <row r="1787" customFormat="false" ht="15.75" hidden="false" customHeight="true" outlineLevel="0" collapsed="false">
      <c r="B1787" s="19" t="n">
        <v>1065</v>
      </c>
      <c r="C1787" s="20" t="s">
        <v>3917</v>
      </c>
      <c r="D1787" s="20" t="s">
        <v>149</v>
      </c>
      <c r="E1787" s="21" t="s">
        <v>3918</v>
      </c>
      <c r="F1787" s="21" t="n">
        <v>35289</v>
      </c>
      <c r="G1787" s="22" t="s">
        <v>471</v>
      </c>
      <c r="H1787" s="23" t="n">
        <f aca="false">COUNTIF(CAL!U:AF,B1787)</f>
        <v>1</v>
      </c>
      <c r="I1787" s="22" t="n">
        <v>8</v>
      </c>
      <c r="J1787" s="20"/>
    </row>
    <row r="1788" customFormat="false" ht="15.75" hidden="false" customHeight="true" outlineLevel="0" collapsed="false">
      <c r="B1788" s="19" t="n">
        <v>1150</v>
      </c>
      <c r="C1788" s="20" t="s">
        <v>3919</v>
      </c>
      <c r="D1788" s="20" t="s">
        <v>65</v>
      </c>
      <c r="E1788" s="21" t="s">
        <v>3920</v>
      </c>
      <c r="F1788" s="21" t="n">
        <v>37893</v>
      </c>
      <c r="G1788" s="22" t="s">
        <v>471</v>
      </c>
      <c r="H1788" s="23" t="n">
        <f aca="false">COUNTIF(CAL!U:AF,B1788)</f>
        <v>1</v>
      </c>
      <c r="I1788" s="22" t="n">
        <v>8</v>
      </c>
      <c r="J1788" s="20"/>
    </row>
    <row r="1789" customFormat="false" ht="15.75" hidden="false" customHeight="true" outlineLevel="0" collapsed="false">
      <c r="B1789" s="19" t="n">
        <v>1727</v>
      </c>
      <c r="C1789" s="20" t="s">
        <v>3921</v>
      </c>
      <c r="D1789" s="20" t="s">
        <v>119</v>
      </c>
      <c r="E1789" s="24" t="s">
        <v>3922</v>
      </c>
      <c r="F1789" s="21" t="n">
        <v>37230</v>
      </c>
      <c r="G1789" s="22" t="s">
        <v>471</v>
      </c>
      <c r="H1789" s="23" t="n">
        <f aca="false">COUNTIF(CAL!U:AF,B1789)</f>
        <v>1</v>
      </c>
      <c r="I1789" s="22" t="n">
        <v>8</v>
      </c>
      <c r="J1789" s="20"/>
    </row>
    <row r="1790" customFormat="false" ht="15.75" hidden="false" customHeight="true" outlineLevel="0" collapsed="false">
      <c r="B1790" s="19" t="n">
        <v>2993</v>
      </c>
      <c r="C1790" s="20" t="s">
        <v>3923</v>
      </c>
      <c r="D1790" s="20" t="s">
        <v>182</v>
      </c>
      <c r="E1790" s="21" t="s">
        <v>3924</v>
      </c>
      <c r="F1790" s="21" t="n">
        <v>34982</v>
      </c>
      <c r="G1790" s="22" t="s">
        <v>481</v>
      </c>
      <c r="H1790" s="23" t="n">
        <f aca="false">COUNTIF(CAL!U:AF,B1790)</f>
        <v>1</v>
      </c>
      <c r="I1790" s="22" t="n">
        <v>8</v>
      </c>
      <c r="J1790" s="20"/>
    </row>
    <row r="1791" customFormat="false" ht="15.75" hidden="false" customHeight="true" outlineLevel="0" collapsed="false">
      <c r="B1791" s="19" t="n">
        <v>3213</v>
      </c>
      <c r="C1791" s="20" t="s">
        <v>3925</v>
      </c>
      <c r="D1791" s="20" t="s">
        <v>367</v>
      </c>
      <c r="E1791" s="21" t="s">
        <v>3926</v>
      </c>
      <c r="F1791" s="21" t="n">
        <v>37279</v>
      </c>
      <c r="G1791" s="22" t="s">
        <v>471</v>
      </c>
      <c r="H1791" s="23" t="n">
        <f aca="false">COUNTIF(CAL!U:AF,B1791)</f>
        <v>1</v>
      </c>
      <c r="I1791" s="22" t="n">
        <v>8</v>
      </c>
      <c r="J1791" s="20"/>
    </row>
    <row r="1792" customFormat="false" ht="15.75" hidden="false" customHeight="true" outlineLevel="0" collapsed="false">
      <c r="B1792" s="19" t="n">
        <v>1975</v>
      </c>
      <c r="C1792" s="20" t="s">
        <v>3927</v>
      </c>
      <c r="D1792" s="20" t="s">
        <v>208</v>
      </c>
      <c r="E1792" s="21" t="s">
        <v>3928</v>
      </c>
      <c r="F1792" s="21" t="n">
        <v>33145</v>
      </c>
      <c r="G1792" s="22" t="s">
        <v>471</v>
      </c>
      <c r="H1792" s="23" t="n">
        <f aca="false">COUNTIF(CAL!U:AF,B1792)</f>
        <v>1</v>
      </c>
      <c r="I1792" s="22" t="n">
        <v>8</v>
      </c>
      <c r="J1792" s="20"/>
    </row>
    <row r="1793" customFormat="false" ht="15.75" hidden="false" customHeight="true" outlineLevel="0" collapsed="false">
      <c r="B1793" s="19" t="n">
        <v>1870</v>
      </c>
      <c r="C1793" s="20" t="s">
        <v>978</v>
      </c>
      <c r="D1793" s="20" t="s">
        <v>226</v>
      </c>
      <c r="E1793" s="24" t="s">
        <v>3929</v>
      </c>
      <c r="F1793" s="21" t="n">
        <v>35907</v>
      </c>
      <c r="G1793" s="22" t="s">
        <v>471</v>
      </c>
      <c r="H1793" s="23" t="n">
        <f aca="false">COUNTIF(CAL!U:AF,B1793)</f>
        <v>1</v>
      </c>
      <c r="I1793" s="22" t="n">
        <v>8</v>
      </c>
      <c r="J1793" s="20" t="s">
        <v>3930</v>
      </c>
    </row>
    <row r="1794" customFormat="false" ht="15.75" hidden="false" customHeight="true" outlineLevel="0" collapsed="false">
      <c r="B1794" s="19" t="n">
        <v>2143</v>
      </c>
      <c r="C1794" s="20" t="s">
        <v>1433</v>
      </c>
      <c r="D1794" s="20" t="s">
        <v>288</v>
      </c>
      <c r="E1794" s="21" t="s">
        <v>3931</v>
      </c>
      <c r="F1794" s="21" t="n">
        <v>39375</v>
      </c>
      <c r="G1794" s="22" t="s">
        <v>471</v>
      </c>
      <c r="H1794" s="23" t="n">
        <f aca="false">COUNTIF(CAL!U:AF,B1794)</f>
        <v>1</v>
      </c>
      <c r="I1794" s="22" t="n">
        <v>8</v>
      </c>
      <c r="J1794" s="20"/>
    </row>
    <row r="1795" customFormat="false" ht="15.75" hidden="false" customHeight="true" outlineLevel="0" collapsed="false">
      <c r="B1795" s="19" t="n">
        <v>1448</v>
      </c>
      <c r="C1795" s="20" t="s">
        <v>3932</v>
      </c>
      <c r="D1795" s="20" t="s">
        <v>132</v>
      </c>
      <c r="E1795" s="21" t="s">
        <v>3933</v>
      </c>
      <c r="F1795" s="21" t="n">
        <v>37965</v>
      </c>
      <c r="G1795" s="22" t="s">
        <v>471</v>
      </c>
      <c r="H1795" s="23" t="n">
        <f aca="false">COUNTIF(CAL!U:AF,B1795)</f>
        <v>1</v>
      </c>
      <c r="I1795" s="22" t="n">
        <v>8</v>
      </c>
      <c r="J1795" s="20"/>
    </row>
    <row r="1796" customFormat="false" ht="15.75" hidden="false" customHeight="true" outlineLevel="0" collapsed="false">
      <c r="B1796" s="19" t="n">
        <v>1752</v>
      </c>
      <c r="C1796" s="20" t="s">
        <v>939</v>
      </c>
      <c r="D1796" s="20" t="s">
        <v>150</v>
      </c>
      <c r="E1796" s="21" t="s">
        <v>3934</v>
      </c>
      <c r="F1796" s="21" t="n">
        <v>36945</v>
      </c>
      <c r="G1796" s="22" t="s">
        <v>471</v>
      </c>
      <c r="H1796" s="23" t="n">
        <f aca="false">COUNTIF(CAL!U:AF,B1796)</f>
        <v>1</v>
      </c>
      <c r="I1796" s="22" t="n">
        <v>8</v>
      </c>
      <c r="J1796" s="20"/>
    </row>
    <row r="1797" customFormat="false" ht="15.75" hidden="false" customHeight="true" outlineLevel="0" collapsed="false">
      <c r="B1797" s="19" t="n">
        <v>2305</v>
      </c>
      <c r="C1797" s="20" t="s">
        <v>3935</v>
      </c>
      <c r="D1797" s="20" t="s">
        <v>341</v>
      </c>
      <c r="E1797" s="24" t="s">
        <v>3936</v>
      </c>
      <c r="F1797" s="21" t="n">
        <v>35865</v>
      </c>
      <c r="G1797" s="22" t="s">
        <v>471</v>
      </c>
      <c r="H1797" s="23" t="n">
        <f aca="false">COUNTIF(CAL!U:AF,B1797)</f>
        <v>1</v>
      </c>
      <c r="I1797" s="22" t="n">
        <v>8</v>
      </c>
      <c r="J1797" s="20"/>
    </row>
    <row r="1798" customFormat="false" ht="15.75" hidden="false" customHeight="true" outlineLevel="0" collapsed="false">
      <c r="B1798" s="19" t="n">
        <v>2510</v>
      </c>
      <c r="C1798" s="20" t="s">
        <v>3937</v>
      </c>
      <c r="D1798" s="20" t="s">
        <v>322</v>
      </c>
      <c r="E1798" s="21" t="s">
        <v>3938</v>
      </c>
      <c r="F1798" s="21" t="n">
        <v>34858</v>
      </c>
      <c r="G1798" s="22" t="s">
        <v>471</v>
      </c>
      <c r="H1798" s="23" t="n">
        <f aca="false">COUNTIF(CAL!U:AF,B1798)</f>
        <v>1</v>
      </c>
      <c r="I1798" s="22" t="n">
        <v>8</v>
      </c>
      <c r="J1798" s="20"/>
    </row>
    <row r="1799" customFormat="false" ht="15.75" hidden="false" customHeight="true" outlineLevel="0" collapsed="false">
      <c r="B1799" s="19" t="n">
        <v>1153</v>
      </c>
      <c r="C1799" s="20" t="s">
        <v>1658</v>
      </c>
      <c r="D1799" s="20" t="s">
        <v>49</v>
      </c>
      <c r="E1799" s="21" t="s">
        <v>3939</v>
      </c>
      <c r="F1799" s="21" t="n">
        <v>37018</v>
      </c>
      <c r="G1799" s="22" t="s">
        <v>471</v>
      </c>
      <c r="H1799" s="23" t="n">
        <f aca="false">COUNTIF(CAL!U:AF,B1799)</f>
        <v>1</v>
      </c>
      <c r="I1799" s="22" t="n">
        <v>8</v>
      </c>
      <c r="J1799" s="20"/>
    </row>
    <row r="1800" customFormat="false" ht="15.75" hidden="false" customHeight="true" outlineLevel="0" collapsed="false">
      <c r="B1800" s="19" t="n">
        <v>1944</v>
      </c>
      <c r="C1800" s="20" t="s">
        <v>3940</v>
      </c>
      <c r="D1800" s="20" t="s">
        <v>95</v>
      </c>
      <c r="E1800" s="21" t="s">
        <v>3941</v>
      </c>
      <c r="F1800" s="21" t="n">
        <v>38002</v>
      </c>
      <c r="G1800" s="22" t="s">
        <v>471</v>
      </c>
      <c r="H1800" s="23" t="n">
        <f aca="false">COUNTIF(CAL!U:AF,B1800)</f>
        <v>1</v>
      </c>
      <c r="I1800" s="22" t="n">
        <v>8</v>
      </c>
      <c r="J1800" s="20"/>
    </row>
    <row r="1801" customFormat="false" ht="15.75" hidden="false" customHeight="true" outlineLevel="0" collapsed="false">
      <c r="B1801" s="19" t="n">
        <v>1466</v>
      </c>
      <c r="C1801" s="20" t="s">
        <v>1679</v>
      </c>
      <c r="D1801" s="20" t="s">
        <v>225</v>
      </c>
      <c r="E1801" s="21" t="s">
        <v>3942</v>
      </c>
      <c r="F1801" s="21" t="n">
        <v>38082</v>
      </c>
      <c r="G1801" s="22" t="s">
        <v>471</v>
      </c>
      <c r="H1801" s="23" t="n">
        <f aca="false">COUNTIF(CAL!U:AF,B1801)</f>
        <v>1</v>
      </c>
      <c r="I1801" s="22" t="n">
        <v>8</v>
      </c>
      <c r="J1801" s="20"/>
    </row>
    <row r="1802" customFormat="false" ht="15.75" hidden="false" customHeight="true" outlineLevel="0" collapsed="false">
      <c r="B1802" s="19" t="n">
        <v>2745</v>
      </c>
      <c r="C1802" s="20" t="s">
        <v>3943</v>
      </c>
      <c r="D1802" s="20" t="s">
        <v>159</v>
      </c>
      <c r="E1802" s="21" t="s">
        <v>3944</v>
      </c>
      <c r="F1802" s="21" t="n">
        <v>36323</v>
      </c>
      <c r="G1802" s="22" t="s">
        <v>471</v>
      </c>
      <c r="H1802" s="23" t="n">
        <f aca="false">COUNTIF(CAL!U:AF,B1802)</f>
        <v>1</v>
      </c>
      <c r="I1802" s="22" t="n">
        <v>8</v>
      </c>
      <c r="J1802" s="20" t="s">
        <v>3945</v>
      </c>
    </row>
    <row r="1803" customFormat="false" ht="15.75" hidden="false" customHeight="true" outlineLevel="0" collapsed="false">
      <c r="B1803" s="19" t="n">
        <v>2246</v>
      </c>
      <c r="C1803" s="20" t="s">
        <v>3223</v>
      </c>
      <c r="D1803" s="20" t="s">
        <v>43</v>
      </c>
      <c r="E1803" s="21" t="s">
        <v>3946</v>
      </c>
      <c r="F1803" s="21" t="n">
        <v>33775</v>
      </c>
      <c r="G1803" s="22" t="s">
        <v>471</v>
      </c>
      <c r="H1803" s="23" t="n">
        <f aca="false">COUNTIF(CAL!U:AF,B1803)</f>
        <v>1</v>
      </c>
      <c r="I1803" s="22" t="n">
        <v>8</v>
      </c>
      <c r="J1803" s="20"/>
    </row>
    <row r="1804" customFormat="false" ht="15.75" hidden="false" customHeight="true" outlineLevel="0" collapsed="false">
      <c r="B1804" s="19" t="n">
        <v>2807</v>
      </c>
      <c r="C1804" s="20" t="s">
        <v>3947</v>
      </c>
      <c r="D1804" s="20" t="s">
        <v>429</v>
      </c>
      <c r="E1804" s="24" t="s">
        <v>3948</v>
      </c>
      <c r="F1804" s="21" t="n">
        <v>38646</v>
      </c>
      <c r="G1804" s="22" t="s">
        <v>471</v>
      </c>
      <c r="H1804" s="23" t="n">
        <f aca="false">COUNTIF(CAL!U:AF,B1804)</f>
        <v>1</v>
      </c>
      <c r="I1804" s="22" t="n">
        <v>8</v>
      </c>
      <c r="J1804" s="20" t="s">
        <v>3949</v>
      </c>
    </row>
    <row r="1805" customFormat="false" ht="15.75" hidden="false" customHeight="true" outlineLevel="0" collapsed="false">
      <c r="B1805" s="19" t="n">
        <v>1011</v>
      </c>
      <c r="C1805" s="20" t="s">
        <v>3950</v>
      </c>
      <c r="D1805" s="20" t="s">
        <v>300</v>
      </c>
      <c r="E1805" s="24" t="s">
        <v>3951</v>
      </c>
      <c r="F1805" s="21" t="n">
        <v>37683</v>
      </c>
      <c r="G1805" s="22" t="s">
        <v>471</v>
      </c>
      <c r="H1805" s="23" t="n">
        <f aca="false">COUNTIF(CAL!U:AF,B1805)</f>
        <v>1</v>
      </c>
      <c r="I1805" s="22" t="n">
        <v>8</v>
      </c>
      <c r="J1805" s="20" t="s">
        <v>2027</v>
      </c>
    </row>
    <row r="1806" customFormat="false" ht="15.75" hidden="false" customHeight="true" outlineLevel="0" collapsed="false">
      <c r="B1806" s="19" t="n">
        <v>2048</v>
      </c>
      <c r="C1806" s="20" t="s">
        <v>3952</v>
      </c>
      <c r="D1806" s="20" t="s">
        <v>333</v>
      </c>
      <c r="E1806" s="21" t="s">
        <v>3953</v>
      </c>
      <c r="F1806" s="21" t="n">
        <v>37113</v>
      </c>
      <c r="G1806" s="22" t="s">
        <v>471</v>
      </c>
      <c r="H1806" s="23" t="n">
        <f aca="false">COUNTIF(CAL!U:AF,B1806)</f>
        <v>1</v>
      </c>
      <c r="I1806" s="22" t="n">
        <v>8</v>
      </c>
      <c r="J1806" s="20"/>
    </row>
    <row r="1807" customFormat="false" ht="15.75" hidden="false" customHeight="true" outlineLevel="0" collapsed="false">
      <c r="B1807" s="19" t="n">
        <v>1517</v>
      </c>
      <c r="C1807" s="20" t="s">
        <v>3954</v>
      </c>
      <c r="D1807" s="20" t="s">
        <v>243</v>
      </c>
      <c r="E1807" s="21" t="s">
        <v>3955</v>
      </c>
      <c r="F1807" s="21" t="n">
        <v>34385</v>
      </c>
      <c r="G1807" s="22" t="s">
        <v>471</v>
      </c>
      <c r="H1807" s="23" t="n">
        <f aca="false">COUNTIF(CAL!U:AF,B1807)</f>
        <v>1</v>
      </c>
      <c r="I1807" s="22" t="n">
        <v>8</v>
      </c>
      <c r="J1807" s="20" t="s">
        <v>1386</v>
      </c>
    </row>
    <row r="1808" customFormat="false" ht="15.75" hidden="false" customHeight="true" outlineLevel="0" collapsed="false">
      <c r="B1808" s="19" t="n">
        <v>3112</v>
      </c>
      <c r="C1808" s="20" t="s">
        <v>3956</v>
      </c>
      <c r="D1808" s="20" t="s">
        <v>374</v>
      </c>
      <c r="E1808" s="21" t="s">
        <v>3957</v>
      </c>
      <c r="F1808" s="21" t="n">
        <v>38160</v>
      </c>
      <c r="G1808" s="22" t="s">
        <v>471</v>
      </c>
      <c r="H1808" s="23" t="n">
        <f aca="false">COUNTIF(CAL!U:AF,B1808)</f>
        <v>1</v>
      </c>
      <c r="I1808" s="22" t="n">
        <v>8</v>
      </c>
      <c r="J1808" s="20"/>
    </row>
    <row r="1809" customFormat="false" ht="15.75" hidden="false" customHeight="true" outlineLevel="0" collapsed="false">
      <c r="B1809" s="19" t="n">
        <v>3316</v>
      </c>
      <c r="C1809" s="20" t="s">
        <v>851</v>
      </c>
      <c r="D1809" s="20" t="s">
        <v>109</v>
      </c>
      <c r="E1809" s="21" t="s">
        <v>3958</v>
      </c>
      <c r="F1809" s="21" t="n">
        <v>36357</v>
      </c>
      <c r="G1809" s="22" t="s">
        <v>471</v>
      </c>
      <c r="H1809" s="23" t="n">
        <f aca="false">COUNTIF(CAL!U:AF,B1809)</f>
        <v>1</v>
      </c>
      <c r="I1809" s="22" t="n">
        <v>8</v>
      </c>
      <c r="J1809" s="20"/>
    </row>
    <row r="1810" customFormat="false" ht="15.75" hidden="false" customHeight="true" outlineLevel="0" collapsed="false">
      <c r="B1810" s="19" t="n">
        <v>1059</v>
      </c>
      <c r="C1810" s="20" t="s">
        <v>3959</v>
      </c>
      <c r="D1810" s="20" t="s">
        <v>144</v>
      </c>
      <c r="E1810" s="21" t="s">
        <v>3960</v>
      </c>
      <c r="F1810" s="21" t="n">
        <v>37290</v>
      </c>
      <c r="G1810" s="22" t="s">
        <v>471</v>
      </c>
      <c r="H1810" s="23" t="n">
        <f aca="false">COUNTIF(CAL!U:AF,B1810)</f>
        <v>1</v>
      </c>
      <c r="I1810" s="22" t="n">
        <v>8</v>
      </c>
      <c r="J1810" s="20"/>
    </row>
    <row r="1811" customFormat="false" ht="15.75" hidden="false" customHeight="true" outlineLevel="0" collapsed="false">
      <c r="B1811" s="19" t="n">
        <v>2474</v>
      </c>
      <c r="C1811" s="20" t="s">
        <v>612</v>
      </c>
      <c r="D1811" s="20" t="s">
        <v>51</v>
      </c>
      <c r="E1811" s="21" t="s">
        <v>3961</v>
      </c>
      <c r="F1811" s="21" t="n">
        <v>36482</v>
      </c>
      <c r="G1811" s="22" t="s">
        <v>471</v>
      </c>
      <c r="H1811" s="23" t="n">
        <f aca="false">COUNTIF(CAL!U:AF,B1811)</f>
        <v>1</v>
      </c>
      <c r="I1811" s="22" t="n">
        <v>8</v>
      </c>
      <c r="J1811" s="20"/>
    </row>
    <row r="1812" customFormat="false" ht="15.75" hidden="false" customHeight="true" outlineLevel="0" collapsed="false">
      <c r="B1812" s="19" t="n">
        <v>2580</v>
      </c>
      <c r="C1812" s="20" t="s">
        <v>2175</v>
      </c>
      <c r="D1812" s="20" t="s">
        <v>204</v>
      </c>
      <c r="E1812" s="21" t="s">
        <v>3962</v>
      </c>
      <c r="F1812" s="21" t="n">
        <v>37852</v>
      </c>
      <c r="G1812" s="22" t="s">
        <v>471</v>
      </c>
      <c r="H1812" s="23" t="n">
        <f aca="false">COUNTIF(CAL!U:AF,B1812)</f>
        <v>1</v>
      </c>
      <c r="I1812" s="22" t="n">
        <v>8</v>
      </c>
      <c r="J1812" s="20"/>
    </row>
    <row r="1813" customFormat="false" ht="15.75" hidden="false" customHeight="true" outlineLevel="0" collapsed="false">
      <c r="B1813" s="19" t="n">
        <v>3151</v>
      </c>
      <c r="C1813" s="20" t="s">
        <v>3963</v>
      </c>
      <c r="D1813" s="20" t="s">
        <v>315</v>
      </c>
      <c r="E1813" s="21" t="s">
        <v>3964</v>
      </c>
      <c r="F1813" s="21" t="n">
        <v>35504</v>
      </c>
      <c r="G1813" s="22" t="s">
        <v>471</v>
      </c>
      <c r="H1813" s="23" t="n">
        <f aca="false">COUNTIF(CAL!U:AF,B1813)</f>
        <v>1</v>
      </c>
      <c r="I1813" s="22" t="n">
        <v>8</v>
      </c>
      <c r="J1813" s="20"/>
    </row>
    <row r="1814" customFormat="false" ht="15.75" hidden="false" customHeight="true" outlineLevel="0" collapsed="false">
      <c r="B1814" s="19" t="n">
        <v>1412</v>
      </c>
      <c r="C1814" s="20" t="s">
        <v>3965</v>
      </c>
      <c r="D1814" s="20" t="s">
        <v>254</v>
      </c>
      <c r="E1814" s="21" t="s">
        <v>3966</v>
      </c>
      <c r="F1814" s="21" t="n">
        <v>36066</v>
      </c>
      <c r="G1814" s="22" t="s">
        <v>471</v>
      </c>
      <c r="H1814" s="23" t="n">
        <f aca="false">COUNTIF(CAL!U:AF,B1814)</f>
        <v>1</v>
      </c>
      <c r="I1814" s="22" t="n">
        <v>8</v>
      </c>
      <c r="J1814" s="20"/>
    </row>
    <row r="1815" customFormat="false" ht="15.75" hidden="false" customHeight="true" outlineLevel="0" collapsed="false">
      <c r="B1815" s="19" t="n">
        <v>1925</v>
      </c>
      <c r="C1815" s="20" t="s">
        <v>3967</v>
      </c>
      <c r="D1815" s="20" t="s">
        <v>245</v>
      </c>
      <c r="E1815" s="21" t="s">
        <v>3968</v>
      </c>
      <c r="F1815" s="21" t="n">
        <v>36168</v>
      </c>
      <c r="G1815" s="22" t="s">
        <v>471</v>
      </c>
      <c r="H1815" s="23" t="n">
        <f aca="false">COUNTIF(CAL!U:AF,B1815)</f>
        <v>1</v>
      </c>
      <c r="I1815" s="22" t="n">
        <v>8</v>
      </c>
      <c r="J1815" s="20"/>
    </row>
    <row r="1816" customFormat="false" ht="15.75" hidden="false" customHeight="true" outlineLevel="0" collapsed="false">
      <c r="B1816" s="19" t="n">
        <v>3096</v>
      </c>
      <c r="C1816" s="20" t="s">
        <v>3969</v>
      </c>
      <c r="D1816" s="20" t="s">
        <v>390</v>
      </c>
      <c r="E1816" s="21" t="s">
        <v>3970</v>
      </c>
      <c r="F1816" s="21" t="n">
        <v>37775</v>
      </c>
      <c r="G1816" s="22" t="s">
        <v>471</v>
      </c>
      <c r="H1816" s="23" t="n">
        <f aca="false">COUNTIF(CAL!U:AF,B1816)</f>
        <v>1</v>
      </c>
      <c r="I1816" s="22" t="n">
        <v>8</v>
      </c>
      <c r="J1816" s="20"/>
    </row>
    <row r="1817" customFormat="false" ht="15.75" hidden="false" customHeight="true" outlineLevel="0" collapsed="false">
      <c r="B1817" s="19" t="n">
        <v>1427</v>
      </c>
      <c r="C1817" s="20" t="s">
        <v>3971</v>
      </c>
      <c r="D1817" s="20" t="s">
        <v>65</v>
      </c>
      <c r="E1817" s="21" t="s">
        <v>2179</v>
      </c>
      <c r="F1817" s="21" t="n">
        <v>37306</v>
      </c>
      <c r="G1817" s="22" t="s">
        <v>471</v>
      </c>
      <c r="H1817" s="23" t="n">
        <f aca="false">COUNTIF(CAL!U:AF,B1817)</f>
        <v>1</v>
      </c>
      <c r="I1817" s="22" t="n">
        <v>8</v>
      </c>
      <c r="J1817" s="20"/>
    </row>
    <row r="1818" customFormat="false" ht="15.75" hidden="false" customHeight="true" outlineLevel="0" collapsed="false">
      <c r="B1818" s="19" t="n">
        <v>1031</v>
      </c>
      <c r="C1818" s="20" t="s">
        <v>3972</v>
      </c>
      <c r="D1818" s="20" t="s">
        <v>38</v>
      </c>
      <c r="E1818" s="24" t="s">
        <v>3973</v>
      </c>
      <c r="F1818" s="21" t="n">
        <v>35505</v>
      </c>
      <c r="G1818" s="22" t="s">
        <v>471</v>
      </c>
      <c r="H1818" s="23" t="n">
        <f aca="false">COUNTIF(CAL!U:AF,B1818)</f>
        <v>1</v>
      </c>
      <c r="I1818" s="22" t="n">
        <v>8</v>
      </c>
      <c r="J1818" s="20" t="s">
        <v>3974</v>
      </c>
    </row>
    <row r="1819" customFormat="false" ht="15.75" hidden="false" customHeight="true" outlineLevel="0" collapsed="false">
      <c r="B1819" s="19" t="n">
        <v>1934</v>
      </c>
      <c r="C1819" s="20" t="s">
        <v>3717</v>
      </c>
      <c r="D1819" s="20" t="s">
        <v>111</v>
      </c>
      <c r="E1819" s="21" t="s">
        <v>3975</v>
      </c>
      <c r="F1819" s="21" t="n">
        <v>37844</v>
      </c>
      <c r="G1819" s="22" t="s">
        <v>471</v>
      </c>
      <c r="H1819" s="23" t="n">
        <f aca="false">COUNTIF(CAL!U:AF,B1819)</f>
        <v>1</v>
      </c>
      <c r="I1819" s="22" t="n">
        <v>8</v>
      </c>
      <c r="J1819" s="20"/>
    </row>
    <row r="1820" customFormat="false" ht="15.75" hidden="false" customHeight="true" outlineLevel="0" collapsed="false">
      <c r="B1820" s="19" t="n">
        <v>2280</v>
      </c>
      <c r="C1820" s="20" t="s">
        <v>3976</v>
      </c>
      <c r="D1820" s="20" t="s">
        <v>64</v>
      </c>
      <c r="E1820" s="24" t="s">
        <v>3977</v>
      </c>
      <c r="F1820" s="21" t="n">
        <v>35355</v>
      </c>
      <c r="G1820" s="22" t="s">
        <v>471</v>
      </c>
      <c r="H1820" s="23" t="n">
        <f aca="false">COUNTIF(CAL!U:AF,B1820)</f>
        <v>1</v>
      </c>
      <c r="I1820" s="22" t="n">
        <v>8</v>
      </c>
      <c r="J1820" s="20"/>
    </row>
    <row r="1821" customFormat="false" ht="15.75" hidden="false" customHeight="true" outlineLevel="0" collapsed="false">
      <c r="B1821" s="19" t="n">
        <v>3104</v>
      </c>
      <c r="C1821" s="20" t="s">
        <v>3978</v>
      </c>
      <c r="D1821" s="20" t="s">
        <v>237</v>
      </c>
      <c r="E1821" s="24" t="s">
        <v>3979</v>
      </c>
      <c r="F1821" s="21" t="n">
        <v>35591</v>
      </c>
      <c r="G1821" s="22" t="s">
        <v>471</v>
      </c>
      <c r="H1821" s="23" t="n">
        <f aca="false">COUNTIF(CAL!U:AF,B1821)</f>
        <v>1</v>
      </c>
      <c r="I1821" s="22" t="n">
        <v>8</v>
      </c>
      <c r="J1821" s="20"/>
    </row>
    <row r="1822" customFormat="false" ht="15.75" hidden="false" customHeight="true" outlineLevel="0" collapsed="false">
      <c r="B1822" s="19" t="n">
        <v>2649</v>
      </c>
      <c r="C1822" s="20" t="s">
        <v>3980</v>
      </c>
      <c r="D1822" s="20" t="s">
        <v>59</v>
      </c>
      <c r="E1822" s="21" t="s">
        <v>3981</v>
      </c>
      <c r="F1822" s="21" t="n">
        <v>34790</v>
      </c>
      <c r="G1822" s="22" t="s">
        <v>471</v>
      </c>
      <c r="H1822" s="23" t="n">
        <f aca="false">COUNTIF(CAL!U:AF,B1822)</f>
        <v>1</v>
      </c>
      <c r="I1822" s="22" t="n">
        <v>8</v>
      </c>
      <c r="J1822" s="20"/>
    </row>
    <row r="1823" customFormat="false" ht="15.75" hidden="false" customHeight="true" outlineLevel="0" collapsed="false">
      <c r="B1823" s="19" t="n">
        <v>1226</v>
      </c>
      <c r="C1823" s="20" t="s">
        <v>1444</v>
      </c>
      <c r="D1823" s="20" t="s">
        <v>32</v>
      </c>
      <c r="E1823" s="21" t="s">
        <v>3982</v>
      </c>
      <c r="F1823" s="21" t="n">
        <v>36319</v>
      </c>
      <c r="G1823" s="22" t="s">
        <v>471</v>
      </c>
      <c r="H1823" s="23" t="n">
        <f aca="false">COUNTIF(CAL!U:AF,B1823)</f>
        <v>1</v>
      </c>
      <c r="I1823" s="22" t="n">
        <v>8</v>
      </c>
      <c r="J1823" s="20"/>
    </row>
    <row r="1824" customFormat="false" ht="15.75" hidden="false" customHeight="true" outlineLevel="0" collapsed="false">
      <c r="B1824" s="19" t="n">
        <v>2691</v>
      </c>
      <c r="C1824" s="20" t="s">
        <v>1444</v>
      </c>
      <c r="D1824" s="20" t="s">
        <v>298</v>
      </c>
      <c r="E1824" s="21" t="s">
        <v>3983</v>
      </c>
      <c r="F1824" s="21" t="n">
        <v>36611</v>
      </c>
      <c r="G1824" s="22" t="s">
        <v>471</v>
      </c>
      <c r="H1824" s="23" t="n">
        <f aca="false">COUNTIF(CAL!U:AF,B1824)</f>
        <v>1</v>
      </c>
      <c r="I1824" s="22" t="n">
        <v>8</v>
      </c>
      <c r="J1824" s="20"/>
    </row>
    <row r="1825" customFormat="false" ht="15.75" hidden="false" customHeight="true" outlineLevel="0" collapsed="false">
      <c r="B1825" s="19" t="n">
        <v>2735</v>
      </c>
      <c r="C1825" s="20" t="s">
        <v>3984</v>
      </c>
      <c r="D1825" s="20" t="s">
        <v>333</v>
      </c>
      <c r="E1825" s="21" t="s">
        <v>3985</v>
      </c>
      <c r="F1825" s="21" t="n">
        <v>35685</v>
      </c>
      <c r="G1825" s="22" t="s">
        <v>471</v>
      </c>
      <c r="H1825" s="23" t="n">
        <f aca="false">COUNTIF(CAL!U:AF,B1825)</f>
        <v>1</v>
      </c>
      <c r="I1825" s="22" t="n">
        <v>8</v>
      </c>
      <c r="J1825" s="20"/>
    </row>
    <row r="1826" customFormat="false" ht="15.75" hidden="false" customHeight="true" outlineLevel="0" collapsed="false">
      <c r="B1826" s="19" t="n">
        <v>3035</v>
      </c>
      <c r="C1826" s="20" t="s">
        <v>3986</v>
      </c>
      <c r="D1826" s="20" t="s">
        <v>334</v>
      </c>
      <c r="E1826" s="24" t="s">
        <v>3987</v>
      </c>
      <c r="F1826" s="21" t="n">
        <v>35599</v>
      </c>
      <c r="G1826" s="22" t="s">
        <v>471</v>
      </c>
      <c r="H1826" s="23" t="n">
        <f aca="false">COUNTIF(CAL!U:AF,B1826)</f>
        <v>1</v>
      </c>
      <c r="I1826" s="22" t="n">
        <v>8</v>
      </c>
      <c r="J1826" s="20"/>
    </row>
    <row r="1827" customFormat="false" ht="15.75" hidden="false" customHeight="true" outlineLevel="0" collapsed="false">
      <c r="B1827" s="19" t="n">
        <v>2554</v>
      </c>
      <c r="C1827" s="20" t="s">
        <v>3988</v>
      </c>
      <c r="D1827" s="20" t="s">
        <v>373</v>
      </c>
      <c r="E1827" s="21" t="s">
        <v>3989</v>
      </c>
      <c r="F1827" s="21" t="n">
        <v>37762</v>
      </c>
      <c r="G1827" s="22" t="s">
        <v>471</v>
      </c>
      <c r="H1827" s="23" t="n">
        <f aca="false">COUNTIF(CAL!U:AF,B1827)</f>
        <v>1</v>
      </c>
      <c r="I1827" s="22" t="n">
        <v>8</v>
      </c>
      <c r="J1827" s="20"/>
    </row>
    <row r="1828" customFormat="false" ht="15.75" hidden="false" customHeight="true" outlineLevel="0" collapsed="false">
      <c r="B1828" s="19" t="n">
        <v>3077</v>
      </c>
      <c r="C1828" s="20" t="s">
        <v>3729</v>
      </c>
      <c r="D1828" s="20" t="s">
        <v>102</v>
      </c>
      <c r="E1828" s="21" t="s">
        <v>3990</v>
      </c>
      <c r="F1828" s="21" t="n">
        <v>38208</v>
      </c>
      <c r="G1828" s="22" t="s">
        <v>471</v>
      </c>
      <c r="H1828" s="23" t="n">
        <f aca="false">COUNTIF(CAL!U:AF,B1828)</f>
        <v>1</v>
      </c>
      <c r="I1828" s="22" t="n">
        <v>8</v>
      </c>
      <c r="J1828" s="20"/>
    </row>
    <row r="1829" customFormat="false" ht="15.75" hidden="false" customHeight="true" outlineLevel="0" collapsed="false">
      <c r="B1829" s="19" t="n">
        <v>2925</v>
      </c>
      <c r="C1829" s="20" t="s">
        <v>3991</v>
      </c>
      <c r="D1829" s="20" t="s">
        <v>219</v>
      </c>
      <c r="E1829" s="21" t="s">
        <v>3992</v>
      </c>
      <c r="F1829" s="21" t="n">
        <v>33595</v>
      </c>
      <c r="G1829" s="22" t="s">
        <v>471</v>
      </c>
      <c r="H1829" s="23" t="n">
        <f aca="false">COUNTIF(CAL!U:AF,B1829)</f>
        <v>1</v>
      </c>
      <c r="I1829" s="22" t="n">
        <v>8</v>
      </c>
      <c r="J1829" s="20"/>
    </row>
    <row r="1830" customFormat="false" ht="15.75" hidden="false" customHeight="true" outlineLevel="0" collapsed="false">
      <c r="B1830" s="19" t="n">
        <v>2128</v>
      </c>
      <c r="C1830" s="20" t="s">
        <v>3993</v>
      </c>
      <c r="D1830" s="20" t="s">
        <v>99</v>
      </c>
      <c r="E1830" s="24" t="s">
        <v>3994</v>
      </c>
      <c r="F1830" s="21" t="n">
        <v>37276</v>
      </c>
      <c r="G1830" s="22" t="s">
        <v>471</v>
      </c>
      <c r="H1830" s="23" t="n">
        <f aca="false">COUNTIF(CAL!U:AF,B1830)</f>
        <v>1</v>
      </c>
      <c r="I1830" s="22" t="n">
        <v>8</v>
      </c>
      <c r="J1830" s="20"/>
    </row>
    <row r="1831" customFormat="false" ht="15.75" hidden="false" customHeight="true" outlineLevel="0" collapsed="false">
      <c r="B1831" s="19" t="n">
        <v>1932</v>
      </c>
      <c r="C1831" s="20" t="s">
        <v>3995</v>
      </c>
      <c r="D1831" s="20" t="s">
        <v>300</v>
      </c>
      <c r="E1831" s="21" t="s">
        <v>3996</v>
      </c>
      <c r="F1831" s="21" t="n">
        <v>35796</v>
      </c>
      <c r="G1831" s="22" t="s">
        <v>471</v>
      </c>
      <c r="H1831" s="23" t="n">
        <f aca="false">COUNTIF(CAL!U:AF,B1831)</f>
        <v>1</v>
      </c>
      <c r="I1831" s="22" t="n">
        <v>8</v>
      </c>
      <c r="J1831" s="20"/>
    </row>
    <row r="1832" customFormat="false" ht="15.75" hidden="false" customHeight="true" outlineLevel="0" collapsed="false">
      <c r="B1832" s="19" t="n">
        <v>3319</v>
      </c>
      <c r="C1832" s="20" t="s">
        <v>1182</v>
      </c>
      <c r="D1832" s="20" t="s">
        <v>246</v>
      </c>
      <c r="E1832" s="21" t="s">
        <v>3997</v>
      </c>
      <c r="F1832" s="21" t="n">
        <v>38698</v>
      </c>
      <c r="G1832" s="22" t="s">
        <v>471</v>
      </c>
      <c r="H1832" s="23" t="n">
        <f aca="false">COUNTIF(CAL!U:AF,B1832)</f>
        <v>1</v>
      </c>
      <c r="I1832" s="22" t="n">
        <v>8</v>
      </c>
      <c r="J1832" s="20"/>
    </row>
    <row r="1833" customFormat="false" ht="15.75" hidden="false" customHeight="true" outlineLevel="0" collapsed="false">
      <c r="B1833" s="19" t="n">
        <v>2200</v>
      </c>
      <c r="C1833" s="20" t="s">
        <v>3998</v>
      </c>
      <c r="D1833" s="20" t="s">
        <v>359</v>
      </c>
      <c r="E1833" s="21" t="s">
        <v>3999</v>
      </c>
      <c r="F1833" s="21" t="n">
        <v>38128</v>
      </c>
      <c r="G1833" s="22" t="s">
        <v>471</v>
      </c>
      <c r="H1833" s="23" t="n">
        <f aca="false">COUNTIF(CAL!U:AF,B1833)</f>
        <v>1</v>
      </c>
      <c r="I1833" s="22" t="n">
        <v>8</v>
      </c>
      <c r="J1833" s="20" t="s">
        <v>3145</v>
      </c>
    </row>
    <row r="1834" customFormat="false" ht="15.75" hidden="false" customHeight="true" outlineLevel="0" collapsed="false">
      <c r="B1834" s="19" t="n">
        <v>1682</v>
      </c>
      <c r="C1834" s="20" t="s">
        <v>4000</v>
      </c>
      <c r="D1834" s="20" t="s">
        <v>299</v>
      </c>
      <c r="E1834" s="21" t="s">
        <v>4001</v>
      </c>
      <c r="F1834" s="21" t="n">
        <v>35032</v>
      </c>
      <c r="G1834" s="22" t="s">
        <v>471</v>
      </c>
      <c r="H1834" s="23" t="n">
        <f aca="false">COUNTIF(CAL!U:AF,B1834)</f>
        <v>1</v>
      </c>
      <c r="I1834" s="22" t="n">
        <v>8</v>
      </c>
      <c r="J1834" s="20"/>
    </row>
    <row r="1835" customFormat="false" ht="15.75" hidden="false" customHeight="true" outlineLevel="0" collapsed="false">
      <c r="B1835" s="19" t="n">
        <v>2121</v>
      </c>
      <c r="C1835" s="20" t="s">
        <v>4002</v>
      </c>
      <c r="D1835" s="20" t="s">
        <v>224</v>
      </c>
      <c r="E1835" s="21" t="s">
        <v>4003</v>
      </c>
      <c r="F1835" s="21" t="n">
        <v>39155</v>
      </c>
      <c r="G1835" s="22" t="s">
        <v>471</v>
      </c>
      <c r="H1835" s="23" t="n">
        <f aca="false">COUNTIF(CAL!U:AF,B1835)</f>
        <v>1</v>
      </c>
      <c r="I1835" s="22" t="n">
        <v>8</v>
      </c>
      <c r="J1835" s="20"/>
    </row>
    <row r="1836" customFormat="false" ht="15.75" hidden="false" customHeight="true" outlineLevel="0" collapsed="false">
      <c r="B1836" s="19" t="n">
        <v>1391</v>
      </c>
      <c r="C1836" s="20" t="s">
        <v>3053</v>
      </c>
      <c r="D1836" s="20" t="s">
        <v>258</v>
      </c>
      <c r="E1836" s="24" t="s">
        <v>4004</v>
      </c>
      <c r="F1836" s="21" t="n">
        <v>36496</v>
      </c>
      <c r="G1836" s="22" t="s">
        <v>471</v>
      </c>
      <c r="H1836" s="23" t="n">
        <f aca="false">COUNTIF(CAL!U:AF,B1836)</f>
        <v>1</v>
      </c>
      <c r="I1836" s="22" t="n">
        <v>8</v>
      </c>
      <c r="J1836" s="20"/>
    </row>
    <row r="1837" customFormat="false" ht="15.75" hidden="false" customHeight="true" outlineLevel="0" collapsed="false">
      <c r="B1837" s="19" t="n">
        <v>2317</v>
      </c>
      <c r="C1837" s="20" t="s">
        <v>4005</v>
      </c>
      <c r="D1837" s="20" t="s">
        <v>226</v>
      </c>
      <c r="E1837" s="21" t="s">
        <v>4006</v>
      </c>
      <c r="F1837" s="21" t="n">
        <v>37068</v>
      </c>
      <c r="G1837" s="22" t="s">
        <v>471</v>
      </c>
      <c r="H1837" s="23" t="n">
        <f aca="false">COUNTIF(CAL!U:AF,B1837)</f>
        <v>1</v>
      </c>
      <c r="I1837" s="22" t="n">
        <v>8</v>
      </c>
      <c r="J1837" s="20"/>
    </row>
    <row r="1838" customFormat="false" ht="15.75" hidden="false" customHeight="true" outlineLevel="0" collapsed="false">
      <c r="B1838" s="19" t="n">
        <v>1012</v>
      </c>
      <c r="C1838" s="20" t="s">
        <v>4007</v>
      </c>
      <c r="D1838" s="20" t="s">
        <v>49</v>
      </c>
      <c r="E1838" s="24" t="s">
        <v>4008</v>
      </c>
      <c r="F1838" s="21" t="n">
        <v>37007</v>
      </c>
      <c r="G1838" s="22" t="s">
        <v>471</v>
      </c>
      <c r="H1838" s="23" t="n">
        <f aca="false">COUNTIF(CAL!U:AF,B1838)</f>
        <v>1</v>
      </c>
      <c r="I1838" s="22" t="n">
        <v>8</v>
      </c>
      <c r="J1838" s="20"/>
    </row>
    <row r="1839" customFormat="false" ht="15.75" hidden="false" customHeight="true" outlineLevel="0" collapsed="false">
      <c r="B1839" s="19" t="n">
        <v>2512</v>
      </c>
      <c r="C1839" s="20" t="s">
        <v>4009</v>
      </c>
      <c r="D1839" s="20" t="s">
        <v>54</v>
      </c>
      <c r="E1839" s="21" t="s">
        <v>4010</v>
      </c>
      <c r="F1839" s="21" t="n">
        <v>34603</v>
      </c>
      <c r="G1839" s="22" t="s">
        <v>471</v>
      </c>
      <c r="H1839" s="23" t="n">
        <f aca="false">COUNTIF(CAL!U:AF,B1839)</f>
        <v>1</v>
      </c>
      <c r="I1839" s="22" t="n">
        <v>8</v>
      </c>
      <c r="J1839" s="20"/>
    </row>
    <row r="1840" customFormat="false" ht="15.75" hidden="false" customHeight="true" outlineLevel="0" collapsed="false">
      <c r="B1840" s="19" t="n">
        <v>3225</v>
      </c>
      <c r="C1840" s="20" t="s">
        <v>4011</v>
      </c>
      <c r="D1840" s="20" t="s">
        <v>258</v>
      </c>
      <c r="E1840" s="21" t="s">
        <v>4012</v>
      </c>
      <c r="F1840" s="21" t="n">
        <v>33379</v>
      </c>
      <c r="G1840" s="22" t="s">
        <v>471</v>
      </c>
      <c r="H1840" s="23" t="n">
        <f aca="false">COUNTIF(CAL!U:AF,B1840)</f>
        <v>1</v>
      </c>
      <c r="I1840" s="22" t="n">
        <v>8</v>
      </c>
      <c r="J1840" s="20"/>
    </row>
    <row r="1841" customFormat="false" ht="15.75" hidden="false" customHeight="true" outlineLevel="0" collapsed="false">
      <c r="B1841" s="19" t="n">
        <v>1113</v>
      </c>
      <c r="C1841" s="20" t="s">
        <v>4013</v>
      </c>
      <c r="D1841" s="20" t="s">
        <v>153</v>
      </c>
      <c r="E1841" s="21" t="s">
        <v>4014</v>
      </c>
      <c r="F1841" s="21" t="n">
        <v>34829</v>
      </c>
      <c r="G1841" s="22" t="s">
        <v>471</v>
      </c>
      <c r="H1841" s="23" t="n">
        <f aca="false">COUNTIF(CAL!U:AF,B1841)</f>
        <v>1</v>
      </c>
      <c r="I1841" s="22" t="n">
        <v>8</v>
      </c>
      <c r="J1841" s="20"/>
    </row>
    <row r="1842" customFormat="false" ht="15.75" hidden="false" customHeight="true" outlineLevel="0" collapsed="false">
      <c r="B1842" s="19" t="n">
        <v>2388</v>
      </c>
      <c r="C1842" s="20" t="s">
        <v>4015</v>
      </c>
      <c r="D1842" s="20" t="s">
        <v>114</v>
      </c>
      <c r="E1842" s="21" t="s">
        <v>4016</v>
      </c>
      <c r="F1842" s="21" t="n">
        <v>34046</v>
      </c>
      <c r="G1842" s="22" t="s">
        <v>471</v>
      </c>
      <c r="H1842" s="23" t="n">
        <f aca="false">COUNTIF(CAL!U:AF,B1842)</f>
        <v>1</v>
      </c>
      <c r="I1842" s="22" t="n">
        <v>8</v>
      </c>
      <c r="J1842" s="20"/>
    </row>
    <row r="1843" customFormat="false" ht="15.75" hidden="false" customHeight="true" outlineLevel="0" collapsed="false">
      <c r="B1843" s="19" t="n">
        <v>3598</v>
      </c>
      <c r="C1843" s="20" t="s">
        <v>4017</v>
      </c>
      <c r="D1843" s="20" t="s">
        <v>44</v>
      </c>
      <c r="E1843" s="21" t="s">
        <v>4018</v>
      </c>
      <c r="F1843" s="21" t="n">
        <v>35480</v>
      </c>
      <c r="G1843" s="22" t="s">
        <v>471</v>
      </c>
      <c r="H1843" s="23" t="n">
        <f aca="false">COUNTIF(CAL!U:AF,B1843)</f>
        <v>1</v>
      </c>
      <c r="I1843" s="22" t="n">
        <v>8</v>
      </c>
      <c r="J1843" s="20"/>
    </row>
    <row r="1844" customFormat="false" ht="15.75" hidden="false" customHeight="true" outlineLevel="0" collapsed="false">
      <c r="B1844" s="19" t="n">
        <v>1854</v>
      </c>
      <c r="C1844" s="20" t="s">
        <v>4019</v>
      </c>
      <c r="D1844" s="20" t="s">
        <v>335</v>
      </c>
      <c r="E1844" s="21" t="s">
        <v>4020</v>
      </c>
      <c r="F1844" s="21" t="n">
        <v>33276</v>
      </c>
      <c r="G1844" s="22" t="s">
        <v>471</v>
      </c>
      <c r="H1844" s="23" t="n">
        <f aca="false">COUNTIF(CAL!U:AF,B1844)</f>
        <v>1</v>
      </c>
      <c r="I1844" s="22" t="n">
        <v>8</v>
      </c>
      <c r="J1844" s="20"/>
    </row>
    <row r="1845" customFormat="false" ht="15.75" hidden="false" customHeight="true" outlineLevel="0" collapsed="false">
      <c r="B1845" s="19" t="n">
        <v>2281</v>
      </c>
      <c r="C1845" s="20" t="s">
        <v>4021</v>
      </c>
      <c r="D1845" s="20" t="s">
        <v>32</v>
      </c>
      <c r="E1845" s="24" t="s">
        <v>4022</v>
      </c>
      <c r="F1845" s="21" t="n">
        <v>38164</v>
      </c>
      <c r="G1845" s="22" t="s">
        <v>471</v>
      </c>
      <c r="H1845" s="23" t="n">
        <f aca="false">COUNTIF(CAL!U:AF,B1845)</f>
        <v>1</v>
      </c>
      <c r="I1845" s="22" t="n">
        <v>8</v>
      </c>
      <c r="J1845" s="20"/>
    </row>
    <row r="1846" customFormat="false" ht="15.75" hidden="false" customHeight="true" outlineLevel="0" collapsed="false">
      <c r="B1846" s="19" t="n">
        <v>3494</v>
      </c>
      <c r="C1846" s="20" t="s">
        <v>4023</v>
      </c>
      <c r="D1846" s="20" t="s">
        <v>284</v>
      </c>
      <c r="E1846" s="21" t="s">
        <v>4024</v>
      </c>
      <c r="F1846" s="21" t="n">
        <v>38120</v>
      </c>
      <c r="G1846" s="22" t="s">
        <v>471</v>
      </c>
      <c r="H1846" s="23" t="n">
        <f aca="false">COUNTIF(CAL!U:AF,B1846)</f>
        <v>1</v>
      </c>
      <c r="I1846" s="22" t="n">
        <v>8</v>
      </c>
      <c r="J1846" s="20"/>
    </row>
    <row r="1847" customFormat="false" ht="15.75" hidden="false" customHeight="true" outlineLevel="0" collapsed="false">
      <c r="B1847" s="19" t="n">
        <v>1009</v>
      </c>
      <c r="C1847" s="20" t="s">
        <v>4025</v>
      </c>
      <c r="D1847" s="20" t="s">
        <v>47</v>
      </c>
      <c r="E1847" s="24" t="s">
        <v>4026</v>
      </c>
      <c r="F1847" s="21" t="n">
        <v>38040</v>
      </c>
      <c r="G1847" s="22" t="s">
        <v>471</v>
      </c>
      <c r="H1847" s="23" t="n">
        <f aca="false">COUNTIF(CAL!U:AF,B1847)</f>
        <v>1</v>
      </c>
      <c r="I1847" s="22" t="n">
        <v>8</v>
      </c>
      <c r="J1847" s="20"/>
    </row>
    <row r="1848" customFormat="false" ht="15.75" hidden="false" customHeight="true" outlineLevel="0" collapsed="false">
      <c r="B1848" s="19" t="n">
        <v>3232</v>
      </c>
      <c r="C1848" s="20" t="s">
        <v>1749</v>
      </c>
      <c r="D1848" s="20" t="s">
        <v>328</v>
      </c>
      <c r="E1848" s="21" t="s">
        <v>4027</v>
      </c>
      <c r="F1848" s="21" t="n">
        <v>37222</v>
      </c>
      <c r="G1848" s="22" t="s">
        <v>471</v>
      </c>
      <c r="H1848" s="23" t="n">
        <f aca="false">COUNTIF(CAL!U:AF,B1848)</f>
        <v>1</v>
      </c>
      <c r="I1848" s="22" t="n">
        <v>8</v>
      </c>
      <c r="J1848" s="20"/>
    </row>
    <row r="1849" customFormat="false" ht="15.75" hidden="false" customHeight="true" outlineLevel="0" collapsed="false">
      <c r="B1849" s="19" t="n">
        <v>2730</v>
      </c>
      <c r="C1849" s="20" t="s">
        <v>1749</v>
      </c>
      <c r="D1849" s="20" t="s">
        <v>337</v>
      </c>
      <c r="E1849" s="24" t="s">
        <v>4028</v>
      </c>
      <c r="F1849" s="21" t="n">
        <v>38361</v>
      </c>
      <c r="G1849" s="22" t="s">
        <v>471</v>
      </c>
      <c r="H1849" s="23" t="n">
        <f aca="false">COUNTIF(CAL!U:AF,B1849)</f>
        <v>1</v>
      </c>
      <c r="I1849" s="22" t="n">
        <v>8</v>
      </c>
      <c r="J1849" s="20"/>
    </row>
    <row r="1850" customFormat="false" ht="15.75" hidden="false" customHeight="true" outlineLevel="0" collapsed="false">
      <c r="B1850" s="19" t="n">
        <v>3254</v>
      </c>
      <c r="C1850" s="20" t="s">
        <v>4029</v>
      </c>
      <c r="D1850" s="20" t="s">
        <v>353</v>
      </c>
      <c r="E1850" s="21" t="s">
        <v>4030</v>
      </c>
      <c r="F1850" s="21" t="n">
        <v>36741</v>
      </c>
      <c r="G1850" s="22" t="s">
        <v>471</v>
      </c>
      <c r="H1850" s="23" t="n">
        <f aca="false">COUNTIF(CAL!U:AF,B1850)</f>
        <v>1</v>
      </c>
      <c r="I1850" s="22" t="n">
        <v>8</v>
      </c>
      <c r="J1850" s="20"/>
    </row>
    <row r="1851" customFormat="false" ht="15.75" hidden="false" customHeight="true" outlineLevel="0" collapsed="false">
      <c r="B1851" s="19" t="n">
        <v>2250</v>
      </c>
      <c r="C1851" s="20" t="s">
        <v>3070</v>
      </c>
      <c r="D1851" s="20" t="s">
        <v>53</v>
      </c>
      <c r="E1851" s="21" t="s">
        <v>4031</v>
      </c>
      <c r="F1851" s="21" t="n">
        <v>34526</v>
      </c>
      <c r="G1851" s="22" t="s">
        <v>471</v>
      </c>
      <c r="H1851" s="23" t="n">
        <f aca="false">COUNTIF(CAL!U:AF,B1851)</f>
        <v>1</v>
      </c>
      <c r="I1851" s="22" t="n">
        <v>8</v>
      </c>
      <c r="J1851" s="20"/>
    </row>
    <row r="1852" customFormat="false" ht="15.75" hidden="false" customHeight="true" outlineLevel="0" collapsed="false">
      <c r="B1852" s="19" t="n">
        <v>2979</v>
      </c>
      <c r="C1852" s="20" t="s">
        <v>4032</v>
      </c>
      <c r="D1852" s="20" t="s">
        <v>147</v>
      </c>
      <c r="E1852" s="24" t="s">
        <v>4033</v>
      </c>
      <c r="F1852" s="21" t="n">
        <v>35437</v>
      </c>
      <c r="G1852" s="22" t="s">
        <v>471</v>
      </c>
      <c r="H1852" s="23" t="n">
        <f aca="false">COUNTIF(CAL!U:AF,B1852)</f>
        <v>1</v>
      </c>
      <c r="I1852" s="22" t="n">
        <v>8</v>
      </c>
      <c r="J1852" s="20"/>
    </row>
    <row r="1853" customFormat="false" ht="15.75" hidden="false" customHeight="true" outlineLevel="0" collapsed="false">
      <c r="B1853" s="19" t="n">
        <v>3253</v>
      </c>
      <c r="C1853" s="20" t="s">
        <v>4034</v>
      </c>
      <c r="D1853" s="20" t="s">
        <v>353</v>
      </c>
      <c r="E1853" s="21" t="s">
        <v>4035</v>
      </c>
      <c r="F1853" s="21" t="n">
        <v>38159</v>
      </c>
      <c r="G1853" s="22" t="s">
        <v>471</v>
      </c>
      <c r="H1853" s="23" t="n">
        <f aca="false">COUNTIF(CAL!U:AF,B1853)</f>
        <v>1</v>
      </c>
      <c r="I1853" s="22" t="n">
        <v>8</v>
      </c>
      <c r="J1853" s="20"/>
    </row>
    <row r="1854" customFormat="false" ht="15.75" hidden="false" customHeight="true" outlineLevel="0" collapsed="false">
      <c r="B1854" s="19" t="n">
        <v>1903</v>
      </c>
      <c r="C1854" s="20" t="s">
        <v>4036</v>
      </c>
      <c r="D1854" s="20" t="s">
        <v>73</v>
      </c>
      <c r="E1854" s="21" t="s">
        <v>4037</v>
      </c>
      <c r="F1854" s="21" t="n">
        <v>34316</v>
      </c>
      <c r="G1854" s="22" t="s">
        <v>471</v>
      </c>
      <c r="H1854" s="23" t="n">
        <f aca="false">COUNTIF(CAL!U:AF,B1854)</f>
        <v>1</v>
      </c>
      <c r="I1854" s="22" t="n">
        <v>8</v>
      </c>
      <c r="J1854" s="20"/>
    </row>
    <row r="1855" customFormat="false" ht="15.75" hidden="false" customHeight="true" outlineLevel="0" collapsed="false">
      <c r="B1855" s="19" t="n">
        <v>2295</v>
      </c>
      <c r="C1855" s="20" t="s">
        <v>4038</v>
      </c>
      <c r="D1855" s="20" t="s">
        <v>83</v>
      </c>
      <c r="E1855" s="24" t="s">
        <v>4039</v>
      </c>
      <c r="F1855" s="21" t="n">
        <v>32713</v>
      </c>
      <c r="G1855" s="22" t="s">
        <v>471</v>
      </c>
      <c r="H1855" s="23" t="n">
        <f aca="false">COUNTIF(CAL!U:AF,B1855)</f>
        <v>1</v>
      </c>
      <c r="I1855" s="22" t="n">
        <v>8</v>
      </c>
      <c r="J1855" s="20"/>
    </row>
    <row r="1856" customFormat="false" ht="15.75" hidden="false" customHeight="true" outlineLevel="0" collapsed="false">
      <c r="B1856" s="19" t="n">
        <v>2688</v>
      </c>
      <c r="C1856" s="20" t="s">
        <v>4040</v>
      </c>
      <c r="D1856" s="20" t="s">
        <v>131</v>
      </c>
      <c r="E1856" s="21" t="s">
        <v>4041</v>
      </c>
      <c r="F1856" s="21" t="n">
        <v>38205</v>
      </c>
      <c r="G1856" s="22" t="s">
        <v>471</v>
      </c>
      <c r="H1856" s="23" t="n">
        <f aca="false">COUNTIF(CAL!U:AF,B1856)</f>
        <v>1</v>
      </c>
      <c r="I1856" s="22" t="n">
        <v>8</v>
      </c>
      <c r="J1856" s="20"/>
    </row>
    <row r="1857" customFormat="false" ht="15.75" hidden="false" customHeight="true" outlineLevel="0" collapsed="false">
      <c r="B1857" s="19" t="n">
        <v>3512</v>
      </c>
      <c r="C1857" s="20" t="s">
        <v>4042</v>
      </c>
      <c r="D1857" s="20" t="s">
        <v>372</v>
      </c>
      <c r="E1857" s="21" t="s">
        <v>4043</v>
      </c>
      <c r="F1857" s="21" t="n">
        <v>38001</v>
      </c>
      <c r="G1857" s="22" t="s">
        <v>471</v>
      </c>
      <c r="H1857" s="23" t="n">
        <f aca="false">COUNTIF(CAL!U:AF,B1857)</f>
        <v>1</v>
      </c>
      <c r="I1857" s="22" t="n">
        <v>8</v>
      </c>
      <c r="J1857" s="20"/>
    </row>
    <row r="1858" customFormat="false" ht="15.75" hidden="false" customHeight="true" outlineLevel="0" collapsed="false">
      <c r="B1858" s="19" t="n">
        <v>2802</v>
      </c>
      <c r="C1858" s="20" t="s">
        <v>4044</v>
      </c>
      <c r="D1858" s="20" t="s">
        <v>186</v>
      </c>
      <c r="E1858" s="21" t="s">
        <v>4045</v>
      </c>
      <c r="F1858" s="21" t="n">
        <v>38403</v>
      </c>
      <c r="G1858" s="22" t="s">
        <v>471</v>
      </c>
      <c r="H1858" s="23" t="n">
        <f aca="false">COUNTIF(CAL!U:AF,B1858)</f>
        <v>1</v>
      </c>
      <c r="I1858" s="22" t="n">
        <v>8</v>
      </c>
      <c r="J1858" s="20"/>
    </row>
    <row r="1859" customFormat="false" ht="15.75" hidden="false" customHeight="true" outlineLevel="0" collapsed="false">
      <c r="B1859" s="19" t="n">
        <v>2191</v>
      </c>
      <c r="C1859" s="20" t="s">
        <v>4046</v>
      </c>
      <c r="D1859" s="20" t="s">
        <v>295</v>
      </c>
      <c r="E1859" s="24" t="s">
        <v>4047</v>
      </c>
      <c r="F1859" s="21" t="n">
        <v>38497</v>
      </c>
      <c r="G1859" s="22" t="s">
        <v>471</v>
      </c>
      <c r="H1859" s="23" t="n">
        <f aca="false">COUNTIF(CAL!U:AF,B1859)</f>
        <v>1</v>
      </c>
      <c r="I1859" s="22" t="n">
        <v>8</v>
      </c>
      <c r="J1859" s="20" t="s">
        <v>3325</v>
      </c>
    </row>
    <row r="1860" customFormat="false" ht="15.75" hidden="false" customHeight="true" outlineLevel="0" collapsed="false">
      <c r="B1860" s="19" t="n">
        <v>3208</v>
      </c>
      <c r="C1860" s="20" t="s">
        <v>4048</v>
      </c>
      <c r="D1860" s="20" t="s">
        <v>360</v>
      </c>
      <c r="E1860" s="24" t="s">
        <v>4049</v>
      </c>
      <c r="F1860" s="21" t="n">
        <v>36955</v>
      </c>
      <c r="G1860" s="22" t="s">
        <v>471</v>
      </c>
      <c r="H1860" s="23" t="n">
        <f aca="false">COUNTIF(CAL!U:AF,B1860)</f>
        <v>1</v>
      </c>
      <c r="I1860" s="22" t="n">
        <v>8</v>
      </c>
      <c r="J1860" s="20"/>
    </row>
    <row r="1861" customFormat="false" ht="15.75" hidden="false" customHeight="true" outlineLevel="0" collapsed="false">
      <c r="B1861" s="19" t="n">
        <v>1093</v>
      </c>
      <c r="C1861" s="20" t="s">
        <v>4050</v>
      </c>
      <c r="D1861" s="20" t="s">
        <v>78</v>
      </c>
      <c r="E1861" s="21" t="s">
        <v>4051</v>
      </c>
      <c r="F1861" s="21" t="n">
        <v>33788</v>
      </c>
      <c r="G1861" s="22" t="s">
        <v>471</v>
      </c>
      <c r="H1861" s="23" t="n">
        <f aca="false">COUNTIF(CAL!U:AF,B1861)</f>
        <v>1</v>
      </c>
      <c r="I1861" s="22" t="n">
        <v>8</v>
      </c>
      <c r="J1861" s="20"/>
    </row>
    <row r="1862" customFormat="false" ht="15.75" hidden="false" customHeight="true" outlineLevel="0" collapsed="false">
      <c r="B1862" s="19" t="n">
        <v>3093</v>
      </c>
      <c r="C1862" s="20" t="s">
        <v>4052</v>
      </c>
      <c r="D1862" s="20" t="s">
        <v>292</v>
      </c>
      <c r="E1862" s="21" t="s">
        <v>4053</v>
      </c>
      <c r="F1862" s="21" t="n">
        <v>34548</v>
      </c>
      <c r="G1862" s="22" t="s">
        <v>471</v>
      </c>
      <c r="H1862" s="23" t="n">
        <f aca="false">COUNTIF(CAL!U:AF,B1862)</f>
        <v>1</v>
      </c>
      <c r="I1862" s="22" t="n">
        <v>8</v>
      </c>
      <c r="J1862" s="20"/>
    </row>
    <row r="1863" customFormat="false" ht="15.75" hidden="false" customHeight="true" outlineLevel="0" collapsed="false">
      <c r="B1863" s="19" t="n">
        <v>3394</v>
      </c>
      <c r="C1863" s="20" t="s">
        <v>754</v>
      </c>
      <c r="D1863" s="20" t="s">
        <v>321</v>
      </c>
      <c r="E1863" s="21" t="s">
        <v>4054</v>
      </c>
      <c r="F1863" s="21" t="n">
        <v>36467</v>
      </c>
      <c r="G1863" s="22" t="s">
        <v>471</v>
      </c>
      <c r="H1863" s="23" t="n">
        <f aca="false">COUNTIF(CAL!U:AF,B1863)</f>
        <v>1</v>
      </c>
      <c r="I1863" s="22" t="n">
        <v>8</v>
      </c>
      <c r="J1863" s="20"/>
    </row>
    <row r="1864" customFormat="false" ht="15.75" hidden="false" customHeight="true" outlineLevel="0" collapsed="false">
      <c r="B1864" s="19" t="n">
        <v>3334</v>
      </c>
      <c r="C1864" s="20" t="s">
        <v>4055</v>
      </c>
      <c r="D1864" s="20" t="s">
        <v>178</v>
      </c>
      <c r="E1864" s="21" t="s">
        <v>4056</v>
      </c>
      <c r="F1864" s="21" t="n">
        <v>38325</v>
      </c>
      <c r="G1864" s="22" t="s">
        <v>471</v>
      </c>
      <c r="H1864" s="23" t="n">
        <f aca="false">COUNTIF(CAL!U:AF,B1864)</f>
        <v>1</v>
      </c>
      <c r="I1864" s="22" t="n">
        <v>8</v>
      </c>
      <c r="J1864" s="20"/>
    </row>
    <row r="1865" customFormat="false" ht="15.75" hidden="false" customHeight="true" outlineLevel="0" collapsed="false">
      <c r="B1865" s="19" t="n">
        <v>2406</v>
      </c>
      <c r="C1865" s="20" t="s">
        <v>4057</v>
      </c>
      <c r="D1865" s="20" t="s">
        <v>69</v>
      </c>
      <c r="E1865" s="21" t="s">
        <v>4058</v>
      </c>
      <c r="F1865" s="21" t="n">
        <v>35138</v>
      </c>
      <c r="G1865" s="22" t="s">
        <v>471</v>
      </c>
      <c r="H1865" s="23" t="n">
        <f aca="false">COUNTIF(CAL!U:AF,B1865)</f>
        <v>1</v>
      </c>
      <c r="I1865" s="22" t="n">
        <v>8</v>
      </c>
      <c r="J1865" s="20"/>
    </row>
    <row r="1866" customFormat="false" ht="15.75" hidden="false" customHeight="true" outlineLevel="0" collapsed="false">
      <c r="B1866" s="19" t="n">
        <v>3562</v>
      </c>
      <c r="C1866" s="20" t="s">
        <v>4059</v>
      </c>
      <c r="D1866" s="20" t="s">
        <v>32</v>
      </c>
      <c r="E1866" s="21" t="s">
        <v>4060</v>
      </c>
      <c r="F1866" s="21" t="n">
        <v>33419</v>
      </c>
      <c r="G1866" s="22" t="s">
        <v>471</v>
      </c>
      <c r="H1866" s="23" t="n">
        <f aca="false">COUNTIF(CAL!U:AF,B1866)</f>
        <v>1</v>
      </c>
      <c r="I1866" s="22" t="n">
        <v>8</v>
      </c>
      <c r="J1866" s="20"/>
    </row>
    <row r="1867" customFormat="false" ht="15.75" hidden="false" customHeight="true" outlineLevel="0" collapsed="false">
      <c r="B1867" s="19" t="n">
        <v>3410</v>
      </c>
      <c r="C1867" s="20" t="s">
        <v>4061</v>
      </c>
      <c r="D1867" s="20" t="s">
        <v>67</v>
      </c>
      <c r="E1867" s="24" t="s">
        <v>4062</v>
      </c>
      <c r="F1867" s="21" t="n">
        <v>31981</v>
      </c>
      <c r="G1867" s="22" t="s">
        <v>471</v>
      </c>
      <c r="H1867" s="23" t="n">
        <f aca="false">COUNTIF(CAL!U:AF,B1867)</f>
        <v>1</v>
      </c>
      <c r="I1867" s="22" t="n">
        <v>8</v>
      </c>
      <c r="J1867" s="20"/>
    </row>
    <row r="1868" customFormat="false" ht="15.75" hidden="false" customHeight="true" outlineLevel="0" collapsed="false">
      <c r="B1868" s="19" t="n">
        <v>2866</v>
      </c>
      <c r="C1868" s="20" t="s">
        <v>693</v>
      </c>
      <c r="D1868" s="20" t="s">
        <v>70</v>
      </c>
      <c r="E1868" s="24" t="s">
        <v>4063</v>
      </c>
      <c r="F1868" s="21" t="n">
        <v>35812</v>
      </c>
      <c r="G1868" s="22" t="s">
        <v>471</v>
      </c>
      <c r="H1868" s="23" t="n">
        <f aca="false">COUNTIF(CAL!U:AF,B1868)</f>
        <v>1</v>
      </c>
      <c r="I1868" s="22" t="n">
        <v>8</v>
      </c>
      <c r="J1868" s="20"/>
    </row>
    <row r="1869" customFormat="false" ht="15.75" hidden="false" customHeight="true" outlineLevel="0" collapsed="false">
      <c r="B1869" s="19" t="n">
        <v>2851</v>
      </c>
      <c r="C1869" s="20" t="s">
        <v>3792</v>
      </c>
      <c r="D1869" s="20" t="s">
        <v>51</v>
      </c>
      <c r="E1869" s="24" t="s">
        <v>4064</v>
      </c>
      <c r="F1869" s="21" t="n">
        <v>32400</v>
      </c>
      <c r="G1869" s="22" t="s">
        <v>471</v>
      </c>
      <c r="H1869" s="23" t="n">
        <f aca="false">COUNTIF(CAL!U:AF,B1869)</f>
        <v>1</v>
      </c>
      <c r="I1869" s="22" t="n">
        <v>8</v>
      </c>
      <c r="J1869" s="20"/>
    </row>
    <row r="1870" customFormat="false" ht="15.75" hidden="false" customHeight="true" outlineLevel="0" collapsed="false">
      <c r="B1870" s="19" t="n">
        <v>3019</v>
      </c>
      <c r="C1870" s="20" t="s">
        <v>4065</v>
      </c>
      <c r="D1870" s="20" t="s">
        <v>173</v>
      </c>
      <c r="E1870" s="21" t="s">
        <v>4066</v>
      </c>
      <c r="F1870" s="21" t="n">
        <v>35417</v>
      </c>
      <c r="G1870" s="22" t="s">
        <v>471</v>
      </c>
      <c r="H1870" s="23" t="n">
        <f aca="false">COUNTIF(CAL!U:AF,B1870)</f>
        <v>1</v>
      </c>
      <c r="I1870" s="22" t="n">
        <v>8</v>
      </c>
      <c r="J1870" s="20"/>
    </row>
    <row r="1871" customFormat="false" ht="15.75" hidden="false" customHeight="true" outlineLevel="0" collapsed="false">
      <c r="B1871" s="19" t="n">
        <v>1951</v>
      </c>
      <c r="C1871" s="20" t="s">
        <v>4067</v>
      </c>
      <c r="D1871" s="20" t="s">
        <v>280</v>
      </c>
      <c r="E1871" s="21" t="s">
        <v>4068</v>
      </c>
      <c r="F1871" s="21" t="n">
        <v>37150</v>
      </c>
      <c r="G1871" s="22" t="s">
        <v>471</v>
      </c>
      <c r="H1871" s="23" t="n">
        <f aca="false">COUNTIF(CAL!U:AF,B1871)</f>
        <v>1</v>
      </c>
      <c r="I1871" s="22" t="n">
        <v>8</v>
      </c>
      <c r="J1871" s="20"/>
    </row>
    <row r="1872" customFormat="false" ht="15.75" hidden="false" customHeight="true" outlineLevel="0" collapsed="false">
      <c r="B1872" s="19" t="n">
        <v>1610</v>
      </c>
      <c r="C1872" s="20" t="s">
        <v>1289</v>
      </c>
      <c r="D1872" s="20" t="s">
        <v>65</v>
      </c>
      <c r="E1872" s="24" t="s">
        <v>4069</v>
      </c>
      <c r="F1872" s="21" t="n">
        <v>38471</v>
      </c>
      <c r="G1872" s="22" t="s">
        <v>471</v>
      </c>
      <c r="H1872" s="23" t="n">
        <f aca="false">COUNTIF(CAL!U:AF,B1872)</f>
        <v>1</v>
      </c>
      <c r="I1872" s="22" t="n">
        <v>8</v>
      </c>
      <c r="J1872" s="20"/>
    </row>
    <row r="1873" customFormat="false" ht="15.75" hidden="false" customHeight="true" outlineLevel="0" collapsed="false">
      <c r="B1873" s="19" t="n">
        <v>1661</v>
      </c>
      <c r="C1873" s="20" t="s">
        <v>4070</v>
      </c>
      <c r="D1873" s="20" t="s">
        <v>88</v>
      </c>
      <c r="E1873" s="21" t="s">
        <v>4071</v>
      </c>
      <c r="F1873" s="21" t="n">
        <v>36075</v>
      </c>
      <c r="G1873" s="22" t="s">
        <v>471</v>
      </c>
      <c r="H1873" s="23" t="n">
        <f aca="false">COUNTIF(CAL!U:AF,B1873)</f>
        <v>1</v>
      </c>
      <c r="I1873" s="22" t="n">
        <v>8</v>
      </c>
      <c r="J1873" s="20"/>
    </row>
    <row r="1874" customFormat="false" ht="15.75" hidden="false" customHeight="true" outlineLevel="0" collapsed="false">
      <c r="B1874" s="19" t="n">
        <v>2062</v>
      </c>
      <c r="C1874" s="20" t="s">
        <v>4072</v>
      </c>
      <c r="D1874" s="20" t="s">
        <v>188</v>
      </c>
      <c r="E1874" s="21" t="s">
        <v>4073</v>
      </c>
      <c r="F1874" s="21" t="n">
        <v>37487</v>
      </c>
      <c r="G1874" s="22" t="s">
        <v>471</v>
      </c>
      <c r="H1874" s="23" t="n">
        <f aca="false">COUNTIF(CAL!U:AF,B1874)</f>
        <v>1</v>
      </c>
      <c r="I1874" s="22" t="n">
        <v>8</v>
      </c>
      <c r="J1874" s="20"/>
    </row>
    <row r="1875" customFormat="false" ht="15.75" hidden="false" customHeight="true" outlineLevel="0" collapsed="false">
      <c r="B1875" s="19" t="n">
        <v>2785</v>
      </c>
      <c r="C1875" s="20" t="s">
        <v>4074</v>
      </c>
      <c r="D1875" s="20" t="s">
        <v>332</v>
      </c>
      <c r="E1875" s="21" t="s">
        <v>4075</v>
      </c>
      <c r="F1875" s="21" t="n">
        <v>39004</v>
      </c>
      <c r="G1875" s="22" t="s">
        <v>471</v>
      </c>
      <c r="H1875" s="23" t="n">
        <f aca="false">COUNTIF(CAL!U:AF,B1875)</f>
        <v>1</v>
      </c>
      <c r="I1875" s="22" t="n">
        <v>8</v>
      </c>
      <c r="J1875" s="20"/>
    </row>
    <row r="1876" customFormat="false" ht="15.75" hidden="false" customHeight="true" outlineLevel="0" collapsed="false">
      <c r="B1876" s="19" t="n">
        <v>2050</v>
      </c>
      <c r="C1876" s="20" t="s">
        <v>4076</v>
      </c>
      <c r="D1876" s="20" t="s">
        <v>333</v>
      </c>
      <c r="E1876" s="21" t="s">
        <v>4077</v>
      </c>
      <c r="F1876" s="21" t="n">
        <v>35879</v>
      </c>
      <c r="G1876" s="22" t="s">
        <v>471</v>
      </c>
      <c r="H1876" s="23" t="n">
        <f aca="false">COUNTIF(CAL!U:AF,B1876)</f>
        <v>1</v>
      </c>
      <c r="I1876" s="22" t="n">
        <v>8</v>
      </c>
      <c r="J1876" s="20"/>
    </row>
    <row r="1877" customFormat="false" ht="15.75" hidden="false" customHeight="true" outlineLevel="0" collapsed="false">
      <c r="B1877" s="19" t="n">
        <v>1136</v>
      </c>
      <c r="C1877" s="20" t="s">
        <v>4078</v>
      </c>
      <c r="D1877" s="20" t="s">
        <v>234</v>
      </c>
      <c r="E1877" s="21" t="s">
        <v>4079</v>
      </c>
      <c r="F1877" s="21" t="n">
        <v>33615</v>
      </c>
      <c r="G1877" s="22" t="s">
        <v>481</v>
      </c>
      <c r="H1877" s="23" t="n">
        <f aca="false">COUNTIF(CAL!U:AF,B1877)</f>
        <v>1</v>
      </c>
      <c r="I1877" s="22" t="n">
        <v>8</v>
      </c>
      <c r="J1877" s="20"/>
    </row>
    <row r="1878" customFormat="false" ht="15.75" hidden="false" customHeight="true" outlineLevel="0" collapsed="false">
      <c r="B1878" s="19" t="n">
        <v>2845</v>
      </c>
      <c r="C1878" s="20" t="s">
        <v>1204</v>
      </c>
      <c r="D1878" s="20" t="s">
        <v>263</v>
      </c>
      <c r="E1878" s="24" t="s">
        <v>4080</v>
      </c>
      <c r="F1878" s="21" t="n">
        <v>38117</v>
      </c>
      <c r="G1878" s="22" t="s">
        <v>471</v>
      </c>
      <c r="H1878" s="23" t="n">
        <f aca="false">COUNTIF(CAL!U:AF,B1878)</f>
        <v>1</v>
      </c>
      <c r="I1878" s="22" t="n">
        <v>8</v>
      </c>
      <c r="J1878" s="20"/>
    </row>
    <row r="1879" customFormat="false" ht="15.75" hidden="false" customHeight="true" outlineLevel="0" collapsed="false">
      <c r="B1879" s="19" t="n">
        <v>3590</v>
      </c>
      <c r="C1879" s="20" t="s">
        <v>4081</v>
      </c>
      <c r="D1879" s="20" t="s">
        <v>38</v>
      </c>
      <c r="E1879" s="21" t="s">
        <v>4082</v>
      </c>
      <c r="F1879" s="21" t="n">
        <v>34470</v>
      </c>
      <c r="G1879" s="22" t="s">
        <v>471</v>
      </c>
      <c r="H1879" s="23" t="n">
        <f aca="false">COUNTIF(CAL!U:AF,B1879)</f>
        <v>1</v>
      </c>
      <c r="I1879" s="22" t="n">
        <v>8</v>
      </c>
      <c r="J1879" s="20"/>
    </row>
    <row r="1880" customFormat="false" ht="15.75" hidden="false" customHeight="true" outlineLevel="0" collapsed="false">
      <c r="B1880" s="19" t="n">
        <v>1832</v>
      </c>
      <c r="C1880" s="20" t="s">
        <v>602</v>
      </c>
      <c r="D1880" s="20" t="s">
        <v>315</v>
      </c>
      <c r="E1880" s="21" t="s">
        <v>4083</v>
      </c>
      <c r="F1880" s="21" t="n">
        <v>36664</v>
      </c>
      <c r="G1880" s="22" t="s">
        <v>471</v>
      </c>
      <c r="H1880" s="23" t="n">
        <f aca="false">COUNTIF(CAL!U:AF,B1880)</f>
        <v>1</v>
      </c>
      <c r="I1880" s="22" t="n">
        <v>8</v>
      </c>
      <c r="J1880" s="20"/>
    </row>
    <row r="1881" customFormat="false" ht="15.75" hidden="false" customHeight="true" outlineLevel="0" collapsed="false">
      <c r="B1881" s="19" t="n">
        <v>3125</v>
      </c>
      <c r="C1881" s="20" t="s">
        <v>4084</v>
      </c>
      <c r="D1881" s="20" t="s">
        <v>269</v>
      </c>
      <c r="E1881" s="21" t="s">
        <v>4085</v>
      </c>
      <c r="F1881" s="21" t="n">
        <v>38701</v>
      </c>
      <c r="G1881" s="22" t="s">
        <v>471</v>
      </c>
      <c r="H1881" s="23" t="n">
        <f aca="false">COUNTIF(CAL!U:AF,B1881)</f>
        <v>1</v>
      </c>
      <c r="I1881" s="22" t="n">
        <v>8</v>
      </c>
      <c r="J1881" s="20"/>
    </row>
    <row r="1882" customFormat="false" ht="15.75" hidden="false" customHeight="true" outlineLevel="0" collapsed="false">
      <c r="B1882" s="19" t="n">
        <v>2219</v>
      </c>
      <c r="C1882" s="20" t="s">
        <v>4086</v>
      </c>
      <c r="D1882" s="20" t="s">
        <v>279</v>
      </c>
      <c r="E1882" s="21" t="s">
        <v>4087</v>
      </c>
      <c r="F1882" s="21" t="n">
        <v>36599</v>
      </c>
      <c r="G1882" s="22" t="s">
        <v>471</v>
      </c>
      <c r="H1882" s="23" t="n">
        <f aca="false">COUNTIF(CAL!U:AF,B1882)</f>
        <v>1</v>
      </c>
      <c r="I1882" s="22" t="n">
        <v>8</v>
      </c>
      <c r="J1882" s="20"/>
    </row>
    <row r="1883" customFormat="false" ht="15.75" hidden="false" customHeight="true" outlineLevel="0" collapsed="false">
      <c r="B1883" s="19" t="n">
        <v>3142</v>
      </c>
      <c r="C1883" s="20" t="s">
        <v>4088</v>
      </c>
      <c r="D1883" s="20" t="s">
        <v>301</v>
      </c>
      <c r="E1883" s="21" t="s">
        <v>4089</v>
      </c>
      <c r="F1883" s="21" t="n">
        <v>37908</v>
      </c>
      <c r="G1883" s="22" t="s">
        <v>471</v>
      </c>
      <c r="H1883" s="23" t="n">
        <f aca="false">COUNTIF(CAL!U:AF,B1883)</f>
        <v>1</v>
      </c>
      <c r="I1883" s="22" t="n">
        <v>8</v>
      </c>
      <c r="J1883" s="20"/>
    </row>
    <row r="1884" customFormat="false" ht="15.75" hidden="false" customHeight="true" outlineLevel="0" collapsed="false">
      <c r="B1884" s="19" t="n">
        <v>2626</v>
      </c>
      <c r="C1884" s="20" t="s">
        <v>4090</v>
      </c>
      <c r="D1884" s="20" t="s">
        <v>174</v>
      </c>
      <c r="E1884" s="21" t="s">
        <v>4091</v>
      </c>
      <c r="F1884" s="21" t="n">
        <v>36259</v>
      </c>
      <c r="G1884" s="22" t="s">
        <v>471</v>
      </c>
      <c r="H1884" s="23" t="n">
        <f aca="false">COUNTIF(CAL!U:AF,B1884)</f>
        <v>1</v>
      </c>
      <c r="I1884" s="22" t="n">
        <v>8</v>
      </c>
      <c r="J1884" s="20" t="s">
        <v>3344</v>
      </c>
    </row>
    <row r="1885" customFormat="false" ht="15.75" hidden="false" customHeight="true" outlineLevel="0" collapsed="false">
      <c r="B1885" s="19" t="n">
        <v>2570</v>
      </c>
      <c r="C1885" s="20" t="s">
        <v>4092</v>
      </c>
      <c r="D1885" s="20" t="s">
        <v>57</v>
      </c>
      <c r="E1885" s="21" t="s">
        <v>4093</v>
      </c>
      <c r="F1885" s="21" t="n">
        <v>38225</v>
      </c>
      <c r="G1885" s="22" t="s">
        <v>471</v>
      </c>
      <c r="H1885" s="23" t="n">
        <f aca="false">COUNTIF(CAL!U:AF,B1885)</f>
        <v>1</v>
      </c>
      <c r="I1885" s="22" t="n">
        <v>8</v>
      </c>
      <c r="J1885" s="20"/>
    </row>
    <row r="1886" customFormat="false" ht="15.75" hidden="false" customHeight="true" outlineLevel="0" collapsed="false">
      <c r="B1886" s="19" t="n">
        <v>1269</v>
      </c>
      <c r="C1886" s="20" t="s">
        <v>4094</v>
      </c>
      <c r="D1886" s="20" t="s">
        <v>64</v>
      </c>
      <c r="E1886" s="21" t="s">
        <v>4095</v>
      </c>
      <c r="F1886" s="21" t="n">
        <v>37313</v>
      </c>
      <c r="G1886" s="22" t="s">
        <v>471</v>
      </c>
      <c r="H1886" s="23" t="n">
        <f aca="false">COUNTIF(CAL!U:AF,B1886)</f>
        <v>1</v>
      </c>
      <c r="I1886" s="22" t="n">
        <v>8</v>
      </c>
      <c r="J1886" s="20"/>
    </row>
    <row r="1887" customFormat="false" ht="15.75" hidden="false" customHeight="true" outlineLevel="0" collapsed="false">
      <c r="B1887" s="19" t="n">
        <v>1259</v>
      </c>
      <c r="C1887" s="20" t="s">
        <v>4096</v>
      </c>
      <c r="D1887" s="20" t="s">
        <v>117</v>
      </c>
      <c r="E1887" s="24" t="s">
        <v>4097</v>
      </c>
      <c r="F1887" s="21" t="n">
        <v>37632</v>
      </c>
      <c r="G1887" s="22" t="s">
        <v>471</v>
      </c>
      <c r="H1887" s="23" t="n">
        <f aca="false">COUNTIF(CAL!U:AF,B1887)</f>
        <v>1</v>
      </c>
      <c r="I1887" s="22" t="n">
        <v>8</v>
      </c>
      <c r="J1887" s="20"/>
    </row>
    <row r="1888" customFormat="false" ht="15.75" hidden="false" customHeight="true" outlineLevel="0" collapsed="false">
      <c r="B1888" s="19" t="n">
        <v>2467</v>
      </c>
      <c r="C1888" s="20" t="s">
        <v>4098</v>
      </c>
      <c r="D1888" s="20" t="s">
        <v>232</v>
      </c>
      <c r="E1888" s="21" t="s">
        <v>4099</v>
      </c>
      <c r="F1888" s="21" t="n">
        <v>36098</v>
      </c>
      <c r="G1888" s="22" t="s">
        <v>471</v>
      </c>
      <c r="H1888" s="23" t="n">
        <f aca="false">COUNTIF(CAL!U:AF,B1888)</f>
        <v>1</v>
      </c>
      <c r="I1888" s="22" t="n">
        <v>8</v>
      </c>
      <c r="J1888" s="20"/>
    </row>
    <row r="1889" customFormat="false" ht="15.75" hidden="false" customHeight="true" outlineLevel="0" collapsed="false">
      <c r="B1889" s="19" t="n">
        <v>3148</v>
      </c>
      <c r="C1889" s="20" t="s">
        <v>4100</v>
      </c>
      <c r="D1889" s="20" t="s">
        <v>293</v>
      </c>
      <c r="E1889" s="21" t="s">
        <v>4101</v>
      </c>
      <c r="F1889" s="21" t="n">
        <v>34817</v>
      </c>
      <c r="G1889" s="22" t="s">
        <v>471</v>
      </c>
      <c r="H1889" s="23" t="n">
        <f aca="false">COUNTIF(CAL!U:AF,B1889)</f>
        <v>1</v>
      </c>
      <c r="I1889" s="22" t="n">
        <v>8</v>
      </c>
      <c r="J1889" s="20"/>
    </row>
    <row r="1890" customFormat="false" ht="15.75" hidden="false" customHeight="true" outlineLevel="0" collapsed="false">
      <c r="B1890" s="19" t="n">
        <v>2429</v>
      </c>
      <c r="C1890" s="20" t="s">
        <v>4102</v>
      </c>
      <c r="D1890" s="20" t="s">
        <v>102</v>
      </c>
      <c r="E1890" s="21" t="s">
        <v>4103</v>
      </c>
      <c r="F1890" s="21" t="n">
        <v>38068</v>
      </c>
      <c r="G1890" s="22" t="s">
        <v>471</v>
      </c>
      <c r="H1890" s="23" t="n">
        <f aca="false">COUNTIF(CAL!U:AF,B1890)</f>
        <v>1</v>
      </c>
      <c r="I1890" s="22" t="n">
        <v>8</v>
      </c>
      <c r="J1890" s="20"/>
    </row>
    <row r="1891" customFormat="false" ht="15.75" hidden="false" customHeight="true" outlineLevel="0" collapsed="false">
      <c r="B1891" s="19" t="n">
        <v>1490</v>
      </c>
      <c r="C1891" s="20" t="s">
        <v>1415</v>
      </c>
      <c r="D1891" s="20" t="s">
        <v>280</v>
      </c>
      <c r="E1891" s="21" t="s">
        <v>4104</v>
      </c>
      <c r="F1891" s="21" t="n">
        <v>37255</v>
      </c>
      <c r="G1891" s="22" t="s">
        <v>471</v>
      </c>
      <c r="H1891" s="23" t="n">
        <f aca="false">COUNTIF(CAL!U:AF,B1891)</f>
        <v>1</v>
      </c>
      <c r="I1891" s="22" t="n">
        <v>8</v>
      </c>
      <c r="J1891" s="20"/>
    </row>
    <row r="1892" customFormat="false" ht="15.75" hidden="false" customHeight="true" outlineLevel="0" collapsed="false">
      <c r="B1892" s="19" t="n">
        <v>1742</v>
      </c>
      <c r="C1892" s="20" t="s">
        <v>3585</v>
      </c>
      <c r="D1892" s="20" t="s">
        <v>73</v>
      </c>
      <c r="E1892" s="21" t="s">
        <v>4105</v>
      </c>
      <c r="F1892" s="21" t="n">
        <v>34022</v>
      </c>
      <c r="G1892" s="22" t="s">
        <v>471</v>
      </c>
      <c r="H1892" s="23" t="n">
        <f aca="false">COUNTIF(CAL!U:AF,B1892)</f>
        <v>1</v>
      </c>
      <c r="I1892" s="22" t="n">
        <v>8</v>
      </c>
      <c r="J1892" s="20"/>
    </row>
    <row r="1893" customFormat="false" ht="15.75" hidden="false" customHeight="true" outlineLevel="0" collapsed="false">
      <c r="B1893" s="19" t="n">
        <v>1155</v>
      </c>
      <c r="C1893" s="20" t="s">
        <v>786</v>
      </c>
      <c r="D1893" s="20" t="s">
        <v>64</v>
      </c>
      <c r="E1893" s="21" t="s">
        <v>4106</v>
      </c>
      <c r="F1893" s="21" t="n">
        <v>34331</v>
      </c>
      <c r="G1893" s="22" t="s">
        <v>471</v>
      </c>
      <c r="H1893" s="23" t="n">
        <f aca="false">COUNTIF(CAL!U:AF,B1893)</f>
        <v>1</v>
      </c>
      <c r="I1893" s="22" t="n">
        <v>8</v>
      </c>
      <c r="J1893" s="20"/>
    </row>
    <row r="1894" customFormat="false" ht="15.75" hidden="false" customHeight="true" outlineLevel="0" collapsed="false">
      <c r="B1894" s="19" t="n">
        <v>2060</v>
      </c>
      <c r="C1894" s="20" t="s">
        <v>4107</v>
      </c>
      <c r="D1894" s="20" t="s">
        <v>43</v>
      </c>
      <c r="E1894" s="21" t="s">
        <v>4108</v>
      </c>
      <c r="F1894" s="21" t="n">
        <v>35747</v>
      </c>
      <c r="G1894" s="22" t="s">
        <v>471</v>
      </c>
      <c r="H1894" s="23" t="n">
        <f aca="false">COUNTIF(CAL!U:AF,B1894)</f>
        <v>1</v>
      </c>
      <c r="I1894" s="22" t="n">
        <v>8</v>
      </c>
      <c r="J1894" s="20"/>
    </row>
    <row r="1895" customFormat="false" ht="15.75" hidden="false" customHeight="true" outlineLevel="0" collapsed="false">
      <c r="B1895" s="19" t="n">
        <v>1353</v>
      </c>
      <c r="C1895" s="20" t="s">
        <v>4109</v>
      </c>
      <c r="D1895" s="20" t="s">
        <v>241</v>
      </c>
      <c r="E1895" s="21" t="s">
        <v>4110</v>
      </c>
      <c r="F1895" s="21" t="n">
        <v>36332</v>
      </c>
      <c r="G1895" s="22" t="s">
        <v>471</v>
      </c>
      <c r="H1895" s="23" t="n">
        <f aca="false">COUNTIF(CAL!U:AF,B1895)</f>
        <v>1</v>
      </c>
      <c r="I1895" s="22" t="n">
        <v>8</v>
      </c>
      <c r="J1895" s="20"/>
    </row>
    <row r="1896" customFormat="false" ht="15.75" hidden="false" customHeight="true" outlineLevel="0" collapsed="false">
      <c r="B1896" s="19" t="n">
        <v>1306</v>
      </c>
      <c r="C1896" s="20" t="s">
        <v>4111</v>
      </c>
      <c r="D1896" s="20" t="s">
        <v>83</v>
      </c>
      <c r="E1896" s="24" t="s">
        <v>4112</v>
      </c>
      <c r="F1896" s="21" t="n">
        <v>37246</v>
      </c>
      <c r="G1896" s="22" t="s">
        <v>471</v>
      </c>
      <c r="H1896" s="23" t="n">
        <f aca="false">COUNTIF(CAL!U:AF,B1896)</f>
        <v>1</v>
      </c>
      <c r="I1896" s="22" t="n">
        <v>8</v>
      </c>
      <c r="J1896" s="20"/>
    </row>
    <row r="1897" customFormat="false" ht="15.75" hidden="false" customHeight="true" outlineLevel="0" collapsed="false">
      <c r="B1897" s="19" t="n">
        <v>2592</v>
      </c>
      <c r="C1897" s="20" t="s">
        <v>4113</v>
      </c>
      <c r="D1897" s="20" t="s">
        <v>391</v>
      </c>
      <c r="E1897" s="24" t="s">
        <v>4114</v>
      </c>
      <c r="F1897" s="21" t="n">
        <v>37845</v>
      </c>
      <c r="G1897" s="22" t="s">
        <v>471</v>
      </c>
      <c r="H1897" s="23" t="n">
        <f aca="false">COUNTIF(CAL!U:AF,B1897)</f>
        <v>1</v>
      </c>
      <c r="I1897" s="22" t="n">
        <v>8</v>
      </c>
      <c r="J1897" s="20"/>
    </row>
    <row r="1898" customFormat="false" ht="15.75" hidden="false" customHeight="true" outlineLevel="0" collapsed="false">
      <c r="B1898" s="19" t="n">
        <v>3424</v>
      </c>
      <c r="C1898" s="20" t="s">
        <v>4115</v>
      </c>
      <c r="D1898" s="20" t="s">
        <v>309</v>
      </c>
      <c r="E1898" s="21" t="s">
        <v>4116</v>
      </c>
      <c r="F1898" s="21" t="n">
        <v>35838</v>
      </c>
      <c r="G1898" s="22" t="s">
        <v>471</v>
      </c>
      <c r="H1898" s="23" t="n">
        <f aca="false">COUNTIF(CAL!U:AF,B1898)</f>
        <v>1</v>
      </c>
      <c r="I1898" s="22" t="n">
        <v>8</v>
      </c>
      <c r="J1898" s="20"/>
    </row>
    <row r="1899" customFormat="false" ht="15.75" hidden="false" customHeight="true" outlineLevel="0" collapsed="false">
      <c r="B1899" s="19" t="n">
        <v>2180</v>
      </c>
      <c r="C1899" s="20" t="s">
        <v>1588</v>
      </c>
      <c r="D1899" s="20" t="s">
        <v>118</v>
      </c>
      <c r="E1899" s="21" t="s">
        <v>4117</v>
      </c>
      <c r="F1899" s="21" t="n">
        <v>31628</v>
      </c>
      <c r="G1899" s="22" t="s">
        <v>471</v>
      </c>
      <c r="H1899" s="23" t="n">
        <f aca="false">COUNTIF(CAL!U:AF,B1899)</f>
        <v>1</v>
      </c>
      <c r="I1899" s="22" t="n">
        <v>8</v>
      </c>
      <c r="J1899" s="20"/>
    </row>
    <row r="1900" customFormat="false" ht="15.75" hidden="false" customHeight="true" outlineLevel="0" collapsed="false">
      <c r="B1900" s="19" t="n">
        <v>2261</v>
      </c>
      <c r="C1900" s="20" t="s">
        <v>4118</v>
      </c>
      <c r="D1900" s="20" t="s">
        <v>88</v>
      </c>
      <c r="E1900" s="21" t="s">
        <v>4119</v>
      </c>
      <c r="F1900" s="21" t="n">
        <v>37737</v>
      </c>
      <c r="G1900" s="22" t="s">
        <v>481</v>
      </c>
      <c r="H1900" s="23" t="n">
        <f aca="false">COUNTIF(CAL!U:AF,B1900)</f>
        <v>1</v>
      </c>
      <c r="I1900" s="22" t="n">
        <v>8</v>
      </c>
      <c r="J1900" s="20"/>
    </row>
    <row r="1901" customFormat="false" ht="15.75" hidden="false" customHeight="true" outlineLevel="0" collapsed="false">
      <c r="B1901" s="19" t="n">
        <v>2517</v>
      </c>
      <c r="C1901" s="20" t="s">
        <v>4120</v>
      </c>
      <c r="D1901" s="20" t="s">
        <v>310</v>
      </c>
      <c r="E1901" s="21" t="s">
        <v>4121</v>
      </c>
      <c r="F1901" s="21" t="n">
        <v>38536</v>
      </c>
      <c r="G1901" s="22" t="s">
        <v>471</v>
      </c>
      <c r="H1901" s="23" t="n">
        <f aca="false">COUNTIF(CAL!U:AF,B1901)</f>
        <v>1</v>
      </c>
      <c r="I1901" s="22" t="n">
        <v>8</v>
      </c>
      <c r="J1901" s="20"/>
    </row>
    <row r="1902" customFormat="false" ht="15.75" hidden="false" customHeight="true" outlineLevel="0" collapsed="false">
      <c r="B1902" s="19" t="n">
        <v>1399</v>
      </c>
      <c r="C1902" s="20" t="s">
        <v>3152</v>
      </c>
      <c r="D1902" s="20" t="s">
        <v>33</v>
      </c>
      <c r="E1902" s="21" t="s">
        <v>4122</v>
      </c>
      <c r="F1902" s="21" t="n">
        <v>37577</v>
      </c>
      <c r="G1902" s="22" t="s">
        <v>471</v>
      </c>
      <c r="H1902" s="23" t="n">
        <f aca="false">COUNTIF(CAL!U:AF,B1902)</f>
        <v>1</v>
      </c>
      <c r="I1902" s="22" t="n">
        <v>8</v>
      </c>
      <c r="J1902" s="20"/>
    </row>
    <row r="1903" customFormat="false" ht="15.75" hidden="false" customHeight="true" outlineLevel="0" collapsed="false">
      <c r="B1903" s="19" t="n">
        <v>2018</v>
      </c>
      <c r="C1903" s="20" t="s">
        <v>2341</v>
      </c>
      <c r="D1903" s="20" t="s">
        <v>295</v>
      </c>
      <c r="E1903" s="21" t="s">
        <v>4123</v>
      </c>
      <c r="F1903" s="21" t="n">
        <v>35148</v>
      </c>
      <c r="G1903" s="22" t="s">
        <v>471</v>
      </c>
      <c r="H1903" s="23" t="n">
        <f aca="false">COUNTIF(CAL!U:AF,B1903)</f>
        <v>1</v>
      </c>
      <c r="I1903" s="22" t="n">
        <v>8</v>
      </c>
      <c r="J1903" s="20"/>
    </row>
    <row r="1904" customFormat="false" ht="15.75" hidden="false" customHeight="true" outlineLevel="0" collapsed="false">
      <c r="B1904" s="19" t="n">
        <v>2016</v>
      </c>
      <c r="C1904" s="20" t="s">
        <v>4124</v>
      </c>
      <c r="D1904" s="20" t="s">
        <v>300</v>
      </c>
      <c r="E1904" s="21" t="s">
        <v>4125</v>
      </c>
      <c r="F1904" s="21" t="n">
        <v>32658</v>
      </c>
      <c r="G1904" s="22" t="s">
        <v>471</v>
      </c>
      <c r="H1904" s="23" t="n">
        <f aca="false">COUNTIF(CAL!U:AF,B1904)</f>
        <v>1</v>
      </c>
      <c r="I1904" s="22" t="n">
        <v>8</v>
      </c>
      <c r="J1904" s="20"/>
    </row>
    <row r="1905" customFormat="false" ht="15.75" hidden="false" customHeight="true" outlineLevel="0" collapsed="false">
      <c r="B1905" s="19" t="n">
        <v>1942</v>
      </c>
      <c r="C1905" s="20" t="s">
        <v>4126</v>
      </c>
      <c r="D1905" s="20" t="s">
        <v>100</v>
      </c>
      <c r="E1905" s="24" t="s">
        <v>4127</v>
      </c>
      <c r="F1905" s="21" t="n">
        <v>35096</v>
      </c>
      <c r="G1905" s="22" t="s">
        <v>471</v>
      </c>
      <c r="H1905" s="23" t="n">
        <f aca="false">COUNTIF(CAL!U:AF,B1905)</f>
        <v>1</v>
      </c>
      <c r="I1905" s="22" t="n">
        <v>8</v>
      </c>
      <c r="J1905" s="20"/>
    </row>
    <row r="1906" customFormat="false" ht="15.75" hidden="false" customHeight="true" outlineLevel="0" collapsed="false">
      <c r="B1906" s="19" t="n">
        <v>1282</v>
      </c>
      <c r="C1906" s="20" t="s">
        <v>4128</v>
      </c>
      <c r="D1906" s="20" t="s">
        <v>69</v>
      </c>
      <c r="E1906" s="21" t="s">
        <v>4129</v>
      </c>
      <c r="F1906" s="21" t="n">
        <v>37806</v>
      </c>
      <c r="G1906" s="22" t="s">
        <v>471</v>
      </c>
      <c r="H1906" s="23" t="n">
        <f aca="false">COUNTIF(CAL!U:AF,B1906)</f>
        <v>1</v>
      </c>
      <c r="I1906" s="22" t="n">
        <v>8</v>
      </c>
      <c r="J1906" s="20"/>
    </row>
    <row r="1907" customFormat="false" ht="15.75" hidden="false" customHeight="true" outlineLevel="0" collapsed="false">
      <c r="B1907" s="19" t="n">
        <v>1637</v>
      </c>
      <c r="C1907" s="20" t="s">
        <v>4130</v>
      </c>
      <c r="D1907" s="20" t="s">
        <v>117</v>
      </c>
      <c r="E1907" s="24" t="s">
        <v>4131</v>
      </c>
      <c r="F1907" s="21" t="n">
        <v>36223</v>
      </c>
      <c r="G1907" s="22" t="s">
        <v>471</v>
      </c>
      <c r="H1907" s="23" t="n">
        <f aca="false">COUNTIF(CAL!U:AF,B1907)</f>
        <v>1</v>
      </c>
      <c r="I1907" s="22" t="n">
        <v>8</v>
      </c>
      <c r="J1907" s="20"/>
    </row>
    <row r="1908" customFormat="false" ht="15.75" hidden="false" customHeight="true" outlineLevel="0" collapsed="false">
      <c r="B1908" s="19" t="n">
        <v>2534</v>
      </c>
      <c r="C1908" s="20" t="s">
        <v>4132</v>
      </c>
      <c r="D1908" s="20" t="s">
        <v>68</v>
      </c>
      <c r="E1908" s="21" t="s">
        <v>4133</v>
      </c>
      <c r="F1908" s="21" t="n">
        <v>38086</v>
      </c>
      <c r="G1908" s="22" t="s">
        <v>471</v>
      </c>
      <c r="H1908" s="23" t="n">
        <f aca="false">COUNTIF(CAL!U:AF,B1908)</f>
        <v>1</v>
      </c>
      <c r="I1908" s="22" t="n">
        <v>8</v>
      </c>
      <c r="J1908" s="20"/>
    </row>
    <row r="1909" customFormat="false" ht="15.75" hidden="false" customHeight="true" outlineLevel="0" collapsed="false">
      <c r="B1909" s="19" t="n">
        <v>1622</v>
      </c>
      <c r="C1909" s="20" t="s">
        <v>880</v>
      </c>
      <c r="D1909" s="20" t="s">
        <v>156</v>
      </c>
      <c r="E1909" s="21" t="s">
        <v>4134</v>
      </c>
      <c r="F1909" s="21" t="n">
        <v>35955</v>
      </c>
      <c r="G1909" s="22" t="s">
        <v>471</v>
      </c>
      <c r="H1909" s="23" t="n">
        <f aca="false">COUNTIF(CAL!U:AF,B1909)</f>
        <v>1</v>
      </c>
      <c r="I1909" s="22" t="n">
        <v>8</v>
      </c>
      <c r="J1909" s="20"/>
    </row>
    <row r="1910" customFormat="false" ht="15.75" hidden="false" customHeight="true" outlineLevel="0" collapsed="false">
      <c r="B1910" s="19" t="n">
        <v>2872</v>
      </c>
      <c r="C1910" s="20" t="s">
        <v>4135</v>
      </c>
      <c r="D1910" s="20" t="s">
        <v>314</v>
      </c>
      <c r="E1910" s="21" t="s">
        <v>4136</v>
      </c>
      <c r="F1910" s="21" t="n">
        <v>33814</v>
      </c>
      <c r="G1910" s="22" t="s">
        <v>471</v>
      </c>
      <c r="H1910" s="23" t="n">
        <f aca="false">COUNTIF(CAL!U:AF,B1910)</f>
        <v>1</v>
      </c>
      <c r="I1910" s="22" t="n">
        <v>8</v>
      </c>
      <c r="J1910" s="20" t="s">
        <v>4137</v>
      </c>
    </row>
    <row r="1911" customFormat="false" ht="15.75" hidden="false" customHeight="true" outlineLevel="0" collapsed="false">
      <c r="B1911" s="19" t="n">
        <v>2327</v>
      </c>
      <c r="C1911" s="20" t="s">
        <v>4138</v>
      </c>
      <c r="D1911" s="20" t="s">
        <v>316</v>
      </c>
      <c r="E1911" s="21" t="s">
        <v>4139</v>
      </c>
      <c r="F1911" s="21" t="n">
        <v>34477</v>
      </c>
      <c r="G1911" s="22" t="s">
        <v>471</v>
      </c>
      <c r="H1911" s="23" t="n">
        <f aca="false">COUNTIF(CAL!U:AF,B1911)</f>
        <v>1</v>
      </c>
      <c r="I1911" s="22" t="n">
        <v>8</v>
      </c>
      <c r="J1911" s="20"/>
    </row>
    <row r="1912" customFormat="false" ht="15.75" hidden="false" customHeight="true" outlineLevel="0" collapsed="false">
      <c r="B1912" s="19" t="n">
        <v>3154</v>
      </c>
      <c r="C1912" s="20" t="s">
        <v>1011</v>
      </c>
      <c r="D1912" s="20" t="s">
        <v>412</v>
      </c>
      <c r="E1912" s="21" t="s">
        <v>4140</v>
      </c>
      <c r="F1912" s="21" t="n">
        <v>37328</v>
      </c>
      <c r="G1912" s="22" t="s">
        <v>471</v>
      </c>
      <c r="H1912" s="23" t="n">
        <f aca="false">COUNTIF(CAL!U:AF,B1912)</f>
        <v>1</v>
      </c>
      <c r="I1912" s="22" t="n">
        <v>8</v>
      </c>
      <c r="J1912" s="20"/>
    </row>
    <row r="1913" customFormat="false" ht="15.75" hidden="false" customHeight="true" outlineLevel="0" collapsed="false">
      <c r="B1913" s="19" t="n">
        <v>3487</v>
      </c>
      <c r="C1913" s="20" t="s">
        <v>4141</v>
      </c>
      <c r="D1913" s="20" t="s">
        <v>231</v>
      </c>
      <c r="E1913" s="21" t="s">
        <v>4142</v>
      </c>
      <c r="F1913" s="21" t="n">
        <v>36634</v>
      </c>
      <c r="G1913" s="22" t="s">
        <v>471</v>
      </c>
      <c r="H1913" s="23" t="n">
        <f aca="false">COUNTIF(CAL!U:AF,B1913)</f>
        <v>1</v>
      </c>
      <c r="I1913" s="22" t="n">
        <v>8</v>
      </c>
      <c r="J1913" s="20"/>
    </row>
    <row r="1914" customFormat="false" ht="15.75" hidden="false" customHeight="true" outlineLevel="0" collapsed="false">
      <c r="B1914" s="19" t="n">
        <v>3500</v>
      </c>
      <c r="C1914" s="20" t="s">
        <v>4143</v>
      </c>
      <c r="D1914" s="20" t="s">
        <v>310</v>
      </c>
      <c r="E1914" s="21" t="s">
        <v>4144</v>
      </c>
      <c r="F1914" s="21" t="n">
        <v>38344</v>
      </c>
      <c r="G1914" s="22" t="s">
        <v>471</v>
      </c>
      <c r="H1914" s="23" t="n">
        <f aca="false">COUNTIF(CAL!U:AF,B1914)</f>
        <v>1</v>
      </c>
      <c r="I1914" s="22" t="n">
        <v>8</v>
      </c>
      <c r="J1914" s="20"/>
    </row>
    <row r="1915" customFormat="false" ht="15.75" hidden="false" customHeight="true" outlineLevel="0" collapsed="false">
      <c r="B1915" s="19" t="n">
        <v>3013</v>
      </c>
      <c r="C1915" s="20" t="s">
        <v>4145</v>
      </c>
      <c r="D1915" s="20" t="s">
        <v>117</v>
      </c>
      <c r="E1915" s="21" t="s">
        <v>4146</v>
      </c>
      <c r="F1915" s="21" t="n">
        <v>36235</v>
      </c>
      <c r="G1915" s="22" t="s">
        <v>471</v>
      </c>
      <c r="H1915" s="23" t="n">
        <f aca="false">COUNTIF(CAL!U:AF,B1915)</f>
        <v>1</v>
      </c>
      <c r="I1915" s="22" t="n">
        <v>8</v>
      </c>
      <c r="J1915" s="20" t="s">
        <v>2027</v>
      </c>
    </row>
    <row r="1916" customFormat="false" ht="15.75" hidden="false" customHeight="true" outlineLevel="0" collapsed="false">
      <c r="B1916" s="19" t="n">
        <v>3425</v>
      </c>
      <c r="C1916" s="20" t="s">
        <v>4147</v>
      </c>
      <c r="D1916" s="20" t="s">
        <v>393</v>
      </c>
      <c r="E1916" s="21" t="s">
        <v>4148</v>
      </c>
      <c r="F1916" s="21" t="n">
        <v>35536</v>
      </c>
      <c r="G1916" s="22" t="s">
        <v>471</v>
      </c>
      <c r="H1916" s="23" t="n">
        <f aca="false">COUNTIF(CAL!U:AF,B1916)</f>
        <v>1</v>
      </c>
      <c r="I1916" s="22" t="n">
        <v>8</v>
      </c>
      <c r="J1916" s="20"/>
    </row>
    <row r="1917" customFormat="false" ht="15.75" hidden="false" customHeight="true" outlineLevel="0" collapsed="false">
      <c r="B1917" s="19" t="n">
        <v>2405</v>
      </c>
      <c r="C1917" s="20" t="s">
        <v>4149</v>
      </c>
      <c r="D1917" s="20" t="s">
        <v>58</v>
      </c>
      <c r="E1917" s="21" t="s">
        <v>4150</v>
      </c>
      <c r="F1917" s="21" t="n">
        <v>36521</v>
      </c>
      <c r="G1917" s="22" t="s">
        <v>471</v>
      </c>
      <c r="H1917" s="23" t="n">
        <f aca="false">COUNTIF(CAL!U:AF,B1917)</f>
        <v>1</v>
      </c>
      <c r="I1917" s="22" t="n">
        <v>8</v>
      </c>
      <c r="J1917" s="20"/>
    </row>
    <row r="1918" customFormat="false" ht="15.75" hidden="false" customHeight="true" outlineLevel="0" collapsed="false">
      <c r="B1918" s="19" t="n">
        <v>3381</v>
      </c>
      <c r="C1918" s="20" t="s">
        <v>4151</v>
      </c>
      <c r="D1918" s="20" t="s">
        <v>329</v>
      </c>
      <c r="E1918" s="21" t="s">
        <v>4152</v>
      </c>
      <c r="F1918" s="21" t="n">
        <v>37054</v>
      </c>
      <c r="G1918" s="22" t="s">
        <v>471</v>
      </c>
      <c r="H1918" s="23" t="n">
        <f aca="false">COUNTIF(CAL!U:AF,B1918)</f>
        <v>1</v>
      </c>
      <c r="I1918" s="22" t="n">
        <v>8</v>
      </c>
      <c r="J1918" s="20"/>
    </row>
    <row r="1919" customFormat="false" ht="15.75" hidden="false" customHeight="true" outlineLevel="0" collapsed="false">
      <c r="B1919" s="19" t="n">
        <v>3074</v>
      </c>
      <c r="C1919" s="20" t="s">
        <v>4153</v>
      </c>
      <c r="D1919" s="20" t="s">
        <v>138</v>
      </c>
      <c r="E1919" s="21" t="s">
        <v>4154</v>
      </c>
      <c r="F1919" s="21" t="n">
        <v>36581</v>
      </c>
      <c r="G1919" s="22" t="s">
        <v>471</v>
      </c>
      <c r="H1919" s="23" t="n">
        <f aca="false">COUNTIF(CAL!U:AF,B1919)</f>
        <v>1</v>
      </c>
      <c r="I1919" s="22" t="n">
        <v>8</v>
      </c>
      <c r="J1919" s="20"/>
    </row>
    <row r="1920" customFormat="false" ht="15.75" hidden="false" customHeight="true" outlineLevel="0" collapsed="false">
      <c r="B1920" s="19" t="n">
        <v>3474</v>
      </c>
      <c r="C1920" s="20" t="s">
        <v>4155</v>
      </c>
      <c r="D1920" s="20" t="s">
        <v>339</v>
      </c>
      <c r="E1920" s="24" t="s">
        <v>4156</v>
      </c>
      <c r="F1920" s="21" t="n">
        <v>35481</v>
      </c>
      <c r="G1920" s="22" t="s">
        <v>471</v>
      </c>
      <c r="H1920" s="23" t="n">
        <f aca="false">COUNTIF(CAL!U:AF,B1920)</f>
        <v>1</v>
      </c>
      <c r="I1920" s="22" t="n">
        <v>8</v>
      </c>
      <c r="J1920" s="20"/>
    </row>
    <row r="1921" customFormat="false" ht="15.75" hidden="false" customHeight="true" outlineLevel="0" collapsed="false">
      <c r="B1921" s="19" t="n">
        <v>2631</v>
      </c>
      <c r="C1921" s="20" t="s">
        <v>4157</v>
      </c>
      <c r="D1921" s="20" t="s">
        <v>350</v>
      </c>
      <c r="E1921" s="21" t="s">
        <v>4158</v>
      </c>
      <c r="F1921" s="21" t="n">
        <v>36212</v>
      </c>
      <c r="G1921" s="22" t="s">
        <v>471</v>
      </c>
      <c r="H1921" s="23" t="n">
        <f aca="false">COUNTIF(CAL!U:AF,B1921)</f>
        <v>1</v>
      </c>
      <c r="I1921" s="22" t="n">
        <v>8</v>
      </c>
      <c r="J1921" s="20"/>
    </row>
    <row r="1922" customFormat="false" ht="15.75" hidden="false" customHeight="true" outlineLevel="0" collapsed="false">
      <c r="B1922" s="19" t="n">
        <v>1647</v>
      </c>
      <c r="C1922" s="20" t="s">
        <v>4159</v>
      </c>
      <c r="D1922" s="20" t="s">
        <v>43</v>
      </c>
      <c r="E1922" s="21" t="s">
        <v>4160</v>
      </c>
      <c r="F1922" s="21" t="n">
        <v>38232</v>
      </c>
      <c r="G1922" s="22" t="s">
        <v>471</v>
      </c>
      <c r="H1922" s="23" t="n">
        <f aca="false">COUNTIF(CAL!U:AF,B1922)</f>
        <v>1</v>
      </c>
      <c r="I1922" s="22" t="n">
        <v>8</v>
      </c>
      <c r="J1922" s="20"/>
    </row>
    <row r="1923" customFormat="false" ht="15.75" hidden="false" customHeight="true" outlineLevel="0" collapsed="false">
      <c r="B1923" s="19" t="n">
        <v>3172</v>
      </c>
      <c r="C1923" s="20" t="s">
        <v>4161</v>
      </c>
      <c r="D1923" s="20" t="s">
        <v>384</v>
      </c>
      <c r="E1923" s="21" t="s">
        <v>4162</v>
      </c>
      <c r="F1923" s="21" t="n">
        <v>36366</v>
      </c>
      <c r="G1923" s="22" t="s">
        <v>471</v>
      </c>
      <c r="H1923" s="23" t="n">
        <f aca="false">COUNTIF(CAL!U:AF,B1923)</f>
        <v>1</v>
      </c>
      <c r="I1923" s="22" t="n">
        <v>8</v>
      </c>
      <c r="J1923" s="20"/>
    </row>
    <row r="1924" customFormat="false" ht="15.75" hidden="false" customHeight="true" outlineLevel="0" collapsed="false">
      <c r="B1924" s="19" t="n">
        <v>2269</v>
      </c>
      <c r="C1924" s="20" t="s">
        <v>4163</v>
      </c>
      <c r="D1924" s="20" t="s">
        <v>158</v>
      </c>
      <c r="E1924" s="21" t="s">
        <v>4164</v>
      </c>
      <c r="F1924" s="21" t="n">
        <v>34136</v>
      </c>
      <c r="G1924" s="22" t="s">
        <v>471</v>
      </c>
      <c r="H1924" s="23" t="n">
        <f aca="false">COUNTIF(CAL!U:AF,B1924)</f>
        <v>1</v>
      </c>
      <c r="I1924" s="22" t="n">
        <v>8</v>
      </c>
      <c r="J1924" s="20"/>
    </row>
    <row r="1925" customFormat="false" ht="15.75" hidden="false" customHeight="true" outlineLevel="0" collapsed="false">
      <c r="B1925" s="19" t="n">
        <v>2980</v>
      </c>
      <c r="C1925" s="20" t="s">
        <v>4165</v>
      </c>
      <c r="D1925" s="20" t="s">
        <v>148</v>
      </c>
      <c r="E1925" s="24" t="s">
        <v>4166</v>
      </c>
      <c r="F1925" s="21" t="n">
        <v>37906</v>
      </c>
      <c r="G1925" s="22" t="s">
        <v>471</v>
      </c>
      <c r="H1925" s="23" t="n">
        <f aca="false">COUNTIF(CAL!U:AF,B1925)</f>
        <v>1</v>
      </c>
      <c r="I1925" s="22" t="n">
        <v>9</v>
      </c>
      <c r="J1925" s="20"/>
    </row>
    <row r="1926" customFormat="false" ht="15.75" hidden="false" customHeight="true" outlineLevel="0" collapsed="false">
      <c r="B1926" s="19" t="n">
        <v>3280</v>
      </c>
      <c r="C1926" s="20" t="s">
        <v>2979</v>
      </c>
      <c r="D1926" s="20" t="s">
        <v>253</v>
      </c>
      <c r="E1926" s="21" t="s">
        <v>4167</v>
      </c>
      <c r="F1926" s="21" t="n">
        <v>36934</v>
      </c>
      <c r="G1926" s="22" t="s">
        <v>471</v>
      </c>
      <c r="H1926" s="23" t="n">
        <f aca="false">COUNTIF(CAL!U:AF,B1926)</f>
        <v>1</v>
      </c>
      <c r="I1926" s="22" t="n">
        <v>9</v>
      </c>
      <c r="J1926" s="20"/>
    </row>
    <row r="1927" customFormat="false" ht="15.75" hidden="false" customHeight="true" outlineLevel="0" collapsed="false">
      <c r="B1927" s="19" t="n">
        <v>1067</v>
      </c>
      <c r="C1927" s="20" t="s">
        <v>4168</v>
      </c>
      <c r="D1927" s="20" t="s">
        <v>200</v>
      </c>
      <c r="E1927" s="21" t="s">
        <v>4169</v>
      </c>
      <c r="F1927" s="21" t="n">
        <v>38404</v>
      </c>
      <c r="G1927" s="22" t="s">
        <v>471</v>
      </c>
      <c r="H1927" s="23" t="n">
        <f aca="false">COUNTIF(CAL!U:AF,B1927)</f>
        <v>1</v>
      </c>
      <c r="I1927" s="22" t="n">
        <v>9</v>
      </c>
      <c r="J1927" s="20" t="s">
        <v>4170</v>
      </c>
    </row>
    <row r="1928" customFormat="false" ht="15.75" hidden="false" customHeight="true" outlineLevel="0" collapsed="false">
      <c r="B1928" s="19" t="n">
        <v>3157</v>
      </c>
      <c r="C1928" s="20" t="s">
        <v>1642</v>
      </c>
      <c r="D1928" s="20" t="s">
        <v>314</v>
      </c>
      <c r="E1928" s="21" t="s">
        <v>4171</v>
      </c>
      <c r="F1928" s="21" t="n">
        <v>37823</v>
      </c>
      <c r="G1928" s="22" t="s">
        <v>471</v>
      </c>
      <c r="H1928" s="23" t="n">
        <f aca="false">COUNTIF(CAL!U:AF,B1928)</f>
        <v>1</v>
      </c>
      <c r="I1928" s="22" t="n">
        <v>9</v>
      </c>
      <c r="J1928" s="20"/>
    </row>
    <row r="1929" customFormat="false" ht="15.75" hidden="false" customHeight="true" outlineLevel="0" collapsed="false">
      <c r="B1929" s="19" t="n">
        <v>1239</v>
      </c>
      <c r="C1929" s="20" t="s">
        <v>4172</v>
      </c>
      <c r="D1929" s="20" t="s">
        <v>234</v>
      </c>
      <c r="E1929" s="24" t="s">
        <v>4173</v>
      </c>
      <c r="F1929" s="21" t="n">
        <v>34402</v>
      </c>
      <c r="G1929" s="22" t="s">
        <v>471</v>
      </c>
      <c r="H1929" s="23" t="n">
        <f aca="false">COUNTIF(CAL!U:AF,B1929)</f>
        <v>1</v>
      </c>
      <c r="I1929" s="22" t="n">
        <v>9</v>
      </c>
      <c r="J1929" s="20"/>
    </row>
    <row r="1930" customFormat="false" ht="15.75" hidden="false" customHeight="true" outlineLevel="0" collapsed="false">
      <c r="B1930" s="19" t="n">
        <v>1104</v>
      </c>
      <c r="C1930" s="20" t="s">
        <v>4174</v>
      </c>
      <c r="D1930" s="20" t="s">
        <v>140</v>
      </c>
      <c r="E1930" s="21" t="s">
        <v>4175</v>
      </c>
      <c r="F1930" s="21" t="n">
        <v>37824</v>
      </c>
      <c r="G1930" s="22" t="s">
        <v>471</v>
      </c>
      <c r="H1930" s="23" t="n">
        <f aca="false">COUNTIF(CAL!U:AF,B1930)</f>
        <v>1</v>
      </c>
      <c r="I1930" s="22" t="n">
        <v>9</v>
      </c>
      <c r="J1930" s="20"/>
    </row>
    <row r="1931" customFormat="false" ht="15.75" hidden="false" customHeight="true" outlineLevel="0" collapsed="false">
      <c r="B1931" s="19" t="n">
        <v>1631</v>
      </c>
      <c r="C1931" s="20" t="s">
        <v>4176</v>
      </c>
      <c r="D1931" s="20" t="s">
        <v>216</v>
      </c>
      <c r="E1931" s="21" t="s">
        <v>4177</v>
      </c>
      <c r="F1931" s="21" t="n">
        <v>34835</v>
      </c>
      <c r="G1931" s="22" t="s">
        <v>471</v>
      </c>
      <c r="H1931" s="23" t="n">
        <f aca="false">COUNTIF(CAL!U:AF,B1931)</f>
        <v>1</v>
      </c>
      <c r="I1931" s="22" t="n">
        <v>9</v>
      </c>
      <c r="J1931" s="20"/>
    </row>
    <row r="1932" customFormat="false" ht="15.75" hidden="false" customHeight="true" outlineLevel="0" collapsed="false">
      <c r="B1932" s="19" t="n">
        <v>1716</v>
      </c>
      <c r="C1932" s="20" t="s">
        <v>4178</v>
      </c>
      <c r="D1932" s="20" t="s">
        <v>254</v>
      </c>
      <c r="E1932" s="21" t="s">
        <v>4179</v>
      </c>
      <c r="F1932" s="21" t="n">
        <v>37697</v>
      </c>
      <c r="G1932" s="22" t="s">
        <v>471</v>
      </c>
      <c r="H1932" s="23" t="n">
        <f aca="false">COUNTIF(CAL!U:AF,B1932)</f>
        <v>1</v>
      </c>
      <c r="I1932" s="22" t="n">
        <v>9</v>
      </c>
      <c r="J1932" s="20"/>
    </row>
    <row r="1933" customFormat="false" ht="15.75" hidden="false" customHeight="true" outlineLevel="0" collapsed="false">
      <c r="B1933" s="19" t="n">
        <v>2371</v>
      </c>
      <c r="C1933" s="20" t="s">
        <v>4180</v>
      </c>
      <c r="D1933" s="20" t="s">
        <v>253</v>
      </c>
      <c r="E1933" s="21" t="s">
        <v>4181</v>
      </c>
      <c r="F1933" s="21" t="n">
        <v>33014</v>
      </c>
      <c r="G1933" s="22" t="s">
        <v>504</v>
      </c>
      <c r="H1933" s="23" t="n">
        <f aca="false">COUNTIF(CAL!U:AF,B1933)</f>
        <v>1</v>
      </c>
      <c r="I1933" s="22" t="n">
        <v>9</v>
      </c>
      <c r="J1933" s="20"/>
    </row>
    <row r="1934" customFormat="false" ht="15.75" hidden="false" customHeight="true" outlineLevel="0" collapsed="false">
      <c r="B1934" s="19" t="n">
        <v>2378</v>
      </c>
      <c r="C1934" s="20" t="s">
        <v>4182</v>
      </c>
      <c r="D1934" s="20" t="s">
        <v>254</v>
      </c>
      <c r="E1934" s="21" t="s">
        <v>4183</v>
      </c>
      <c r="F1934" s="21" t="n">
        <v>35542</v>
      </c>
      <c r="G1934" s="22" t="s">
        <v>471</v>
      </c>
      <c r="H1934" s="23" t="n">
        <f aca="false">COUNTIF(CAL!U:AF,B1934)</f>
        <v>1</v>
      </c>
      <c r="I1934" s="22" t="n">
        <v>9</v>
      </c>
      <c r="J1934" s="20"/>
    </row>
    <row r="1935" customFormat="false" ht="15.75" hidden="false" customHeight="true" outlineLevel="0" collapsed="false">
      <c r="B1935" s="19" t="n">
        <v>3417</v>
      </c>
      <c r="C1935" s="20" t="s">
        <v>4184</v>
      </c>
      <c r="D1935" s="20" t="s">
        <v>214</v>
      </c>
      <c r="E1935" s="21" t="s">
        <v>4185</v>
      </c>
      <c r="F1935" s="21" t="n">
        <v>36623</v>
      </c>
      <c r="G1935" s="22" t="s">
        <v>471</v>
      </c>
      <c r="H1935" s="23" t="n">
        <f aca="false">COUNTIF(CAL!U:AF,B1935)</f>
        <v>1</v>
      </c>
      <c r="I1935" s="22" t="n">
        <v>9</v>
      </c>
      <c r="J1935" s="20"/>
    </row>
    <row r="1936" customFormat="false" ht="15.75" hidden="false" customHeight="true" outlineLevel="0" collapsed="false">
      <c r="B1936" s="19" t="n">
        <v>1293</v>
      </c>
      <c r="C1936" s="20" t="s">
        <v>4186</v>
      </c>
      <c r="D1936" s="20" t="s">
        <v>74</v>
      </c>
      <c r="E1936" s="21" t="s">
        <v>4187</v>
      </c>
      <c r="F1936" s="21" t="n">
        <v>37606</v>
      </c>
      <c r="G1936" s="22" t="s">
        <v>471</v>
      </c>
      <c r="H1936" s="23" t="n">
        <f aca="false">COUNTIF(CAL!U:AF,B1936)</f>
        <v>1</v>
      </c>
      <c r="I1936" s="22" t="n">
        <v>9</v>
      </c>
      <c r="J1936" s="20"/>
    </row>
    <row r="1937" customFormat="false" ht="15.75" hidden="false" customHeight="true" outlineLevel="0" collapsed="false">
      <c r="B1937" s="19" t="n">
        <v>1928</v>
      </c>
      <c r="C1937" s="20" t="s">
        <v>4188</v>
      </c>
      <c r="D1937" s="20" t="s">
        <v>275</v>
      </c>
      <c r="E1937" s="21" t="s">
        <v>4189</v>
      </c>
      <c r="F1937" s="21" t="n">
        <v>38331</v>
      </c>
      <c r="G1937" s="22" t="s">
        <v>471</v>
      </c>
      <c r="H1937" s="23" t="n">
        <f aca="false">COUNTIF(CAL!U:AF,B1937)</f>
        <v>1</v>
      </c>
      <c r="I1937" s="22" t="n">
        <v>9</v>
      </c>
      <c r="J1937" s="20"/>
    </row>
    <row r="1938" customFormat="false" ht="15.75" hidden="false" customHeight="true" outlineLevel="0" collapsed="false">
      <c r="B1938" s="19" t="n">
        <v>2122</v>
      </c>
      <c r="C1938" s="20" t="s">
        <v>4190</v>
      </c>
      <c r="D1938" s="20" t="s">
        <v>225</v>
      </c>
      <c r="E1938" s="21" t="s">
        <v>4191</v>
      </c>
      <c r="F1938" s="21" t="n">
        <v>30806</v>
      </c>
      <c r="G1938" s="22" t="s">
        <v>471</v>
      </c>
      <c r="H1938" s="23" t="n">
        <f aca="false">COUNTIF(CAL!U:AF,B1938)</f>
        <v>1</v>
      </c>
      <c r="I1938" s="22" t="n">
        <v>9</v>
      </c>
      <c r="J1938" s="20"/>
    </row>
    <row r="1939" customFormat="false" ht="15.75" hidden="false" customHeight="true" outlineLevel="0" collapsed="false">
      <c r="B1939" s="19" t="n">
        <v>3193</v>
      </c>
      <c r="C1939" s="20" t="s">
        <v>629</v>
      </c>
      <c r="D1939" s="20" t="s">
        <v>42</v>
      </c>
      <c r="E1939" s="21" t="s">
        <v>4192</v>
      </c>
      <c r="F1939" s="21" t="n">
        <v>36755</v>
      </c>
      <c r="G1939" s="22" t="s">
        <v>471</v>
      </c>
      <c r="H1939" s="23" t="n">
        <f aca="false">COUNTIF(CAL!U:AF,B1939)</f>
        <v>1</v>
      </c>
      <c r="I1939" s="22" t="n">
        <v>9</v>
      </c>
      <c r="J1939" s="20"/>
    </row>
    <row r="1940" customFormat="false" ht="15.75" hidden="false" customHeight="true" outlineLevel="0" collapsed="false">
      <c r="B1940" s="19" t="n">
        <v>1539</v>
      </c>
      <c r="C1940" s="20" t="s">
        <v>4193</v>
      </c>
      <c r="D1940" s="20" t="s">
        <v>70</v>
      </c>
      <c r="E1940" s="21" t="s">
        <v>4194</v>
      </c>
      <c r="F1940" s="21" t="n">
        <v>33627</v>
      </c>
      <c r="G1940" s="22" t="s">
        <v>471</v>
      </c>
      <c r="H1940" s="23" t="n">
        <f aca="false">COUNTIF(CAL!U:AF,B1940)</f>
        <v>1</v>
      </c>
      <c r="I1940" s="22" t="n">
        <v>9</v>
      </c>
      <c r="J1940" s="20"/>
    </row>
    <row r="1941" customFormat="false" ht="15.75" hidden="false" customHeight="true" outlineLevel="0" collapsed="false">
      <c r="B1941" s="19" t="n">
        <v>2300</v>
      </c>
      <c r="C1941" s="20" t="s">
        <v>4195</v>
      </c>
      <c r="D1941" s="20" t="s">
        <v>128</v>
      </c>
      <c r="E1941" s="24" t="s">
        <v>4196</v>
      </c>
      <c r="F1941" s="21" t="n">
        <v>34536</v>
      </c>
      <c r="G1941" s="22" t="s">
        <v>471</v>
      </c>
      <c r="H1941" s="23" t="n">
        <f aca="false">COUNTIF(CAL!U:AF,B1941)</f>
        <v>1</v>
      </c>
      <c r="I1941" s="22" t="n">
        <v>9</v>
      </c>
      <c r="J1941" s="20"/>
    </row>
    <row r="1942" customFormat="false" ht="15.75" hidden="false" customHeight="true" outlineLevel="0" collapsed="false">
      <c r="B1942" s="19" t="n">
        <v>3120</v>
      </c>
      <c r="C1942" s="20" t="s">
        <v>4197</v>
      </c>
      <c r="D1942" s="20" t="s">
        <v>200</v>
      </c>
      <c r="E1942" s="21" t="s">
        <v>4198</v>
      </c>
      <c r="F1942" s="21" t="n">
        <v>37236</v>
      </c>
      <c r="G1942" s="22" t="s">
        <v>471</v>
      </c>
      <c r="H1942" s="23" t="n">
        <f aca="false">COUNTIF(CAL!U:AF,B1942)</f>
        <v>1</v>
      </c>
      <c r="I1942" s="22" t="n">
        <v>9</v>
      </c>
      <c r="J1942" s="20"/>
    </row>
    <row r="1943" customFormat="false" ht="15.75" hidden="false" customHeight="true" outlineLevel="0" collapsed="false">
      <c r="B1943" s="19" t="n">
        <v>2809</v>
      </c>
      <c r="C1943" s="20" t="s">
        <v>3935</v>
      </c>
      <c r="D1943" s="20" t="s">
        <v>298</v>
      </c>
      <c r="E1943" s="21" t="s">
        <v>4199</v>
      </c>
      <c r="F1943" s="21" t="n">
        <v>37363</v>
      </c>
      <c r="G1943" s="22" t="s">
        <v>471</v>
      </c>
      <c r="H1943" s="23" t="n">
        <f aca="false">COUNTIF(CAL!U:AF,B1943)</f>
        <v>1</v>
      </c>
      <c r="I1943" s="22" t="n">
        <v>9</v>
      </c>
      <c r="J1943" s="20"/>
    </row>
    <row r="1944" customFormat="false" ht="15.75" hidden="false" customHeight="true" outlineLevel="0" collapsed="false">
      <c r="B1944" s="19" t="n">
        <v>1383</v>
      </c>
      <c r="C1944" s="20" t="s">
        <v>1372</v>
      </c>
      <c r="D1944" s="20" t="s">
        <v>84</v>
      </c>
      <c r="E1944" s="21" t="s">
        <v>4200</v>
      </c>
      <c r="F1944" s="21" t="n">
        <v>37893</v>
      </c>
      <c r="G1944" s="22" t="s">
        <v>471</v>
      </c>
      <c r="H1944" s="23" t="n">
        <f aca="false">COUNTIF(CAL!U:AF,B1944)</f>
        <v>1</v>
      </c>
      <c r="I1944" s="22" t="n">
        <v>9</v>
      </c>
      <c r="J1944" s="20"/>
    </row>
    <row r="1945" customFormat="false" ht="15.75" hidden="false" customHeight="true" outlineLevel="0" collapsed="false">
      <c r="B1945" s="19" t="n">
        <v>1992</v>
      </c>
      <c r="C1945" s="20" t="s">
        <v>4201</v>
      </c>
      <c r="D1945" s="20" t="s">
        <v>122</v>
      </c>
      <c r="E1945" s="21" t="s">
        <v>4202</v>
      </c>
      <c r="F1945" s="21" t="n">
        <v>36061</v>
      </c>
      <c r="G1945" s="22" t="s">
        <v>471</v>
      </c>
      <c r="H1945" s="23" t="n">
        <f aca="false">COUNTIF(CAL!U:AF,B1945)</f>
        <v>1</v>
      </c>
      <c r="I1945" s="22" t="n">
        <v>9</v>
      </c>
      <c r="J1945" s="20"/>
    </row>
    <row r="1946" customFormat="false" ht="15.75" hidden="false" customHeight="true" outlineLevel="0" collapsed="false">
      <c r="B1946" s="19" t="n">
        <v>2093</v>
      </c>
      <c r="C1946" s="20" t="s">
        <v>4203</v>
      </c>
      <c r="D1946" s="20" t="s">
        <v>43</v>
      </c>
      <c r="E1946" s="21" t="s">
        <v>4204</v>
      </c>
      <c r="F1946" s="21" t="n">
        <v>37037</v>
      </c>
      <c r="G1946" s="22" t="s">
        <v>471</v>
      </c>
      <c r="H1946" s="23" t="n">
        <f aca="false">COUNTIF(CAL!U:AF,B1946)</f>
        <v>1</v>
      </c>
      <c r="I1946" s="22" t="n">
        <v>9</v>
      </c>
      <c r="J1946" s="20" t="s">
        <v>2313</v>
      </c>
    </row>
    <row r="1947" customFormat="false" ht="15.75" hidden="false" customHeight="true" outlineLevel="0" collapsed="false">
      <c r="B1947" s="19" t="n">
        <v>3444</v>
      </c>
      <c r="C1947" s="20" t="s">
        <v>4205</v>
      </c>
      <c r="D1947" s="20" t="s">
        <v>371</v>
      </c>
      <c r="E1947" s="21" t="s">
        <v>4206</v>
      </c>
      <c r="F1947" s="21" t="n">
        <v>37949</v>
      </c>
      <c r="G1947" s="22" t="s">
        <v>471</v>
      </c>
      <c r="H1947" s="23" t="n">
        <f aca="false">COUNTIF(CAL!U:AF,B1947)</f>
        <v>1</v>
      </c>
      <c r="I1947" s="22" t="n">
        <v>9</v>
      </c>
      <c r="J1947" s="20"/>
    </row>
    <row r="1948" customFormat="false" ht="15.75" hidden="false" customHeight="true" outlineLevel="0" collapsed="false">
      <c r="B1948" s="19" t="n">
        <v>1457</v>
      </c>
      <c r="C1948" s="20" t="s">
        <v>4207</v>
      </c>
      <c r="D1948" s="20" t="s">
        <v>173</v>
      </c>
      <c r="E1948" s="21" t="s">
        <v>4208</v>
      </c>
      <c r="F1948" s="21" t="n">
        <v>35647</v>
      </c>
      <c r="G1948" s="22" t="s">
        <v>471</v>
      </c>
      <c r="H1948" s="23" t="n">
        <f aca="false">COUNTIF(CAL!U:AF,B1948)</f>
        <v>1</v>
      </c>
      <c r="I1948" s="22" t="n">
        <v>9</v>
      </c>
      <c r="J1948" s="20"/>
    </row>
    <row r="1949" customFormat="false" ht="15.75" hidden="false" customHeight="true" outlineLevel="0" collapsed="false">
      <c r="B1949" s="19" t="n">
        <v>1347</v>
      </c>
      <c r="C1949" s="20" t="s">
        <v>4209</v>
      </c>
      <c r="D1949" s="20" t="s">
        <v>168</v>
      </c>
      <c r="E1949" s="21" t="s">
        <v>4210</v>
      </c>
      <c r="F1949" s="21" t="n">
        <v>38588</v>
      </c>
      <c r="G1949" s="22" t="s">
        <v>471</v>
      </c>
      <c r="H1949" s="23" t="n">
        <f aca="false">COUNTIF(CAL!U:AF,B1949)</f>
        <v>1</v>
      </c>
      <c r="I1949" s="22" t="n">
        <v>9</v>
      </c>
      <c r="J1949" s="20"/>
    </row>
    <row r="1950" customFormat="false" ht="15.75" hidden="false" customHeight="true" outlineLevel="0" collapsed="false">
      <c r="B1950" s="19" t="n">
        <v>1573</v>
      </c>
      <c r="C1950" s="20" t="s">
        <v>4211</v>
      </c>
      <c r="D1950" s="20" t="s">
        <v>150</v>
      </c>
      <c r="E1950" s="21" t="s">
        <v>4212</v>
      </c>
      <c r="F1950" s="21" t="n">
        <v>33981</v>
      </c>
      <c r="G1950" s="22" t="s">
        <v>471</v>
      </c>
      <c r="H1950" s="23" t="n">
        <f aca="false">COUNTIF(CAL!U:AF,B1950)</f>
        <v>1</v>
      </c>
      <c r="I1950" s="22" t="n">
        <v>9</v>
      </c>
      <c r="J1950" s="20"/>
    </row>
    <row r="1951" customFormat="false" ht="15.75" hidden="false" customHeight="true" outlineLevel="0" collapsed="false">
      <c r="B1951" s="19" t="n">
        <v>2496</v>
      </c>
      <c r="C1951" s="20" t="s">
        <v>4213</v>
      </c>
      <c r="D1951" s="20" t="s">
        <v>296</v>
      </c>
      <c r="E1951" s="21" t="s">
        <v>4214</v>
      </c>
      <c r="F1951" s="21" t="n">
        <v>35515</v>
      </c>
      <c r="G1951" s="22" t="s">
        <v>471</v>
      </c>
      <c r="H1951" s="23" t="n">
        <f aca="false">COUNTIF(CAL!U:AF,B1951)</f>
        <v>1</v>
      </c>
      <c r="I1951" s="22" t="n">
        <v>9</v>
      </c>
      <c r="J1951" s="20"/>
    </row>
    <row r="1952" customFormat="false" ht="15.75" hidden="false" customHeight="true" outlineLevel="0" collapsed="false">
      <c r="B1952" s="19" t="n">
        <v>2410</v>
      </c>
      <c r="C1952" s="20" t="s">
        <v>4215</v>
      </c>
      <c r="D1952" s="20" t="s">
        <v>79</v>
      </c>
      <c r="E1952" s="21" t="s">
        <v>4216</v>
      </c>
      <c r="F1952" s="21" t="n">
        <v>36655</v>
      </c>
      <c r="G1952" s="22" t="s">
        <v>471</v>
      </c>
      <c r="H1952" s="23" t="n">
        <f aca="false">COUNTIF(CAL!U:AF,B1952)</f>
        <v>1</v>
      </c>
      <c r="I1952" s="22" t="n">
        <v>9</v>
      </c>
      <c r="J1952" s="20"/>
    </row>
    <row r="1953" customFormat="false" ht="15.75" hidden="false" customHeight="true" outlineLevel="0" collapsed="false">
      <c r="B1953" s="19" t="n">
        <v>3549</v>
      </c>
      <c r="C1953" s="20" t="s">
        <v>631</v>
      </c>
      <c r="D1953" s="20" t="s">
        <v>290</v>
      </c>
      <c r="E1953" s="21" t="s">
        <v>4217</v>
      </c>
      <c r="F1953" s="21" t="n">
        <v>36327</v>
      </c>
      <c r="G1953" s="22" t="s">
        <v>471</v>
      </c>
      <c r="H1953" s="23" t="n">
        <f aca="false">COUNTIF(CAL!U:AF,B1953)</f>
        <v>1</v>
      </c>
      <c r="I1953" s="22" t="n">
        <v>9</v>
      </c>
      <c r="J1953" s="20"/>
    </row>
    <row r="1954" customFormat="false" ht="15.75" hidden="false" customHeight="true" outlineLevel="0" collapsed="false">
      <c r="B1954" s="19" t="n">
        <v>3264</v>
      </c>
      <c r="C1954" s="20" t="s">
        <v>4218</v>
      </c>
      <c r="D1954" s="20" t="s">
        <v>374</v>
      </c>
      <c r="E1954" s="21" t="s">
        <v>4219</v>
      </c>
      <c r="F1954" s="21" t="n">
        <v>37760</v>
      </c>
      <c r="G1954" s="22" t="s">
        <v>471</v>
      </c>
      <c r="H1954" s="23" t="n">
        <f aca="false">COUNTIF(CAL!U:AF,B1954)</f>
        <v>1</v>
      </c>
      <c r="I1954" s="22" t="n">
        <v>9</v>
      </c>
      <c r="J1954" s="20"/>
    </row>
    <row r="1955" customFormat="false" ht="15.75" hidden="false" customHeight="true" outlineLevel="0" collapsed="false">
      <c r="B1955" s="19" t="n">
        <v>1121</v>
      </c>
      <c r="C1955" s="20" t="s">
        <v>4220</v>
      </c>
      <c r="D1955" s="20" t="s">
        <v>95</v>
      </c>
      <c r="E1955" s="21" t="s">
        <v>4221</v>
      </c>
      <c r="F1955" s="21" t="n">
        <v>38047</v>
      </c>
      <c r="G1955" s="22" t="s">
        <v>471</v>
      </c>
      <c r="H1955" s="23" t="n">
        <f aca="false">COUNTIF(CAL!U:AF,B1955)</f>
        <v>1</v>
      </c>
      <c r="I1955" s="22" t="n">
        <v>9</v>
      </c>
      <c r="J1955" s="20"/>
    </row>
    <row r="1956" customFormat="false" ht="15.75" hidden="false" customHeight="true" outlineLevel="0" collapsed="false">
      <c r="B1956" s="19" t="n">
        <v>1149</v>
      </c>
      <c r="C1956" s="20" t="s">
        <v>4222</v>
      </c>
      <c r="D1956" s="20" t="s">
        <v>199</v>
      </c>
      <c r="E1956" s="21" t="s">
        <v>4223</v>
      </c>
      <c r="F1956" s="21" t="n">
        <v>34778</v>
      </c>
      <c r="G1956" s="22" t="s">
        <v>471</v>
      </c>
      <c r="H1956" s="23" t="n">
        <f aca="false">COUNTIF(CAL!U:AF,B1956)</f>
        <v>1</v>
      </c>
      <c r="I1956" s="22" t="n">
        <v>9</v>
      </c>
      <c r="J1956" s="20"/>
    </row>
    <row r="1957" customFormat="false" ht="15.75" hidden="false" customHeight="true" outlineLevel="0" collapsed="false">
      <c r="B1957" s="19" t="n">
        <v>1615</v>
      </c>
      <c r="C1957" s="20" t="s">
        <v>4224</v>
      </c>
      <c r="D1957" s="20" t="s">
        <v>176</v>
      </c>
      <c r="E1957" s="21" t="s">
        <v>4225</v>
      </c>
      <c r="F1957" s="21" t="n">
        <v>32608</v>
      </c>
      <c r="G1957" s="22" t="s">
        <v>471</v>
      </c>
      <c r="H1957" s="23" t="n">
        <f aca="false">COUNTIF(CAL!U:AF,B1957)</f>
        <v>1</v>
      </c>
      <c r="I1957" s="22" t="n">
        <v>9</v>
      </c>
      <c r="J1957" s="20"/>
    </row>
    <row r="1958" customFormat="false" ht="15.75" hidden="false" customHeight="true" outlineLevel="0" collapsed="false">
      <c r="B1958" s="19" t="n">
        <v>1471</v>
      </c>
      <c r="C1958" s="20" t="s">
        <v>4226</v>
      </c>
      <c r="D1958" s="20" t="s">
        <v>224</v>
      </c>
      <c r="E1958" s="24" t="s">
        <v>4227</v>
      </c>
      <c r="F1958" s="21" t="n">
        <v>36054</v>
      </c>
      <c r="G1958" s="22" t="s">
        <v>471</v>
      </c>
      <c r="H1958" s="23" t="n">
        <f aca="false">COUNTIF(CAL!U:AF,B1958)</f>
        <v>1</v>
      </c>
      <c r="I1958" s="22" t="n">
        <v>9</v>
      </c>
      <c r="J1958" s="20"/>
    </row>
    <row r="1959" customFormat="false" ht="15.75" hidden="false" customHeight="true" outlineLevel="0" collapsed="false">
      <c r="B1959" s="19" t="n">
        <v>2008</v>
      </c>
      <c r="C1959" s="20" t="s">
        <v>2175</v>
      </c>
      <c r="D1959" s="20" t="s">
        <v>173</v>
      </c>
      <c r="E1959" s="21" t="s">
        <v>4228</v>
      </c>
      <c r="F1959" s="21" t="n">
        <v>36759</v>
      </c>
      <c r="G1959" s="22" t="s">
        <v>471</v>
      </c>
      <c r="H1959" s="23" t="n">
        <f aca="false">COUNTIF(CAL!U:AF,B1959)</f>
        <v>1</v>
      </c>
      <c r="I1959" s="22" t="n">
        <v>9</v>
      </c>
      <c r="J1959" s="20"/>
    </row>
    <row r="1960" customFormat="false" ht="15.75" hidden="false" customHeight="true" outlineLevel="0" collapsed="false">
      <c r="B1960" s="19" t="n">
        <v>2470</v>
      </c>
      <c r="C1960" s="20" t="s">
        <v>1740</v>
      </c>
      <c r="D1960" s="20" t="s">
        <v>233</v>
      </c>
      <c r="E1960" s="21" t="s">
        <v>4229</v>
      </c>
      <c r="F1960" s="21" t="n">
        <v>36220</v>
      </c>
      <c r="G1960" s="22" t="s">
        <v>471</v>
      </c>
      <c r="H1960" s="23" t="n">
        <f aca="false">COUNTIF(CAL!U:AF,B1960)</f>
        <v>1</v>
      </c>
      <c r="I1960" s="22" t="n">
        <v>9</v>
      </c>
      <c r="J1960" s="20"/>
    </row>
    <row r="1961" customFormat="false" ht="15.75" hidden="false" customHeight="true" outlineLevel="0" collapsed="false">
      <c r="B1961" s="19" t="n">
        <v>1804</v>
      </c>
      <c r="C1961" s="20" t="s">
        <v>4230</v>
      </c>
      <c r="D1961" s="20" t="s">
        <v>175</v>
      </c>
      <c r="E1961" s="24" t="s">
        <v>4231</v>
      </c>
      <c r="F1961" s="21" t="n">
        <v>36587</v>
      </c>
      <c r="G1961" s="22" t="s">
        <v>471</v>
      </c>
      <c r="H1961" s="23" t="n">
        <f aca="false">COUNTIF(CAL!U:AF,B1961)</f>
        <v>1</v>
      </c>
      <c r="I1961" s="22" t="n">
        <v>9</v>
      </c>
      <c r="J1961" s="20"/>
    </row>
    <row r="1962" customFormat="false" ht="15.75" hidden="false" customHeight="true" outlineLevel="0" collapsed="false">
      <c r="B1962" s="19" t="n">
        <v>2660</v>
      </c>
      <c r="C1962" s="20" t="s">
        <v>4232</v>
      </c>
      <c r="D1962" s="20" t="s">
        <v>55</v>
      </c>
      <c r="E1962" s="21" t="s">
        <v>4233</v>
      </c>
      <c r="F1962" s="21" t="n">
        <v>33996</v>
      </c>
      <c r="G1962" s="22" t="s">
        <v>471</v>
      </c>
      <c r="H1962" s="23" t="n">
        <f aca="false">COUNTIF(CAL!U:AF,B1962)</f>
        <v>1</v>
      </c>
      <c r="I1962" s="22" t="n">
        <v>9</v>
      </c>
      <c r="J1962" s="20"/>
    </row>
    <row r="1963" customFormat="false" ht="15.75" hidden="false" customHeight="true" outlineLevel="0" collapsed="false">
      <c r="B1963" s="19" t="n">
        <v>1170</v>
      </c>
      <c r="C1963" s="20" t="s">
        <v>4234</v>
      </c>
      <c r="D1963" s="20" t="s">
        <v>176</v>
      </c>
      <c r="E1963" s="21" t="s">
        <v>4235</v>
      </c>
      <c r="F1963" s="21" t="n">
        <v>38860</v>
      </c>
      <c r="G1963" s="22" t="s">
        <v>471</v>
      </c>
      <c r="H1963" s="23" t="n">
        <f aca="false">COUNTIF(CAL!U:AF,B1963)</f>
        <v>1</v>
      </c>
      <c r="I1963" s="22" t="n">
        <v>9</v>
      </c>
      <c r="J1963" s="20"/>
    </row>
    <row r="1964" customFormat="false" ht="15.75" hidden="false" customHeight="true" outlineLevel="0" collapsed="false">
      <c r="B1964" s="19" t="n">
        <v>2045</v>
      </c>
      <c r="C1964" s="20" t="s">
        <v>4236</v>
      </c>
      <c r="D1964" s="20" t="s">
        <v>337</v>
      </c>
      <c r="E1964" s="24" t="s">
        <v>4237</v>
      </c>
      <c r="F1964" s="21" t="n">
        <v>37438</v>
      </c>
      <c r="G1964" s="22" t="s">
        <v>471</v>
      </c>
      <c r="H1964" s="23" t="n">
        <f aca="false">COUNTIF(CAL!U:AF,B1964)</f>
        <v>1</v>
      </c>
      <c r="I1964" s="22" t="n">
        <v>9</v>
      </c>
      <c r="J1964" s="20"/>
    </row>
    <row r="1965" customFormat="false" ht="15.75" hidden="false" customHeight="true" outlineLevel="0" collapsed="false">
      <c r="B1965" s="19" t="n">
        <v>2497</v>
      </c>
      <c r="C1965" s="20" t="s">
        <v>4238</v>
      </c>
      <c r="D1965" s="20" t="s">
        <v>296</v>
      </c>
      <c r="E1965" s="21" t="s">
        <v>4239</v>
      </c>
      <c r="F1965" s="21" t="n">
        <v>37976</v>
      </c>
      <c r="G1965" s="22" t="s">
        <v>471</v>
      </c>
      <c r="H1965" s="23" t="n">
        <f aca="false">COUNTIF(CAL!U:AF,B1965)</f>
        <v>1</v>
      </c>
      <c r="I1965" s="22" t="n">
        <v>9</v>
      </c>
      <c r="J1965" s="20"/>
    </row>
    <row r="1966" customFormat="false" ht="15.75" hidden="false" customHeight="true" outlineLevel="0" collapsed="false">
      <c r="B1966" s="19" t="n">
        <v>3470</v>
      </c>
      <c r="C1966" s="20" t="s">
        <v>4240</v>
      </c>
      <c r="D1966" s="20" t="s">
        <v>238</v>
      </c>
      <c r="E1966" s="21" t="s">
        <v>4241</v>
      </c>
      <c r="F1966" s="21" t="n">
        <v>36561</v>
      </c>
      <c r="G1966" s="22" t="s">
        <v>471</v>
      </c>
      <c r="H1966" s="23" t="n">
        <f aca="false">COUNTIF(CAL!U:AF,B1966)</f>
        <v>1</v>
      </c>
      <c r="I1966" s="22" t="n">
        <v>9</v>
      </c>
      <c r="J1966" s="20"/>
    </row>
    <row r="1967" customFormat="false" ht="15.75" hidden="false" customHeight="true" outlineLevel="0" collapsed="false">
      <c r="B1967" s="19" t="n">
        <v>2249</v>
      </c>
      <c r="C1967" s="20" t="s">
        <v>4242</v>
      </c>
      <c r="D1967" s="20" t="s">
        <v>55</v>
      </c>
      <c r="E1967" s="21" t="s">
        <v>4243</v>
      </c>
      <c r="F1967" s="21" t="n">
        <v>35525</v>
      </c>
      <c r="G1967" s="22" t="s">
        <v>471</v>
      </c>
      <c r="H1967" s="23" t="n">
        <f aca="false">COUNTIF(CAL!U:AF,B1967)</f>
        <v>1</v>
      </c>
      <c r="I1967" s="22" t="n">
        <v>9</v>
      </c>
      <c r="J1967" s="20"/>
    </row>
    <row r="1968" customFormat="false" ht="15.75" hidden="false" customHeight="true" outlineLevel="0" collapsed="false">
      <c r="B1968" s="19" t="n">
        <v>1887</v>
      </c>
      <c r="C1968" s="20" t="s">
        <v>3039</v>
      </c>
      <c r="D1968" s="20" t="s">
        <v>41</v>
      </c>
      <c r="E1968" s="21" t="s">
        <v>4244</v>
      </c>
      <c r="F1968" s="21" t="n">
        <v>38564</v>
      </c>
      <c r="G1968" s="22" t="s">
        <v>471</v>
      </c>
      <c r="H1968" s="23" t="n">
        <f aca="false">COUNTIF(CAL!U:AF,B1968)</f>
        <v>1</v>
      </c>
      <c r="I1968" s="22" t="n">
        <v>9</v>
      </c>
      <c r="J1968" s="20"/>
    </row>
    <row r="1969" customFormat="false" ht="15.75" hidden="false" customHeight="true" outlineLevel="0" collapsed="false">
      <c r="B1969" s="19" t="n">
        <v>2129</v>
      </c>
      <c r="C1969" s="20" t="s">
        <v>3976</v>
      </c>
      <c r="D1969" s="20" t="s">
        <v>100</v>
      </c>
      <c r="E1969" s="21" t="s">
        <v>4245</v>
      </c>
      <c r="F1969" s="21" t="n">
        <v>32986</v>
      </c>
      <c r="G1969" s="22" t="s">
        <v>471</v>
      </c>
      <c r="H1969" s="23" t="n">
        <f aca="false">COUNTIF(CAL!U:AF,B1969)</f>
        <v>1</v>
      </c>
      <c r="I1969" s="22" t="n">
        <v>9</v>
      </c>
      <c r="J1969" s="20"/>
    </row>
    <row r="1970" customFormat="false" ht="15.75" hidden="false" customHeight="true" outlineLevel="0" collapsed="false">
      <c r="B1970" s="19" t="n">
        <v>2719</v>
      </c>
      <c r="C1970" s="20" t="s">
        <v>4246</v>
      </c>
      <c r="D1970" s="20" t="s">
        <v>75</v>
      </c>
      <c r="E1970" s="21" t="s">
        <v>4247</v>
      </c>
      <c r="F1970" s="21" t="n">
        <v>36949</v>
      </c>
      <c r="G1970" s="22" t="s">
        <v>471</v>
      </c>
      <c r="H1970" s="23" t="n">
        <f aca="false">COUNTIF(CAL!U:AF,B1970)</f>
        <v>1</v>
      </c>
      <c r="I1970" s="22" t="n">
        <v>9</v>
      </c>
      <c r="J1970" s="20"/>
    </row>
    <row r="1971" customFormat="false" ht="15.75" hidden="false" customHeight="true" outlineLevel="0" collapsed="false">
      <c r="B1971" s="19" t="n">
        <v>1531</v>
      </c>
      <c r="C1971" s="20" t="s">
        <v>4248</v>
      </c>
      <c r="D1971" s="20" t="s">
        <v>41</v>
      </c>
      <c r="E1971" s="21" t="s">
        <v>4249</v>
      </c>
      <c r="F1971" s="21" t="n">
        <v>37300</v>
      </c>
      <c r="G1971" s="22" t="s">
        <v>471</v>
      </c>
      <c r="H1971" s="23" t="n">
        <f aca="false">COUNTIF(CAL!U:AF,B1971)</f>
        <v>1</v>
      </c>
      <c r="I1971" s="22" t="n">
        <v>9</v>
      </c>
      <c r="J1971" s="20"/>
    </row>
    <row r="1972" customFormat="false" ht="15.75" hidden="false" customHeight="true" outlineLevel="0" collapsed="false">
      <c r="B1972" s="19" t="n">
        <v>2081</v>
      </c>
      <c r="C1972" s="20" t="s">
        <v>4250</v>
      </c>
      <c r="D1972" s="20" t="s">
        <v>216</v>
      </c>
      <c r="E1972" s="21" t="s">
        <v>4251</v>
      </c>
      <c r="F1972" s="21" t="n">
        <v>34460</v>
      </c>
      <c r="G1972" s="22" t="s">
        <v>471</v>
      </c>
      <c r="H1972" s="23" t="n">
        <f aca="false">COUNTIF(CAL!U:AF,B1972)</f>
        <v>1</v>
      </c>
      <c r="I1972" s="22" t="n">
        <v>9</v>
      </c>
      <c r="J1972" s="20"/>
    </row>
    <row r="1973" customFormat="false" ht="15.75" hidden="false" customHeight="true" outlineLevel="0" collapsed="false">
      <c r="B1973" s="19" t="n">
        <v>1710</v>
      </c>
      <c r="C1973" s="20" t="s">
        <v>4252</v>
      </c>
      <c r="D1973" s="20" t="s">
        <v>160</v>
      </c>
      <c r="E1973" s="21" t="s">
        <v>4253</v>
      </c>
      <c r="F1973" s="21" t="n">
        <v>38614</v>
      </c>
      <c r="G1973" s="22" t="s">
        <v>471</v>
      </c>
      <c r="H1973" s="23" t="n">
        <f aca="false">COUNTIF(CAL!U:AF,B1973)</f>
        <v>1</v>
      </c>
      <c r="I1973" s="22" t="n">
        <v>9</v>
      </c>
      <c r="J1973" s="20"/>
    </row>
    <row r="1974" customFormat="false" ht="15.75" hidden="false" customHeight="true" outlineLevel="0" collapsed="false">
      <c r="B1974" s="19" t="n">
        <v>1560</v>
      </c>
      <c r="C1974" s="20" t="s">
        <v>4254</v>
      </c>
      <c r="D1974" s="20" t="s">
        <v>111</v>
      </c>
      <c r="E1974" s="21" t="s">
        <v>4255</v>
      </c>
      <c r="F1974" s="21" t="n">
        <v>37683</v>
      </c>
      <c r="G1974" s="22" t="s">
        <v>471</v>
      </c>
      <c r="H1974" s="23" t="n">
        <f aca="false">COUNTIF(CAL!U:AF,B1974)</f>
        <v>1</v>
      </c>
      <c r="I1974" s="22" t="n">
        <v>9</v>
      </c>
      <c r="J1974" s="20"/>
    </row>
    <row r="1975" customFormat="false" ht="15.75" hidden="false" customHeight="true" outlineLevel="0" collapsed="false">
      <c r="B1975" s="19" t="n">
        <v>3207</v>
      </c>
      <c r="C1975" s="20" t="s">
        <v>4256</v>
      </c>
      <c r="D1975" s="20" t="s">
        <v>372</v>
      </c>
      <c r="E1975" s="24" t="s">
        <v>4257</v>
      </c>
      <c r="F1975" s="21" t="n">
        <v>39066</v>
      </c>
      <c r="G1975" s="22" t="s">
        <v>471</v>
      </c>
      <c r="H1975" s="23" t="n">
        <f aca="false">COUNTIF(CAL!U:AF,B1975)</f>
        <v>1</v>
      </c>
      <c r="I1975" s="22" t="n">
        <v>9</v>
      </c>
      <c r="J1975" s="20"/>
    </row>
    <row r="1976" customFormat="false" ht="15.75" hidden="false" customHeight="true" outlineLevel="0" collapsed="false">
      <c r="B1976" s="19" t="n">
        <v>2532</v>
      </c>
      <c r="C1976" s="20" t="s">
        <v>4258</v>
      </c>
      <c r="D1976" s="20" t="s">
        <v>200</v>
      </c>
      <c r="E1976" s="21" t="s">
        <v>4259</v>
      </c>
      <c r="F1976" s="21" t="n">
        <v>37663</v>
      </c>
      <c r="G1976" s="22" t="s">
        <v>471</v>
      </c>
      <c r="H1976" s="23" t="n">
        <f aca="false">COUNTIF(CAL!U:AF,B1976)</f>
        <v>1</v>
      </c>
      <c r="I1976" s="22" t="n">
        <v>9</v>
      </c>
      <c r="J1976" s="20"/>
    </row>
    <row r="1977" customFormat="false" ht="15.75" hidden="false" customHeight="true" outlineLevel="0" collapsed="false">
      <c r="B1977" s="19" t="n">
        <v>2835</v>
      </c>
      <c r="C1977" s="20" t="s">
        <v>1681</v>
      </c>
      <c r="D1977" s="20" t="s">
        <v>343</v>
      </c>
      <c r="E1977" s="21" t="s">
        <v>4260</v>
      </c>
      <c r="F1977" s="21" t="n">
        <v>38448</v>
      </c>
      <c r="G1977" s="22" t="s">
        <v>471</v>
      </c>
      <c r="H1977" s="23" t="n">
        <f aca="false">COUNTIF(CAL!U:AF,B1977)</f>
        <v>1</v>
      </c>
      <c r="I1977" s="22" t="n">
        <v>9</v>
      </c>
      <c r="J1977" s="20"/>
    </row>
    <row r="1978" customFormat="false" ht="15.75" hidden="false" customHeight="true" outlineLevel="0" collapsed="false">
      <c r="B1978" s="19" t="n">
        <v>1302</v>
      </c>
      <c r="C1978" s="20" t="s">
        <v>4261</v>
      </c>
      <c r="D1978" s="20" t="s">
        <v>299</v>
      </c>
      <c r="E1978" s="21" t="s">
        <v>4262</v>
      </c>
      <c r="F1978" s="21" t="n">
        <v>35647</v>
      </c>
      <c r="G1978" s="22" t="s">
        <v>471</v>
      </c>
      <c r="H1978" s="23" t="n">
        <f aca="false">COUNTIF(CAL!U:AF,B1978)</f>
        <v>1</v>
      </c>
      <c r="I1978" s="22" t="n">
        <v>9</v>
      </c>
      <c r="J1978" s="20"/>
    </row>
    <row r="1979" customFormat="false" ht="15.75" hidden="false" customHeight="true" outlineLevel="0" collapsed="false">
      <c r="B1979" s="19" t="n">
        <v>2173</v>
      </c>
      <c r="C1979" s="20" t="s">
        <v>4263</v>
      </c>
      <c r="D1979" s="20" t="s">
        <v>373</v>
      </c>
      <c r="E1979" s="21" t="s">
        <v>4264</v>
      </c>
      <c r="F1979" s="21" t="n">
        <v>38429</v>
      </c>
      <c r="G1979" s="22" t="s">
        <v>471</v>
      </c>
      <c r="H1979" s="23" t="n">
        <f aca="false">COUNTIF(CAL!U:AF,B1979)</f>
        <v>1</v>
      </c>
      <c r="I1979" s="22" t="n">
        <v>9</v>
      </c>
      <c r="J1979" s="20"/>
    </row>
    <row r="1980" customFormat="false" ht="15.75" hidden="false" customHeight="true" outlineLevel="0" collapsed="false">
      <c r="B1980" s="19" t="n">
        <v>3440</v>
      </c>
      <c r="C1980" s="20" t="s">
        <v>1282</v>
      </c>
      <c r="D1980" s="20" t="s">
        <v>367</v>
      </c>
      <c r="E1980" s="21" t="s">
        <v>4265</v>
      </c>
      <c r="F1980" s="21" t="n">
        <v>38484</v>
      </c>
      <c r="G1980" s="22" t="s">
        <v>471</v>
      </c>
      <c r="H1980" s="23" t="n">
        <f aca="false">COUNTIF(CAL!U:AF,B1980)</f>
        <v>1</v>
      </c>
      <c r="I1980" s="22" t="n">
        <v>9</v>
      </c>
      <c r="J1980" s="20"/>
    </row>
    <row r="1981" customFormat="false" ht="15.75" hidden="false" customHeight="true" outlineLevel="0" collapsed="false">
      <c r="B1981" s="19" t="n">
        <v>2383</v>
      </c>
      <c r="C1981" s="20" t="s">
        <v>4266</v>
      </c>
      <c r="D1981" s="20" t="s">
        <v>183</v>
      </c>
      <c r="E1981" s="21" t="s">
        <v>4267</v>
      </c>
      <c r="F1981" s="21" t="n">
        <v>33887</v>
      </c>
      <c r="G1981" s="22" t="s">
        <v>471</v>
      </c>
      <c r="H1981" s="23" t="n">
        <f aca="false">COUNTIF(CAL!U:AF,B1981)</f>
        <v>1</v>
      </c>
      <c r="I1981" s="22" t="n">
        <v>9</v>
      </c>
      <c r="J1981" s="20" t="s">
        <v>4268</v>
      </c>
    </row>
    <row r="1982" customFormat="false" ht="15.75" hidden="false" customHeight="true" outlineLevel="0" collapsed="false">
      <c r="B1982" s="19" t="n">
        <v>1820</v>
      </c>
      <c r="C1982" s="20" t="s">
        <v>4269</v>
      </c>
      <c r="D1982" s="20" t="s">
        <v>284</v>
      </c>
      <c r="E1982" s="21" t="s">
        <v>4270</v>
      </c>
      <c r="F1982" s="21" t="n">
        <v>37718</v>
      </c>
      <c r="G1982" s="22" t="s">
        <v>471</v>
      </c>
      <c r="H1982" s="23" t="n">
        <f aca="false">COUNTIF(CAL!U:AF,B1982)</f>
        <v>1</v>
      </c>
      <c r="I1982" s="22" t="n">
        <v>9</v>
      </c>
      <c r="J1982" s="20"/>
    </row>
    <row r="1983" customFormat="false" ht="15.75" hidden="false" customHeight="true" outlineLevel="0" collapsed="false">
      <c r="B1983" s="19" t="n">
        <v>3568</v>
      </c>
      <c r="C1983" s="20" t="s">
        <v>4271</v>
      </c>
      <c r="D1983" s="20" t="s">
        <v>114</v>
      </c>
      <c r="E1983" s="21" t="s">
        <v>4272</v>
      </c>
      <c r="F1983" s="21" t="n">
        <v>37874</v>
      </c>
      <c r="G1983" s="22" t="s">
        <v>471</v>
      </c>
      <c r="H1983" s="23" t="n">
        <f aca="false">COUNTIF(CAL!U:AF,B1983)</f>
        <v>1</v>
      </c>
      <c r="I1983" s="22" t="n">
        <v>9</v>
      </c>
      <c r="J1983" s="20"/>
    </row>
    <row r="1984" customFormat="false" ht="15.75" hidden="false" customHeight="true" outlineLevel="0" collapsed="false">
      <c r="B1984" s="19" t="n">
        <v>1088</v>
      </c>
      <c r="C1984" s="20" t="s">
        <v>4273</v>
      </c>
      <c r="D1984" s="20" t="s">
        <v>92</v>
      </c>
      <c r="E1984" s="21" t="s">
        <v>4274</v>
      </c>
      <c r="F1984" s="21" t="n">
        <v>35140</v>
      </c>
      <c r="G1984" s="22" t="s">
        <v>471</v>
      </c>
      <c r="H1984" s="23" t="n">
        <f aca="false">COUNTIF(CAL!U:AF,B1984)</f>
        <v>1</v>
      </c>
      <c r="I1984" s="22" t="n">
        <v>9</v>
      </c>
      <c r="J1984" s="20"/>
    </row>
    <row r="1985" customFormat="false" ht="15.75" hidden="false" customHeight="true" outlineLevel="0" collapsed="false">
      <c r="B1985" s="19" t="n">
        <v>3248</v>
      </c>
      <c r="C1985" s="20" t="s">
        <v>4275</v>
      </c>
      <c r="D1985" s="20" t="s">
        <v>79</v>
      </c>
      <c r="E1985" s="21" t="s">
        <v>4276</v>
      </c>
      <c r="F1985" s="21" t="n">
        <v>32992</v>
      </c>
      <c r="G1985" s="22" t="s">
        <v>471</v>
      </c>
      <c r="H1985" s="23" t="n">
        <f aca="false">COUNTIF(CAL!U:AF,B1985)</f>
        <v>1</v>
      </c>
      <c r="I1985" s="22" t="n">
        <v>9</v>
      </c>
      <c r="J1985" s="20"/>
    </row>
    <row r="1986" customFormat="false" ht="15.75" hidden="false" customHeight="true" outlineLevel="0" collapsed="false">
      <c r="B1986" s="19" t="n">
        <v>2401</v>
      </c>
      <c r="C1986" s="20" t="s">
        <v>2806</v>
      </c>
      <c r="D1986" s="20" t="s">
        <v>186</v>
      </c>
      <c r="E1986" s="21" t="s">
        <v>4277</v>
      </c>
      <c r="F1986" s="21" t="n">
        <v>36997</v>
      </c>
      <c r="G1986" s="22" t="s">
        <v>471</v>
      </c>
      <c r="H1986" s="23" t="n">
        <f aca="false">COUNTIF(CAL!U:AF,B1986)</f>
        <v>1</v>
      </c>
      <c r="I1986" s="22" t="n">
        <v>9</v>
      </c>
      <c r="J1986" s="20"/>
    </row>
    <row r="1987" customFormat="false" ht="15.75" hidden="false" customHeight="true" outlineLevel="0" collapsed="false">
      <c r="B1987" s="19" t="n">
        <v>1586</v>
      </c>
      <c r="C1987" s="20" t="s">
        <v>4278</v>
      </c>
      <c r="D1987" s="20" t="s">
        <v>252</v>
      </c>
      <c r="E1987" s="21" t="s">
        <v>4279</v>
      </c>
      <c r="F1987" s="21" t="n">
        <v>35631</v>
      </c>
      <c r="G1987" s="22" t="s">
        <v>471</v>
      </c>
      <c r="H1987" s="23" t="n">
        <f aca="false">COUNTIF(CAL!U:AF,B1987)</f>
        <v>1</v>
      </c>
      <c r="I1987" s="22" t="n">
        <v>9</v>
      </c>
      <c r="J1987" s="20"/>
    </row>
    <row r="1988" customFormat="false" ht="15.75" hidden="false" customHeight="true" outlineLevel="0" collapsed="false">
      <c r="B1988" s="19" t="n">
        <v>1679</v>
      </c>
      <c r="C1988" s="20" t="s">
        <v>4280</v>
      </c>
      <c r="D1988" s="20" t="s">
        <v>295</v>
      </c>
      <c r="E1988" s="21" t="s">
        <v>4281</v>
      </c>
      <c r="F1988" s="21" t="n">
        <v>36711</v>
      </c>
      <c r="G1988" s="22" t="s">
        <v>471</v>
      </c>
      <c r="H1988" s="23" t="n">
        <f aca="false">COUNTIF(CAL!U:AF,B1988)</f>
        <v>1</v>
      </c>
      <c r="I1988" s="22" t="n">
        <v>9</v>
      </c>
      <c r="J1988" s="20"/>
    </row>
    <row r="1989" customFormat="false" ht="15.75" hidden="false" customHeight="true" outlineLevel="0" collapsed="false">
      <c r="B1989" s="19" t="n">
        <v>2113</v>
      </c>
      <c r="C1989" s="20" t="s">
        <v>2924</v>
      </c>
      <c r="D1989" s="20" t="s">
        <v>342</v>
      </c>
      <c r="E1989" s="21" t="s">
        <v>4282</v>
      </c>
      <c r="F1989" s="21" t="n">
        <v>37345</v>
      </c>
      <c r="G1989" s="22" t="s">
        <v>471</v>
      </c>
      <c r="H1989" s="23" t="n">
        <f aca="false">COUNTIF(CAL!U:AF,B1989)</f>
        <v>1</v>
      </c>
      <c r="I1989" s="22" t="n">
        <v>9</v>
      </c>
      <c r="J1989" s="20"/>
    </row>
    <row r="1990" customFormat="false" ht="15.75" hidden="false" customHeight="true" outlineLevel="0" collapsed="false">
      <c r="B1990" s="19" t="n">
        <v>1692</v>
      </c>
      <c r="C1990" s="20" t="s">
        <v>4283</v>
      </c>
      <c r="D1990" s="20" t="s">
        <v>283</v>
      </c>
      <c r="E1990" s="24" t="s">
        <v>4284</v>
      </c>
      <c r="F1990" s="21" t="n">
        <v>37959</v>
      </c>
      <c r="G1990" s="22" t="s">
        <v>471</v>
      </c>
      <c r="H1990" s="23" t="n">
        <f aca="false">COUNTIF(CAL!U:AF,B1990)</f>
        <v>1</v>
      </c>
      <c r="I1990" s="22" t="n">
        <v>9</v>
      </c>
      <c r="J1990" s="20"/>
    </row>
    <row r="1991" customFormat="false" ht="15.75" hidden="false" customHeight="true" outlineLevel="0" collapsed="false">
      <c r="B1991" s="19" t="n">
        <v>1677</v>
      </c>
      <c r="C1991" s="20" t="s">
        <v>2570</v>
      </c>
      <c r="D1991" s="20" t="s">
        <v>320</v>
      </c>
      <c r="E1991" s="21" t="s">
        <v>4285</v>
      </c>
      <c r="F1991" s="21" t="n">
        <v>34598</v>
      </c>
      <c r="G1991" s="22" t="s">
        <v>471</v>
      </c>
      <c r="H1991" s="23" t="n">
        <f aca="false">COUNTIF(CAL!U:AF,B1991)</f>
        <v>1</v>
      </c>
      <c r="I1991" s="22" t="n">
        <v>9</v>
      </c>
      <c r="J1991" s="20" t="s">
        <v>4286</v>
      </c>
    </row>
    <row r="1992" customFormat="false" ht="15.75" hidden="false" customHeight="true" outlineLevel="0" collapsed="false">
      <c r="B1992" s="19" t="n">
        <v>1272</v>
      </c>
      <c r="C1992" s="20" t="s">
        <v>4287</v>
      </c>
      <c r="D1992" s="20" t="s">
        <v>160</v>
      </c>
      <c r="E1992" s="21" t="s">
        <v>4288</v>
      </c>
      <c r="F1992" s="21" t="n">
        <v>34808</v>
      </c>
      <c r="G1992" s="22" t="s">
        <v>471</v>
      </c>
      <c r="H1992" s="23" t="n">
        <f aca="false">COUNTIF(CAL!U:AF,B1992)</f>
        <v>1</v>
      </c>
      <c r="I1992" s="22" t="n">
        <v>9</v>
      </c>
      <c r="J1992" s="20"/>
    </row>
    <row r="1993" customFormat="false" ht="15.75" hidden="false" customHeight="true" outlineLevel="0" collapsed="false">
      <c r="B1993" s="19" t="n">
        <v>1840</v>
      </c>
      <c r="C1993" s="20" t="s">
        <v>4289</v>
      </c>
      <c r="D1993" s="20" t="s">
        <v>322</v>
      </c>
      <c r="E1993" s="21" t="s">
        <v>4290</v>
      </c>
      <c r="F1993" s="21" t="n">
        <v>37651</v>
      </c>
      <c r="G1993" s="22" t="s">
        <v>471</v>
      </c>
      <c r="H1993" s="23" t="n">
        <f aca="false">COUNTIF(CAL!U:AF,B1993)</f>
        <v>1</v>
      </c>
      <c r="I1993" s="22" t="n">
        <v>9</v>
      </c>
      <c r="J1993" s="20"/>
    </row>
    <row r="1994" customFormat="false" ht="15.75" hidden="false" customHeight="true" outlineLevel="0" collapsed="false">
      <c r="B1994" s="19" t="n">
        <v>1595</v>
      </c>
      <c r="C1994" s="20" t="s">
        <v>4291</v>
      </c>
      <c r="D1994" s="20" t="s">
        <v>240</v>
      </c>
      <c r="E1994" s="24" t="s">
        <v>4292</v>
      </c>
      <c r="F1994" s="21" t="n">
        <v>39183</v>
      </c>
      <c r="G1994" s="22" t="s">
        <v>471</v>
      </c>
      <c r="H1994" s="23" t="n">
        <f aca="false">COUNTIF(CAL!U:AF,B1994)</f>
        <v>1</v>
      </c>
      <c r="I1994" s="22" t="n">
        <v>9</v>
      </c>
      <c r="J1994" s="20"/>
    </row>
    <row r="1995" customFormat="false" ht="15.75" hidden="false" customHeight="true" outlineLevel="0" collapsed="false">
      <c r="B1995" s="19" t="n">
        <v>1930</v>
      </c>
      <c r="C1995" s="20" t="s">
        <v>4293</v>
      </c>
      <c r="D1995" s="20" t="s">
        <v>298</v>
      </c>
      <c r="E1995" s="21" t="s">
        <v>4294</v>
      </c>
      <c r="F1995" s="21" t="n">
        <v>35899</v>
      </c>
      <c r="G1995" s="22" t="s">
        <v>471</v>
      </c>
      <c r="H1995" s="23" t="n">
        <f aca="false">COUNTIF(CAL!U:AF,B1995)</f>
        <v>1</v>
      </c>
      <c r="I1995" s="22" t="n">
        <v>9</v>
      </c>
      <c r="J1995" s="20"/>
    </row>
    <row r="1996" customFormat="false" ht="15.75" hidden="false" customHeight="true" outlineLevel="0" collapsed="false">
      <c r="B1996" s="19" t="n">
        <v>1933</v>
      </c>
      <c r="C1996" s="20" t="s">
        <v>855</v>
      </c>
      <c r="D1996" s="20" t="s">
        <v>278</v>
      </c>
      <c r="E1996" s="21" t="s">
        <v>4295</v>
      </c>
      <c r="F1996" s="21" t="n">
        <v>37643</v>
      </c>
      <c r="G1996" s="22" t="s">
        <v>471</v>
      </c>
      <c r="H1996" s="23" t="n">
        <f aca="false">COUNTIF(CAL!U:AF,B1996)</f>
        <v>1</v>
      </c>
      <c r="I1996" s="22" t="n">
        <v>9</v>
      </c>
      <c r="J1996" s="20"/>
    </row>
    <row r="1997" customFormat="false" ht="15.75" hidden="false" customHeight="true" outlineLevel="0" collapsed="false">
      <c r="B1997" s="19" t="n">
        <v>3360</v>
      </c>
      <c r="C1997" s="20" t="s">
        <v>4296</v>
      </c>
      <c r="D1997" s="20" t="s">
        <v>208</v>
      </c>
      <c r="E1997" s="21" t="s">
        <v>4297</v>
      </c>
      <c r="F1997" s="21" t="n">
        <v>32995</v>
      </c>
      <c r="G1997" s="22" t="s">
        <v>471</v>
      </c>
      <c r="H1997" s="23" t="n">
        <f aca="false">COUNTIF(CAL!U:AF,B1997)</f>
        <v>1</v>
      </c>
      <c r="I1997" s="22" t="n">
        <v>9</v>
      </c>
      <c r="J1997" s="20"/>
    </row>
    <row r="1998" customFormat="false" ht="15.75" hidden="false" customHeight="true" outlineLevel="0" collapsed="false">
      <c r="B1998" s="19" t="n">
        <v>3182</v>
      </c>
      <c r="C1998" s="20" t="s">
        <v>4298</v>
      </c>
      <c r="D1998" s="20" t="s">
        <v>359</v>
      </c>
      <c r="E1998" s="21" t="s">
        <v>4299</v>
      </c>
      <c r="F1998" s="21" t="n">
        <v>35909</v>
      </c>
      <c r="G1998" s="22" t="s">
        <v>471</v>
      </c>
      <c r="H1998" s="23" t="n">
        <f aca="false">COUNTIF(CAL!U:AF,B1998)</f>
        <v>1</v>
      </c>
      <c r="I1998" s="22" t="n">
        <v>9</v>
      </c>
      <c r="J1998" s="20"/>
    </row>
    <row r="1999" customFormat="false" ht="15.75" hidden="false" customHeight="true" outlineLevel="0" collapsed="false">
      <c r="B1999" s="19" t="n">
        <v>2684</v>
      </c>
      <c r="C1999" s="20" t="s">
        <v>754</v>
      </c>
      <c r="D1999" s="20" t="s">
        <v>41</v>
      </c>
      <c r="E1999" s="21" t="s">
        <v>4300</v>
      </c>
      <c r="F1999" s="21" t="n">
        <v>36930</v>
      </c>
      <c r="G1999" s="22" t="s">
        <v>471</v>
      </c>
      <c r="H1999" s="23" t="n">
        <f aca="false">COUNTIF(CAL!U:AF,B1999)</f>
        <v>1</v>
      </c>
      <c r="I1999" s="22" t="n">
        <v>9</v>
      </c>
      <c r="J1999" s="20"/>
    </row>
    <row r="2000" customFormat="false" ht="15.75" hidden="false" customHeight="true" outlineLevel="0" collapsed="false">
      <c r="B2000" s="19" t="n">
        <v>3126</v>
      </c>
      <c r="C2000" s="20" t="s">
        <v>4301</v>
      </c>
      <c r="D2000" s="20" t="s">
        <v>266</v>
      </c>
      <c r="E2000" s="21" t="s">
        <v>4302</v>
      </c>
      <c r="F2000" s="21" t="n">
        <v>36675</v>
      </c>
      <c r="G2000" s="22" t="s">
        <v>471</v>
      </c>
      <c r="H2000" s="23" t="n">
        <f aca="false">COUNTIF(CAL!U:AF,B2000)</f>
        <v>1</v>
      </c>
      <c r="I2000" s="22" t="n">
        <v>9</v>
      </c>
      <c r="J2000" s="20"/>
    </row>
    <row r="2001" customFormat="false" ht="15.75" hidden="false" customHeight="true" outlineLevel="0" collapsed="false">
      <c r="B2001" s="19" t="n">
        <v>2332</v>
      </c>
      <c r="C2001" s="20" t="s">
        <v>4303</v>
      </c>
      <c r="D2001" s="20" t="s">
        <v>337</v>
      </c>
      <c r="E2001" s="21" t="s">
        <v>4304</v>
      </c>
      <c r="F2001" s="21" t="n">
        <v>37626</v>
      </c>
      <c r="G2001" s="22" t="s">
        <v>471</v>
      </c>
      <c r="H2001" s="23" t="n">
        <f aca="false">COUNTIF(CAL!U:AF,B2001)</f>
        <v>1</v>
      </c>
      <c r="I2001" s="22" t="n">
        <v>9</v>
      </c>
      <c r="J2001" s="20"/>
    </row>
    <row r="2002" customFormat="false" ht="15.75" hidden="false" customHeight="true" outlineLevel="0" collapsed="false">
      <c r="B2002" s="19" t="n">
        <v>3022</v>
      </c>
      <c r="C2002" s="20" t="s">
        <v>3773</v>
      </c>
      <c r="D2002" s="20" t="s">
        <v>226</v>
      </c>
      <c r="E2002" s="21" t="s">
        <v>4305</v>
      </c>
      <c r="F2002" s="21" t="n">
        <v>35879</v>
      </c>
      <c r="G2002" s="22" t="s">
        <v>471</v>
      </c>
      <c r="H2002" s="23" t="n">
        <f aca="false">COUNTIF(CAL!U:AF,B2002)</f>
        <v>1</v>
      </c>
      <c r="I2002" s="22" t="n">
        <v>9</v>
      </c>
      <c r="J2002" s="20"/>
    </row>
    <row r="2003" customFormat="false" ht="15.75" hidden="false" customHeight="true" outlineLevel="0" collapsed="false">
      <c r="B2003" s="19" t="n">
        <v>3215</v>
      </c>
      <c r="C2003" s="20" t="s">
        <v>1487</v>
      </c>
      <c r="D2003" s="20" t="s">
        <v>143</v>
      </c>
      <c r="E2003" s="21" t="s">
        <v>4306</v>
      </c>
      <c r="F2003" s="21" t="n">
        <v>35119</v>
      </c>
      <c r="G2003" s="22" t="s">
        <v>471</v>
      </c>
      <c r="H2003" s="23" t="n">
        <f aca="false">COUNTIF(CAL!U:AF,B2003)</f>
        <v>1</v>
      </c>
      <c r="I2003" s="22" t="n">
        <v>9</v>
      </c>
      <c r="J2003" s="20"/>
    </row>
    <row r="2004" customFormat="false" ht="15.75" hidden="false" customHeight="true" outlineLevel="0" collapsed="false">
      <c r="B2004" s="19" t="n">
        <v>2307</v>
      </c>
      <c r="C2004" s="20" t="s">
        <v>3782</v>
      </c>
      <c r="D2004" s="20" t="s">
        <v>212</v>
      </c>
      <c r="E2004" s="24" t="s">
        <v>4307</v>
      </c>
      <c r="F2004" s="21" t="n">
        <v>38099</v>
      </c>
      <c r="G2004" s="22" t="s">
        <v>471</v>
      </c>
      <c r="H2004" s="23" t="n">
        <f aca="false">COUNTIF(CAL!U:AF,B2004)</f>
        <v>1</v>
      </c>
      <c r="I2004" s="22" t="n">
        <v>9</v>
      </c>
      <c r="J2004" s="20"/>
    </row>
    <row r="2005" customFormat="false" ht="15.75" hidden="false" customHeight="true" outlineLevel="0" collapsed="false">
      <c r="B2005" s="19" t="n">
        <v>2854</v>
      </c>
      <c r="C2005" s="20" t="s">
        <v>4308</v>
      </c>
      <c r="D2005" s="20" t="s">
        <v>104</v>
      </c>
      <c r="E2005" s="21" t="s">
        <v>4309</v>
      </c>
      <c r="F2005" s="21" t="n">
        <v>35760</v>
      </c>
      <c r="G2005" s="22" t="s">
        <v>471</v>
      </c>
      <c r="H2005" s="23" t="n">
        <f aca="false">COUNTIF(CAL!U:AF,B2005)</f>
        <v>1</v>
      </c>
      <c r="I2005" s="22" t="n">
        <v>9</v>
      </c>
      <c r="J2005" s="20"/>
    </row>
    <row r="2006" customFormat="false" ht="15.75" hidden="false" customHeight="true" outlineLevel="0" collapsed="false">
      <c r="B2006" s="19" t="n">
        <v>2499</v>
      </c>
      <c r="C2006" s="20" t="s">
        <v>2507</v>
      </c>
      <c r="D2006" s="20" t="s">
        <v>150</v>
      </c>
      <c r="E2006" s="21" t="s">
        <v>4310</v>
      </c>
      <c r="F2006" s="21" t="n">
        <v>36871</v>
      </c>
      <c r="G2006" s="22" t="s">
        <v>471</v>
      </c>
      <c r="H2006" s="23" t="n">
        <f aca="false">COUNTIF(CAL!U:AF,B2006)</f>
        <v>1</v>
      </c>
      <c r="I2006" s="22" t="n">
        <v>9</v>
      </c>
      <c r="J2006" s="20"/>
    </row>
    <row r="2007" customFormat="false" ht="15.75" hidden="false" customHeight="true" outlineLevel="0" collapsed="false">
      <c r="B2007" s="19" t="n">
        <v>2469</v>
      </c>
      <c r="C2007" s="20" t="s">
        <v>2706</v>
      </c>
      <c r="D2007" s="20" t="s">
        <v>130</v>
      </c>
      <c r="E2007" s="21" t="s">
        <v>4311</v>
      </c>
      <c r="F2007" s="21" t="n">
        <v>35507</v>
      </c>
      <c r="G2007" s="22" t="s">
        <v>471</v>
      </c>
      <c r="H2007" s="23" t="n">
        <f aca="false">COUNTIF(CAL!U:AF,B2007)</f>
        <v>1</v>
      </c>
      <c r="I2007" s="22" t="n">
        <v>9</v>
      </c>
      <c r="J2007" s="20" t="s">
        <v>4312</v>
      </c>
    </row>
    <row r="2008" customFormat="false" ht="15.75" hidden="false" customHeight="true" outlineLevel="0" collapsed="false">
      <c r="B2008" s="19" t="n">
        <v>1891</v>
      </c>
      <c r="C2008" s="20" t="s">
        <v>598</v>
      </c>
      <c r="D2008" s="20" t="s">
        <v>257</v>
      </c>
      <c r="E2008" s="21" t="s">
        <v>4313</v>
      </c>
      <c r="F2008" s="21" t="n">
        <v>35071</v>
      </c>
      <c r="G2008" s="22" t="s">
        <v>471</v>
      </c>
      <c r="H2008" s="23" t="n">
        <f aca="false">COUNTIF(CAL!U:AF,B2008)</f>
        <v>1</v>
      </c>
      <c r="I2008" s="22" t="n">
        <v>9</v>
      </c>
      <c r="J2008" s="20"/>
    </row>
    <row r="2009" customFormat="false" ht="15.75" hidden="false" customHeight="true" outlineLevel="0" collapsed="false">
      <c r="B2009" s="19" t="n">
        <v>2448</v>
      </c>
      <c r="C2009" s="20" t="s">
        <v>3542</v>
      </c>
      <c r="D2009" s="20" t="s">
        <v>384</v>
      </c>
      <c r="E2009" s="21" t="s">
        <v>4314</v>
      </c>
      <c r="F2009" s="21" t="n">
        <v>37048</v>
      </c>
      <c r="G2009" s="22" t="s">
        <v>471</v>
      </c>
      <c r="H2009" s="23" t="n">
        <f aca="false">COUNTIF(CAL!U:AF,B2009)</f>
        <v>1</v>
      </c>
      <c r="I2009" s="22" t="n">
        <v>9</v>
      </c>
      <c r="J2009" s="20"/>
    </row>
    <row r="2010" customFormat="false" ht="15.75" hidden="false" customHeight="true" outlineLevel="0" collapsed="false">
      <c r="B2010" s="19" t="n">
        <v>2695</v>
      </c>
      <c r="C2010" s="20" t="s">
        <v>1578</v>
      </c>
      <c r="D2010" s="20" t="s">
        <v>284</v>
      </c>
      <c r="E2010" s="21" t="s">
        <v>4315</v>
      </c>
      <c r="F2010" s="21" t="n">
        <v>37697</v>
      </c>
      <c r="G2010" s="22" t="s">
        <v>471</v>
      </c>
      <c r="H2010" s="23" t="n">
        <f aca="false">COUNTIF(CAL!U:AF,B2010)</f>
        <v>1</v>
      </c>
      <c r="I2010" s="22" t="n">
        <v>9</v>
      </c>
      <c r="J2010" s="20"/>
    </row>
    <row r="2011" customFormat="false" ht="15.75" hidden="false" customHeight="true" outlineLevel="0" collapsed="false">
      <c r="B2011" s="19" t="n">
        <v>2566</v>
      </c>
      <c r="C2011" s="20" t="s">
        <v>4316</v>
      </c>
      <c r="D2011" s="20" t="s">
        <v>359</v>
      </c>
      <c r="E2011" s="24" t="s">
        <v>4317</v>
      </c>
      <c r="F2011" s="21" t="n">
        <v>34752</v>
      </c>
      <c r="G2011" s="22" t="s">
        <v>471</v>
      </c>
      <c r="H2011" s="23" t="n">
        <f aca="false">COUNTIF(CAL!U:AF,B2011)</f>
        <v>1</v>
      </c>
      <c r="I2011" s="22" t="n">
        <v>9</v>
      </c>
      <c r="J2011" s="20"/>
    </row>
    <row r="2012" customFormat="false" ht="15.75" hidden="false" customHeight="true" outlineLevel="0" collapsed="false">
      <c r="B2012" s="19" t="n">
        <v>2832</v>
      </c>
      <c r="C2012" s="20" t="s">
        <v>3331</v>
      </c>
      <c r="D2012" s="20" t="s">
        <v>342</v>
      </c>
      <c r="E2012" s="24" t="s">
        <v>4318</v>
      </c>
      <c r="F2012" s="21" t="n">
        <v>36870</v>
      </c>
      <c r="G2012" s="22" t="s">
        <v>471</v>
      </c>
      <c r="H2012" s="23" t="n">
        <f aca="false">COUNTIF(CAL!U:AF,B2012)</f>
        <v>1</v>
      </c>
      <c r="I2012" s="22" t="n">
        <v>9</v>
      </c>
      <c r="J2012" s="20"/>
    </row>
    <row r="2013" customFormat="false" ht="15.75" hidden="false" customHeight="true" outlineLevel="0" collapsed="false">
      <c r="B2013" s="19" t="n">
        <v>1587</v>
      </c>
      <c r="C2013" s="20" t="s">
        <v>1289</v>
      </c>
      <c r="D2013" s="20" t="s">
        <v>252</v>
      </c>
      <c r="E2013" s="21" t="s">
        <v>4319</v>
      </c>
      <c r="F2013" s="21" t="n">
        <v>37122</v>
      </c>
      <c r="G2013" s="22" t="s">
        <v>471</v>
      </c>
      <c r="H2013" s="23" t="n">
        <f aca="false">COUNTIF(CAL!U:AF,B2013)</f>
        <v>1</v>
      </c>
      <c r="I2013" s="22" t="n">
        <v>9</v>
      </c>
      <c r="J2013" s="20"/>
    </row>
    <row r="2014" customFormat="false" ht="15.75" hidden="false" customHeight="true" outlineLevel="0" collapsed="false">
      <c r="B2014" s="19" t="n">
        <v>3434</v>
      </c>
      <c r="C2014" s="20" t="s">
        <v>1289</v>
      </c>
      <c r="D2014" s="20" t="s">
        <v>330</v>
      </c>
      <c r="E2014" s="21" t="s">
        <v>4320</v>
      </c>
      <c r="F2014" s="21" t="n">
        <v>38117</v>
      </c>
      <c r="G2014" s="22" t="s">
        <v>471</v>
      </c>
      <c r="H2014" s="23" t="n">
        <f aca="false">COUNTIF(CAL!U:AF,B2014)</f>
        <v>1</v>
      </c>
      <c r="I2014" s="22" t="n">
        <v>9</v>
      </c>
      <c r="J2014" s="20"/>
    </row>
    <row r="2015" customFormat="false" ht="15.75" hidden="false" customHeight="true" outlineLevel="0" collapsed="false">
      <c r="B2015" s="19" t="n">
        <v>3241</v>
      </c>
      <c r="C2015" s="20" t="s">
        <v>4321</v>
      </c>
      <c r="D2015" s="20" t="s">
        <v>242</v>
      </c>
      <c r="E2015" s="24" t="s">
        <v>4322</v>
      </c>
      <c r="F2015" s="21" t="n">
        <v>38589</v>
      </c>
      <c r="G2015" s="22" t="s">
        <v>471</v>
      </c>
      <c r="H2015" s="23" t="n">
        <f aca="false">COUNTIF(CAL!U:AF,B2015)</f>
        <v>1</v>
      </c>
      <c r="I2015" s="22" t="n">
        <v>9</v>
      </c>
      <c r="J2015" s="20"/>
    </row>
    <row r="2016" customFormat="false" ht="15.75" hidden="false" customHeight="true" outlineLevel="0" collapsed="false">
      <c r="B2016" s="19" t="n">
        <v>2981</v>
      </c>
      <c r="C2016" s="20" t="s">
        <v>4323</v>
      </c>
      <c r="D2016" s="20" t="s">
        <v>264</v>
      </c>
      <c r="E2016" s="21" t="s">
        <v>4324</v>
      </c>
      <c r="F2016" s="21" t="n">
        <v>35500</v>
      </c>
      <c r="G2016" s="22" t="s">
        <v>471</v>
      </c>
      <c r="H2016" s="23" t="n">
        <f aca="false">COUNTIF(CAL!U:AF,B2016)</f>
        <v>1</v>
      </c>
      <c r="I2016" s="22" t="n">
        <v>9</v>
      </c>
      <c r="J2016" s="20"/>
    </row>
    <row r="2017" customFormat="false" ht="15.75" hidden="false" customHeight="true" outlineLevel="0" collapsed="false">
      <c r="B2017" s="19" t="n">
        <v>2676</v>
      </c>
      <c r="C2017" s="20" t="s">
        <v>4325</v>
      </c>
      <c r="D2017" s="20" t="s">
        <v>120</v>
      </c>
      <c r="E2017" s="21" t="s">
        <v>4326</v>
      </c>
      <c r="F2017" s="21" t="n">
        <v>37760</v>
      </c>
      <c r="G2017" s="22" t="s">
        <v>471</v>
      </c>
      <c r="H2017" s="23" t="n">
        <f aca="false">COUNTIF(CAL!U:AF,B2017)</f>
        <v>1</v>
      </c>
      <c r="I2017" s="22" t="n">
        <v>9</v>
      </c>
      <c r="J2017" s="20"/>
    </row>
    <row r="2018" customFormat="false" ht="15.75" hidden="false" customHeight="true" outlineLevel="0" collapsed="false">
      <c r="B2018" s="19" t="n">
        <v>1908</v>
      </c>
      <c r="C2018" s="20" t="s">
        <v>4327</v>
      </c>
      <c r="D2018" s="20" t="s">
        <v>317</v>
      </c>
      <c r="E2018" s="21" t="s">
        <v>4328</v>
      </c>
      <c r="F2018" s="21" t="n">
        <v>35920</v>
      </c>
      <c r="G2018" s="22" t="s">
        <v>471</v>
      </c>
      <c r="H2018" s="23" t="n">
        <f aca="false">COUNTIF(CAL!U:AF,B2018)</f>
        <v>1</v>
      </c>
      <c r="I2018" s="22" t="n">
        <v>9</v>
      </c>
      <c r="J2018" s="20" t="s">
        <v>4329</v>
      </c>
    </row>
    <row r="2019" customFormat="false" ht="15.75" hidden="false" customHeight="true" outlineLevel="0" collapsed="false">
      <c r="B2019" s="19" t="n">
        <v>2053</v>
      </c>
      <c r="C2019" s="20" t="s">
        <v>1241</v>
      </c>
      <c r="D2019" s="20" t="s">
        <v>334</v>
      </c>
      <c r="E2019" s="24" t="s">
        <v>4330</v>
      </c>
      <c r="F2019" s="21" t="n">
        <v>37424</v>
      </c>
      <c r="G2019" s="22" t="s">
        <v>471</v>
      </c>
      <c r="H2019" s="23" t="n">
        <f aca="false">COUNTIF(CAL!U:AF,B2019)</f>
        <v>1</v>
      </c>
      <c r="I2019" s="22" t="n">
        <v>9</v>
      </c>
      <c r="J2019" s="20"/>
    </row>
    <row r="2020" customFormat="false" ht="15.75" hidden="false" customHeight="true" outlineLevel="0" collapsed="false">
      <c r="B2020" s="19" t="n">
        <v>2194</v>
      </c>
      <c r="C2020" s="20" t="s">
        <v>4331</v>
      </c>
      <c r="D2020" s="20" t="s">
        <v>132</v>
      </c>
      <c r="E2020" s="21" t="s">
        <v>4332</v>
      </c>
      <c r="F2020" s="21" t="n">
        <v>37349</v>
      </c>
      <c r="G2020" s="22" t="s">
        <v>471</v>
      </c>
      <c r="H2020" s="23" t="n">
        <f aca="false">COUNTIF(CAL!U:AF,B2020)</f>
        <v>1</v>
      </c>
      <c r="I2020" s="22" t="n">
        <v>9</v>
      </c>
      <c r="J2020" s="20"/>
    </row>
    <row r="2021" customFormat="false" ht="15.75" hidden="false" customHeight="true" outlineLevel="0" collapsed="false">
      <c r="B2021" s="19" t="n">
        <v>2099</v>
      </c>
      <c r="C2021" s="20" t="s">
        <v>2519</v>
      </c>
      <c r="D2021" s="20" t="s">
        <v>153</v>
      </c>
      <c r="E2021" s="21" t="s">
        <v>4333</v>
      </c>
      <c r="F2021" s="21" t="n">
        <v>36596</v>
      </c>
      <c r="G2021" s="22" t="s">
        <v>471</v>
      </c>
      <c r="H2021" s="23" t="n">
        <f aca="false">COUNTIF(CAL!U:AF,B2021)</f>
        <v>1</v>
      </c>
      <c r="I2021" s="22" t="n">
        <v>9</v>
      </c>
      <c r="J2021" s="20" t="s">
        <v>4334</v>
      </c>
    </row>
    <row r="2022" customFormat="false" ht="15.75" hidden="false" customHeight="true" outlineLevel="0" collapsed="false">
      <c r="B2022" s="19" t="n">
        <v>2414</v>
      </c>
      <c r="C2022" s="20" t="s">
        <v>4335</v>
      </c>
      <c r="D2022" s="20" t="s">
        <v>213</v>
      </c>
      <c r="E2022" s="21" t="s">
        <v>4336</v>
      </c>
      <c r="F2022" s="21" t="n">
        <v>37040</v>
      </c>
      <c r="G2022" s="22" t="s">
        <v>471</v>
      </c>
      <c r="H2022" s="23" t="n">
        <f aca="false">COUNTIF(CAL!U:AF,B2022)</f>
        <v>1</v>
      </c>
      <c r="I2022" s="22" t="n">
        <v>9</v>
      </c>
      <c r="J2022" s="20"/>
    </row>
    <row r="2023" customFormat="false" ht="15.75" hidden="false" customHeight="true" outlineLevel="0" collapsed="false">
      <c r="B2023" s="19" t="n">
        <v>2315</v>
      </c>
      <c r="C2023" s="20" t="s">
        <v>4337</v>
      </c>
      <c r="D2023" s="20" t="s">
        <v>298</v>
      </c>
      <c r="E2023" s="21" t="s">
        <v>4338</v>
      </c>
      <c r="F2023" s="21" t="n">
        <v>37607</v>
      </c>
      <c r="G2023" s="22" t="s">
        <v>471</v>
      </c>
      <c r="H2023" s="23" t="n">
        <f aca="false">COUNTIF(CAL!U:AF,B2023)</f>
        <v>1</v>
      </c>
      <c r="I2023" s="22" t="n">
        <v>9</v>
      </c>
      <c r="J2023" s="20"/>
    </row>
    <row r="2024" customFormat="false" ht="15.75" hidden="false" customHeight="true" outlineLevel="0" collapsed="false">
      <c r="B2024" s="19" t="n">
        <v>2898</v>
      </c>
      <c r="C2024" s="20" t="s">
        <v>4339</v>
      </c>
      <c r="D2024" s="20" t="s">
        <v>165</v>
      </c>
      <c r="E2024" s="21" t="s">
        <v>4340</v>
      </c>
      <c r="F2024" s="21" t="n">
        <v>36679</v>
      </c>
      <c r="G2024" s="22" t="s">
        <v>471</v>
      </c>
      <c r="H2024" s="23" t="n">
        <f aca="false">COUNTIF(CAL!U:AF,B2024)</f>
        <v>1</v>
      </c>
      <c r="I2024" s="22" t="n">
        <v>9</v>
      </c>
      <c r="J2024" s="20"/>
    </row>
    <row r="2025" customFormat="false" ht="15.75" hidden="false" customHeight="true" outlineLevel="0" collapsed="false">
      <c r="B2025" s="19" t="n">
        <v>2722</v>
      </c>
      <c r="C2025" s="20" t="s">
        <v>4341</v>
      </c>
      <c r="D2025" s="20" t="s">
        <v>167</v>
      </c>
      <c r="E2025" s="21" t="s">
        <v>4342</v>
      </c>
      <c r="F2025" s="21" t="n">
        <v>33967</v>
      </c>
      <c r="G2025" s="22" t="s">
        <v>471</v>
      </c>
      <c r="H2025" s="23" t="n">
        <f aca="false">COUNTIF(CAL!U:AF,B2025)</f>
        <v>1</v>
      </c>
      <c r="I2025" s="22" t="n">
        <v>9</v>
      </c>
      <c r="J2025" s="20"/>
    </row>
    <row r="2026" customFormat="false" ht="15.75" hidden="false" customHeight="true" outlineLevel="0" collapsed="false">
      <c r="B2026" s="19" t="n">
        <v>3281</v>
      </c>
      <c r="C2026" s="20" t="s">
        <v>4343</v>
      </c>
      <c r="D2026" s="20" t="s">
        <v>88</v>
      </c>
      <c r="E2026" s="24" t="s">
        <v>4344</v>
      </c>
      <c r="F2026" s="21" t="n">
        <v>31878</v>
      </c>
      <c r="G2026" s="22" t="s">
        <v>471</v>
      </c>
      <c r="H2026" s="23" t="n">
        <f aca="false">COUNTIF(CAL!U:AF,B2026)</f>
        <v>1</v>
      </c>
      <c r="I2026" s="22" t="n">
        <v>9</v>
      </c>
      <c r="J2026" s="20"/>
    </row>
    <row r="2027" customFormat="false" ht="15.75" hidden="false" customHeight="true" outlineLevel="0" collapsed="false">
      <c r="B2027" s="19" t="n">
        <v>3437</v>
      </c>
      <c r="C2027" s="20" t="s">
        <v>1107</v>
      </c>
      <c r="D2027" s="20" t="s">
        <v>361</v>
      </c>
      <c r="E2027" s="21" t="s">
        <v>4345</v>
      </c>
      <c r="F2027" s="21" t="n">
        <v>38414</v>
      </c>
      <c r="G2027" s="22" t="s">
        <v>471</v>
      </c>
      <c r="H2027" s="23" t="n">
        <f aca="false">COUNTIF(CAL!U:AF,B2027)</f>
        <v>1</v>
      </c>
      <c r="I2027" s="22" t="n">
        <v>9</v>
      </c>
      <c r="J2027" s="20"/>
    </row>
    <row r="2028" customFormat="false" ht="15.75" hidden="false" customHeight="true" outlineLevel="0" collapsed="false">
      <c r="B2028" s="19" t="n">
        <v>1083</v>
      </c>
      <c r="C2028" s="20" t="s">
        <v>1167</v>
      </c>
      <c r="D2028" s="20" t="s">
        <v>58</v>
      </c>
      <c r="E2028" s="21" t="s">
        <v>4346</v>
      </c>
      <c r="F2028" s="21" t="n">
        <v>35456</v>
      </c>
      <c r="G2028" s="22" t="s">
        <v>471</v>
      </c>
      <c r="H2028" s="23" t="n">
        <f aca="false">COUNTIF(CAL!U:AF,B2028)</f>
        <v>1</v>
      </c>
      <c r="I2028" s="22" t="n">
        <v>9</v>
      </c>
      <c r="J2028" s="20"/>
    </row>
    <row r="2029" customFormat="false" ht="15.75" hidden="false" customHeight="true" outlineLevel="0" collapsed="false">
      <c r="B2029" s="19" t="n">
        <v>1773</v>
      </c>
      <c r="C2029" s="20" t="s">
        <v>4347</v>
      </c>
      <c r="D2029" s="20" t="s">
        <v>232</v>
      </c>
      <c r="E2029" s="24" t="s">
        <v>4348</v>
      </c>
      <c r="F2029" s="21" t="n">
        <v>33394</v>
      </c>
      <c r="G2029" s="22" t="s">
        <v>471</v>
      </c>
      <c r="H2029" s="23" t="n">
        <f aca="false">COUNTIF(CAL!U:AF,B2029)</f>
        <v>1</v>
      </c>
      <c r="I2029" s="22" t="n">
        <v>9</v>
      </c>
      <c r="J2029" s="20" t="s">
        <v>3209</v>
      </c>
    </row>
    <row r="2030" customFormat="false" ht="15.75" hidden="false" customHeight="true" outlineLevel="0" collapsed="false">
      <c r="B2030" s="19" t="n">
        <v>2573</v>
      </c>
      <c r="C2030" s="20" t="s">
        <v>2664</v>
      </c>
      <c r="D2030" s="20" t="s">
        <v>195</v>
      </c>
      <c r="E2030" s="21" t="s">
        <v>4349</v>
      </c>
      <c r="F2030" s="21" t="n">
        <v>34507</v>
      </c>
      <c r="G2030" s="22" t="s">
        <v>471</v>
      </c>
      <c r="H2030" s="23" t="n">
        <f aca="false">COUNTIF(CAL!U:AF,B2030)</f>
        <v>1</v>
      </c>
      <c r="I2030" s="22" t="n">
        <v>9</v>
      </c>
      <c r="J2030" s="20"/>
    </row>
    <row r="2031" customFormat="false" ht="15.75" hidden="false" customHeight="true" outlineLevel="0" collapsed="false">
      <c r="B2031" s="19" t="n">
        <v>1872</v>
      </c>
      <c r="C2031" s="20" t="s">
        <v>4350</v>
      </c>
      <c r="D2031" s="20" t="s">
        <v>93</v>
      </c>
      <c r="E2031" s="24" t="s">
        <v>4351</v>
      </c>
      <c r="F2031" s="21" t="n">
        <v>38809</v>
      </c>
      <c r="G2031" s="22" t="s">
        <v>471</v>
      </c>
      <c r="H2031" s="23" t="n">
        <f aca="false">COUNTIF(CAL!U:AF,B2031)</f>
        <v>1</v>
      </c>
      <c r="I2031" s="22" t="n">
        <v>9</v>
      </c>
      <c r="J2031" s="20"/>
    </row>
    <row r="2032" customFormat="false" ht="15.75" hidden="false" customHeight="true" outlineLevel="0" collapsed="false">
      <c r="B2032" s="19" t="n">
        <v>2104</v>
      </c>
      <c r="C2032" s="20" t="s">
        <v>4352</v>
      </c>
      <c r="D2032" s="20" t="s">
        <v>82</v>
      </c>
      <c r="E2032" s="21" t="s">
        <v>4353</v>
      </c>
      <c r="F2032" s="21" t="n">
        <v>37511</v>
      </c>
      <c r="G2032" s="22" t="s">
        <v>471</v>
      </c>
      <c r="H2032" s="23" t="n">
        <f aca="false">COUNTIF(CAL!U:AF,B2032)</f>
        <v>1</v>
      </c>
      <c r="I2032" s="22" t="n">
        <v>9</v>
      </c>
      <c r="J2032" s="20"/>
    </row>
    <row r="2033" customFormat="false" ht="15.75" hidden="false" customHeight="true" outlineLevel="0" collapsed="false">
      <c r="B2033" s="19" t="n">
        <v>3574</v>
      </c>
      <c r="C2033" s="20" t="s">
        <v>4354</v>
      </c>
      <c r="D2033" s="20" t="s">
        <v>300</v>
      </c>
      <c r="E2033" s="21" t="s">
        <v>4355</v>
      </c>
      <c r="F2033" s="21" t="n">
        <v>36549</v>
      </c>
      <c r="G2033" s="22" t="s">
        <v>471</v>
      </c>
      <c r="H2033" s="23" t="n">
        <f aca="false">COUNTIF(CAL!U:AF,B2033)</f>
        <v>1</v>
      </c>
      <c r="I2033" s="22" t="n">
        <v>9</v>
      </c>
      <c r="J2033" s="20"/>
    </row>
    <row r="2034" customFormat="false" ht="15.75" hidden="false" customHeight="true" outlineLevel="0" collapsed="false">
      <c r="B2034" s="19" t="n">
        <v>1558</v>
      </c>
      <c r="C2034" s="20" t="s">
        <v>2428</v>
      </c>
      <c r="D2034" s="20" t="s">
        <v>111</v>
      </c>
      <c r="E2034" s="24" t="s">
        <v>4356</v>
      </c>
      <c r="F2034" s="21" t="n">
        <v>38066</v>
      </c>
      <c r="G2034" s="22" t="s">
        <v>471</v>
      </c>
      <c r="H2034" s="23" t="n">
        <f aca="false">COUNTIF(CAL!U:AF,B2034)</f>
        <v>1</v>
      </c>
      <c r="I2034" s="22" t="n">
        <v>9</v>
      </c>
      <c r="J2034" s="20"/>
    </row>
    <row r="2035" customFormat="false" ht="15.75" hidden="false" customHeight="true" outlineLevel="0" collapsed="false">
      <c r="B2035" s="19" t="n">
        <v>1164</v>
      </c>
      <c r="C2035" s="20" t="s">
        <v>4357</v>
      </c>
      <c r="D2035" s="20" t="s">
        <v>206</v>
      </c>
      <c r="E2035" s="21" t="s">
        <v>4358</v>
      </c>
      <c r="F2035" s="21" t="n">
        <v>34856</v>
      </c>
      <c r="G2035" s="22" t="s">
        <v>471</v>
      </c>
      <c r="H2035" s="23" t="n">
        <f aca="false">COUNTIF(CAL!U:AF,B2035)</f>
        <v>1</v>
      </c>
      <c r="I2035" s="22" t="n">
        <v>9</v>
      </c>
      <c r="J2035" s="20"/>
    </row>
    <row r="2036" customFormat="false" ht="15.75" hidden="false" customHeight="true" outlineLevel="0" collapsed="false">
      <c r="B2036" s="19" t="n">
        <v>3621</v>
      </c>
      <c r="C2036" s="20" t="s">
        <v>1415</v>
      </c>
      <c r="D2036" s="20" t="s">
        <v>339</v>
      </c>
      <c r="E2036" s="21" t="s">
        <v>4359</v>
      </c>
      <c r="F2036" s="21" t="n">
        <v>35251</v>
      </c>
      <c r="G2036" s="22" t="s">
        <v>471</v>
      </c>
      <c r="H2036" s="23" t="n">
        <f aca="false">COUNTIF(CAL!U:AF,B2036)</f>
        <v>1</v>
      </c>
      <c r="I2036" s="22" t="n">
        <v>9</v>
      </c>
      <c r="J2036" s="20"/>
    </row>
    <row r="2037" customFormat="false" ht="15.75" hidden="false" customHeight="true" outlineLevel="0" collapsed="false">
      <c r="B2037" s="19" t="n">
        <v>3372</v>
      </c>
      <c r="C2037" s="20" t="s">
        <v>4360</v>
      </c>
      <c r="D2037" s="20" t="s">
        <v>338</v>
      </c>
      <c r="E2037" s="24" t="s">
        <v>4361</v>
      </c>
      <c r="F2037" s="21" t="n">
        <v>36624</v>
      </c>
      <c r="G2037" s="22" t="s">
        <v>471</v>
      </c>
      <c r="H2037" s="23" t="n">
        <f aca="false">COUNTIF(CAL!U:AF,B2037)</f>
        <v>1</v>
      </c>
      <c r="I2037" s="22" t="n">
        <v>9</v>
      </c>
      <c r="J2037" s="20"/>
    </row>
    <row r="2038" customFormat="false" ht="15.75" hidden="false" customHeight="true" outlineLevel="0" collapsed="false">
      <c r="B2038" s="19" t="n">
        <v>1055</v>
      </c>
      <c r="C2038" s="20" t="s">
        <v>4362</v>
      </c>
      <c r="D2038" s="20" t="s">
        <v>160</v>
      </c>
      <c r="E2038" s="21" t="s">
        <v>4363</v>
      </c>
      <c r="F2038" s="21" t="n">
        <v>36179</v>
      </c>
      <c r="G2038" s="22" t="s">
        <v>471</v>
      </c>
      <c r="H2038" s="23" t="n">
        <f aca="false">COUNTIF(CAL!U:AF,B2038)</f>
        <v>1</v>
      </c>
      <c r="I2038" s="22" t="n">
        <v>9</v>
      </c>
      <c r="J2038" s="20"/>
    </row>
    <row r="2039" customFormat="false" ht="15.75" hidden="false" customHeight="true" outlineLevel="0" collapsed="false">
      <c r="B2039" s="19" t="n">
        <v>1178</v>
      </c>
      <c r="C2039" s="20" t="s">
        <v>1667</v>
      </c>
      <c r="D2039" s="20" t="s">
        <v>170</v>
      </c>
      <c r="E2039" s="21" t="s">
        <v>4364</v>
      </c>
      <c r="F2039" s="21" t="n">
        <v>32863</v>
      </c>
      <c r="G2039" s="22" t="s">
        <v>471</v>
      </c>
      <c r="H2039" s="23" t="n">
        <f aca="false">COUNTIF(CAL!U:AF,B2039)</f>
        <v>1</v>
      </c>
      <c r="I2039" s="22" t="n">
        <v>9</v>
      </c>
      <c r="J2039" s="20"/>
    </row>
    <row r="2040" customFormat="false" ht="15.75" hidden="false" customHeight="true" outlineLevel="0" collapsed="false">
      <c r="B2040" s="19" t="n">
        <v>1458</v>
      </c>
      <c r="C2040" s="20" t="s">
        <v>4365</v>
      </c>
      <c r="D2040" s="20" t="s">
        <v>173</v>
      </c>
      <c r="E2040" s="21" t="s">
        <v>4366</v>
      </c>
      <c r="F2040" s="21" t="n">
        <v>35755</v>
      </c>
      <c r="G2040" s="22" t="s">
        <v>471</v>
      </c>
      <c r="H2040" s="23" t="n">
        <f aca="false">COUNTIF(CAL!U:AF,B2040)</f>
        <v>1</v>
      </c>
      <c r="I2040" s="22" t="n">
        <v>9</v>
      </c>
      <c r="J2040" s="20"/>
    </row>
    <row r="2041" customFormat="false" ht="15.75" hidden="false" customHeight="true" outlineLevel="0" collapsed="false">
      <c r="B2041" s="19" t="n">
        <v>1327</v>
      </c>
      <c r="C2041" s="20" t="s">
        <v>4367</v>
      </c>
      <c r="D2041" s="20" t="s">
        <v>191</v>
      </c>
      <c r="E2041" s="21" t="s">
        <v>4368</v>
      </c>
      <c r="F2041" s="21" t="n">
        <v>35919</v>
      </c>
      <c r="G2041" s="22" t="s">
        <v>471</v>
      </c>
      <c r="H2041" s="23" t="n">
        <f aca="false">COUNTIF(CAL!U:AF,B2041)</f>
        <v>1</v>
      </c>
      <c r="I2041" s="22" t="n">
        <v>9</v>
      </c>
      <c r="J2041" s="20"/>
    </row>
    <row r="2042" customFormat="false" ht="15.75" hidden="false" customHeight="true" outlineLevel="0" collapsed="false">
      <c r="B2042" s="19" t="n">
        <v>1680</v>
      </c>
      <c r="C2042" s="20" t="s">
        <v>529</v>
      </c>
      <c r="D2042" s="20" t="s">
        <v>278</v>
      </c>
      <c r="E2042" s="21" t="s">
        <v>4369</v>
      </c>
      <c r="F2042" s="21" t="n">
        <v>38156</v>
      </c>
      <c r="G2042" s="22" t="s">
        <v>471</v>
      </c>
      <c r="H2042" s="23" t="n">
        <f aca="false">COUNTIF(CAL!U:AF,B2042)</f>
        <v>1</v>
      </c>
      <c r="I2042" s="22" t="n">
        <v>9</v>
      </c>
      <c r="J2042" s="20"/>
    </row>
    <row r="2043" customFormat="false" ht="15.75" hidden="false" customHeight="true" outlineLevel="0" collapsed="false">
      <c r="B2043" s="19" t="n">
        <v>2705</v>
      </c>
      <c r="C2043" s="20" t="s">
        <v>4370</v>
      </c>
      <c r="D2043" s="20" t="s">
        <v>325</v>
      </c>
      <c r="E2043" s="21" t="s">
        <v>4371</v>
      </c>
      <c r="F2043" s="21" t="n">
        <v>37366</v>
      </c>
      <c r="G2043" s="22" t="s">
        <v>471</v>
      </c>
      <c r="H2043" s="23" t="n">
        <f aca="false">COUNTIF(CAL!U:AF,B2043)</f>
        <v>1</v>
      </c>
      <c r="I2043" s="22" t="n">
        <v>9</v>
      </c>
      <c r="J2043" s="20"/>
    </row>
    <row r="2044" customFormat="false" ht="15.75" hidden="false" customHeight="true" outlineLevel="0" collapsed="false">
      <c r="B2044" s="19" t="n">
        <v>2561</v>
      </c>
      <c r="C2044" s="20" t="s">
        <v>4372</v>
      </c>
      <c r="D2044" s="20" t="s">
        <v>179</v>
      </c>
      <c r="E2044" s="21" t="s">
        <v>4373</v>
      </c>
      <c r="F2044" s="21" t="n">
        <v>34713</v>
      </c>
      <c r="G2044" s="22" t="s">
        <v>471</v>
      </c>
      <c r="H2044" s="23" t="n">
        <f aca="false">COUNTIF(CAL!U:AF,B2044)</f>
        <v>1</v>
      </c>
      <c r="I2044" s="22" t="n">
        <v>9</v>
      </c>
      <c r="J2044" s="20"/>
    </row>
    <row r="2045" customFormat="false" ht="15.75" hidden="false" customHeight="true" outlineLevel="0" collapsed="false">
      <c r="B2045" s="19" t="n">
        <v>1456</v>
      </c>
      <c r="C2045" s="20" t="s">
        <v>4374</v>
      </c>
      <c r="D2045" s="20" t="s">
        <v>175</v>
      </c>
      <c r="E2045" s="24" t="s">
        <v>4375</v>
      </c>
      <c r="F2045" s="21" t="n">
        <v>36744</v>
      </c>
      <c r="G2045" s="22" t="s">
        <v>471</v>
      </c>
      <c r="H2045" s="23" t="n">
        <f aca="false">COUNTIF(CAL!U:AF,B2045)</f>
        <v>1</v>
      </c>
      <c r="I2045" s="22" t="n">
        <v>9</v>
      </c>
      <c r="J2045" s="20"/>
    </row>
    <row r="2046" customFormat="false" ht="15.75" hidden="false" customHeight="true" outlineLevel="0" collapsed="false">
      <c r="B2046" s="19" t="n">
        <v>3069</v>
      </c>
      <c r="C2046" s="20" t="s">
        <v>4376</v>
      </c>
      <c r="D2046" s="20" t="s">
        <v>176</v>
      </c>
      <c r="E2046" s="21" t="s">
        <v>4377</v>
      </c>
      <c r="F2046" s="21" t="n">
        <v>38077</v>
      </c>
      <c r="G2046" s="22" t="s">
        <v>481</v>
      </c>
      <c r="H2046" s="23" t="n">
        <f aca="false">COUNTIF(CAL!U:AF,B2046)</f>
        <v>1</v>
      </c>
      <c r="I2046" s="22" t="n">
        <v>9</v>
      </c>
      <c r="J2046" s="20"/>
    </row>
    <row r="2047" customFormat="false" ht="15.75" hidden="false" customHeight="true" outlineLevel="0" collapsed="false">
      <c r="B2047" s="19" t="n">
        <v>1778</v>
      </c>
      <c r="C2047" s="20" t="s">
        <v>4378</v>
      </c>
      <c r="D2047" s="20" t="s">
        <v>267</v>
      </c>
      <c r="E2047" s="21" t="s">
        <v>4379</v>
      </c>
      <c r="F2047" s="21" t="n">
        <v>36533</v>
      </c>
      <c r="G2047" s="22" t="s">
        <v>1017</v>
      </c>
      <c r="H2047" s="23" t="n">
        <f aca="false">COUNTIF(CAL!U:AF,B2047)</f>
        <v>1</v>
      </c>
      <c r="I2047" s="22" t="n">
        <v>9</v>
      </c>
      <c r="J2047" s="20"/>
    </row>
    <row r="2048" customFormat="false" ht="15.75" hidden="false" customHeight="true" outlineLevel="0" collapsed="false">
      <c r="B2048" s="19" t="n">
        <v>2565</v>
      </c>
      <c r="C2048" s="20" t="s">
        <v>4380</v>
      </c>
      <c r="D2048" s="20" t="s">
        <v>79</v>
      </c>
      <c r="E2048" s="24" t="s">
        <v>4381</v>
      </c>
      <c r="F2048" s="21" t="n">
        <v>34435</v>
      </c>
      <c r="G2048" s="22" t="s">
        <v>471</v>
      </c>
      <c r="H2048" s="23" t="n">
        <f aca="false">COUNTIF(CAL!U:AF,B2048)</f>
        <v>1</v>
      </c>
      <c r="I2048" s="22" t="n">
        <v>9</v>
      </c>
      <c r="J2048" s="20"/>
    </row>
    <row r="2049" customFormat="false" ht="15.75" hidden="false" customHeight="true" outlineLevel="0" collapsed="false">
      <c r="B2049" s="19" t="n">
        <v>2769</v>
      </c>
      <c r="C2049" s="20" t="s">
        <v>4382</v>
      </c>
      <c r="D2049" s="20" t="s">
        <v>316</v>
      </c>
      <c r="E2049" s="21" t="s">
        <v>4383</v>
      </c>
      <c r="F2049" s="21" t="n">
        <v>36370</v>
      </c>
      <c r="G2049" s="22" t="s">
        <v>471</v>
      </c>
      <c r="H2049" s="23" t="n">
        <f aca="false">COUNTIF(CAL!U:AF,B2049)</f>
        <v>1</v>
      </c>
      <c r="I2049" s="22" t="n">
        <v>9</v>
      </c>
      <c r="J2049" s="20"/>
    </row>
    <row r="2050" customFormat="false" ht="15.75" hidden="false" customHeight="true" outlineLevel="0" collapsed="false">
      <c r="B2050" s="19" t="n">
        <v>2009</v>
      </c>
      <c r="C2050" s="20" t="s">
        <v>4384</v>
      </c>
      <c r="D2050" s="20" t="s">
        <v>175</v>
      </c>
      <c r="E2050" s="21" t="s">
        <v>4385</v>
      </c>
      <c r="F2050" s="21" t="n">
        <v>31132</v>
      </c>
      <c r="G2050" s="22" t="s">
        <v>471</v>
      </c>
      <c r="H2050" s="23" t="n">
        <f aca="false">COUNTIF(CAL!U:AF,B2050)</f>
        <v>1</v>
      </c>
      <c r="I2050" s="22" t="n">
        <v>9</v>
      </c>
      <c r="J2050" s="20"/>
    </row>
    <row r="2051" customFormat="false" ht="15.75" hidden="false" customHeight="true" outlineLevel="0" collapsed="false">
      <c r="B2051" s="19" t="n">
        <v>1472</v>
      </c>
      <c r="C2051" s="20" t="s">
        <v>880</v>
      </c>
      <c r="D2051" s="20" t="s">
        <v>389</v>
      </c>
      <c r="E2051" s="21" t="s">
        <v>4386</v>
      </c>
      <c r="F2051" s="21" t="n">
        <v>32302</v>
      </c>
      <c r="G2051" s="22" t="s">
        <v>471</v>
      </c>
      <c r="H2051" s="23" t="n">
        <f aca="false">COUNTIF(CAL!U:AF,B2051)</f>
        <v>1</v>
      </c>
      <c r="I2051" s="22" t="n">
        <v>9</v>
      </c>
      <c r="J2051" s="20" t="s">
        <v>4387</v>
      </c>
    </row>
    <row r="2052" customFormat="false" ht="15.75" hidden="false" customHeight="true" outlineLevel="0" collapsed="false">
      <c r="B2052" s="19" t="n">
        <v>1469</v>
      </c>
      <c r="C2052" s="20" t="s">
        <v>4388</v>
      </c>
      <c r="D2052" s="20" t="s">
        <v>222</v>
      </c>
      <c r="E2052" s="24" t="s">
        <v>4389</v>
      </c>
      <c r="F2052" s="21" t="n">
        <v>34305</v>
      </c>
      <c r="G2052" s="22" t="s">
        <v>471</v>
      </c>
      <c r="H2052" s="23" t="n">
        <f aca="false">COUNTIF(CAL!U:AF,B2052)</f>
        <v>1</v>
      </c>
      <c r="I2052" s="22" t="n">
        <v>9</v>
      </c>
      <c r="J2052" s="20"/>
    </row>
    <row r="2053" customFormat="false" ht="15.75" hidden="false" customHeight="true" outlineLevel="0" collapsed="false">
      <c r="B2053" s="19" t="n">
        <v>2763</v>
      </c>
      <c r="C2053" s="20" t="s">
        <v>4390</v>
      </c>
      <c r="D2053" s="20" t="s">
        <v>108</v>
      </c>
      <c r="E2053" s="21" t="s">
        <v>4391</v>
      </c>
      <c r="F2053" s="21" t="n">
        <v>36992</v>
      </c>
      <c r="G2053" s="22" t="s">
        <v>471</v>
      </c>
      <c r="H2053" s="23" t="n">
        <f aca="false">COUNTIF(CAL!U:AF,B2053)</f>
        <v>1</v>
      </c>
      <c r="I2053" s="22" t="n">
        <v>9</v>
      </c>
      <c r="J2053" s="20"/>
    </row>
    <row r="2054" customFormat="false" ht="15.75" hidden="false" customHeight="true" outlineLevel="0" collapsed="false">
      <c r="B2054" s="19" t="n">
        <v>2021</v>
      </c>
      <c r="C2054" s="20" t="s">
        <v>4392</v>
      </c>
      <c r="D2054" s="20" t="s">
        <v>264</v>
      </c>
      <c r="E2054" s="21" t="s">
        <v>4393</v>
      </c>
      <c r="F2054" s="21" t="n">
        <v>33921</v>
      </c>
      <c r="G2054" s="22" t="s">
        <v>471</v>
      </c>
      <c r="H2054" s="23" t="n">
        <f aca="false">COUNTIF(CAL!U:AF,B2054)</f>
        <v>1</v>
      </c>
      <c r="I2054" s="22" t="n">
        <v>9</v>
      </c>
      <c r="J2054" s="20"/>
    </row>
    <row r="2055" customFormat="false" ht="15.75" hidden="false" customHeight="true" outlineLevel="0" collapsed="false">
      <c r="B2055" s="19" t="n">
        <v>1467</v>
      </c>
      <c r="C2055" s="20" t="s">
        <v>4394</v>
      </c>
      <c r="D2055" s="20" t="s">
        <v>225</v>
      </c>
      <c r="E2055" s="21" t="s">
        <v>4395</v>
      </c>
      <c r="F2055" s="21" t="n">
        <v>35231</v>
      </c>
      <c r="G2055" s="22" t="s">
        <v>471</v>
      </c>
      <c r="H2055" s="23" t="n">
        <f aca="false">COUNTIF(CAL!U:AF,B2055)</f>
        <v>1</v>
      </c>
      <c r="I2055" s="22" t="n">
        <v>9</v>
      </c>
      <c r="J2055" s="20"/>
    </row>
    <row r="2056" customFormat="false" ht="15.75" hidden="false" customHeight="true" outlineLevel="0" collapsed="false">
      <c r="B2056" s="19" t="n">
        <v>2067</v>
      </c>
      <c r="C2056" s="20" t="s">
        <v>4396</v>
      </c>
      <c r="D2056" s="20" t="s">
        <v>299</v>
      </c>
      <c r="E2056" s="24" t="s">
        <v>4397</v>
      </c>
      <c r="F2056" s="21" t="n">
        <v>32156</v>
      </c>
      <c r="G2056" s="22" t="s">
        <v>471</v>
      </c>
      <c r="H2056" s="23" t="n">
        <f aca="false">COUNTIF(CAL!U:AF,B2056)</f>
        <v>1</v>
      </c>
      <c r="I2056" s="22" t="n">
        <v>9</v>
      </c>
      <c r="J2056" s="20"/>
    </row>
    <row r="2057" customFormat="false" ht="15.75" hidden="false" customHeight="true" outlineLevel="0" collapsed="false">
      <c r="B2057" s="19" t="n">
        <v>2795</v>
      </c>
      <c r="C2057" s="20" t="s">
        <v>4398</v>
      </c>
      <c r="D2057" s="20" t="s">
        <v>216</v>
      </c>
      <c r="E2057" s="21" t="s">
        <v>4399</v>
      </c>
      <c r="F2057" s="21" t="n">
        <v>37499</v>
      </c>
      <c r="G2057" s="22" t="s">
        <v>471</v>
      </c>
      <c r="H2057" s="23" t="n">
        <f aca="false">COUNTIF(CAL!U:AF,B2057)</f>
        <v>1</v>
      </c>
      <c r="I2057" s="22" t="n">
        <v>9</v>
      </c>
      <c r="J2057" s="20"/>
    </row>
    <row r="2058" customFormat="false" ht="15.75" hidden="false" customHeight="true" outlineLevel="0" collapsed="false">
      <c r="B2058" s="19" t="n">
        <v>3272</v>
      </c>
      <c r="C2058" s="20" t="s">
        <v>4400</v>
      </c>
      <c r="D2058" s="20" t="s">
        <v>211</v>
      </c>
      <c r="E2058" s="24" t="s">
        <v>4401</v>
      </c>
      <c r="F2058" s="21" t="n">
        <v>38125</v>
      </c>
      <c r="G2058" s="22" t="s">
        <v>471</v>
      </c>
      <c r="H2058" s="23" t="n">
        <f aca="false">COUNTIF(CAL!U:AF,B2058)</f>
        <v>1</v>
      </c>
      <c r="I2058" s="22" t="n">
        <v>9</v>
      </c>
      <c r="J2058" s="20"/>
    </row>
    <row r="2059" customFormat="false" ht="15.75" hidden="false" customHeight="true" outlineLevel="0" collapsed="false">
      <c r="B2059" s="19" t="n">
        <v>1726</v>
      </c>
      <c r="C2059" s="20" t="s">
        <v>4402</v>
      </c>
      <c r="D2059" s="20" t="s">
        <v>147</v>
      </c>
      <c r="E2059" s="21" t="s">
        <v>4403</v>
      </c>
      <c r="F2059" s="21" t="n">
        <v>35450</v>
      </c>
      <c r="G2059" s="22" t="s">
        <v>471</v>
      </c>
      <c r="H2059" s="23" t="n">
        <f aca="false">COUNTIF(CAL!U:AF,B2059)</f>
        <v>1</v>
      </c>
      <c r="I2059" s="22" t="n">
        <v>9</v>
      </c>
      <c r="J2059" s="20"/>
    </row>
    <row r="2060" customFormat="false" ht="15.75" hidden="false" customHeight="true" outlineLevel="0" collapsed="false">
      <c r="B2060" s="19" t="n">
        <v>2468</v>
      </c>
      <c r="C2060" s="20" t="s">
        <v>4404</v>
      </c>
      <c r="D2060" s="20" t="s">
        <v>58</v>
      </c>
      <c r="E2060" s="21" t="s">
        <v>4405</v>
      </c>
      <c r="F2060" s="21" t="n">
        <v>36947</v>
      </c>
      <c r="G2060" s="22" t="s">
        <v>471</v>
      </c>
      <c r="H2060" s="23" t="n">
        <f aca="false">COUNTIF(CAL!U:AF,B2060)</f>
        <v>1</v>
      </c>
      <c r="I2060" s="22" t="n">
        <v>9</v>
      </c>
      <c r="J2060" s="20" t="s">
        <v>1443</v>
      </c>
    </row>
    <row r="2061" customFormat="false" ht="15.75" hidden="false" customHeight="true" outlineLevel="0" collapsed="false">
      <c r="B2061" s="19" t="n">
        <v>1652</v>
      </c>
      <c r="C2061" s="20" t="s">
        <v>1091</v>
      </c>
      <c r="D2061" s="20" t="s">
        <v>103</v>
      </c>
      <c r="E2061" s="21" t="s">
        <v>4406</v>
      </c>
      <c r="F2061" s="21" t="n">
        <v>33829</v>
      </c>
      <c r="G2061" s="22" t="s">
        <v>471</v>
      </c>
      <c r="H2061" s="23" t="n">
        <f aca="false">COUNTIF(CAL!U:AF,B2061)</f>
        <v>1</v>
      </c>
      <c r="I2061" s="22" t="n">
        <v>9</v>
      </c>
      <c r="J2061" s="20"/>
    </row>
    <row r="2062" customFormat="false" ht="15.75" hidden="false" customHeight="true" outlineLevel="0" collapsed="false">
      <c r="B2062" s="19" t="n">
        <v>3071</v>
      </c>
      <c r="C2062" s="20" t="s">
        <v>1091</v>
      </c>
      <c r="D2062" s="20" t="s">
        <v>178</v>
      </c>
      <c r="E2062" s="21" t="s">
        <v>4407</v>
      </c>
      <c r="F2062" s="21" t="n">
        <v>36845</v>
      </c>
      <c r="G2062" s="22" t="s">
        <v>471</v>
      </c>
      <c r="H2062" s="23" t="n">
        <f aca="false">COUNTIF(CAL!U:AF,B2062)</f>
        <v>1</v>
      </c>
      <c r="I2062" s="22" t="n">
        <v>9</v>
      </c>
      <c r="J2062" s="20"/>
    </row>
    <row r="2063" customFormat="false" ht="15.75" hidden="false" customHeight="true" outlineLevel="0" collapsed="false">
      <c r="B2063" s="19" t="n">
        <v>3194</v>
      </c>
      <c r="C2063" s="20" t="s">
        <v>4408</v>
      </c>
      <c r="D2063" s="20" t="s">
        <v>211</v>
      </c>
      <c r="E2063" s="21" t="s">
        <v>4409</v>
      </c>
      <c r="F2063" s="21" t="n">
        <v>33587</v>
      </c>
      <c r="G2063" s="22" t="s">
        <v>471</v>
      </c>
      <c r="H2063" s="23" t="n">
        <f aca="false">COUNTIF(CAL!U:AF,B2063)</f>
        <v>1</v>
      </c>
      <c r="I2063" s="22" t="n">
        <v>9</v>
      </c>
      <c r="J2063" s="20"/>
    </row>
    <row r="2064" customFormat="false" ht="15.75" hidden="false" customHeight="true" outlineLevel="0" collapsed="false">
      <c r="B2064" s="19" t="n">
        <v>2831</v>
      </c>
      <c r="C2064" s="20" t="s">
        <v>4410</v>
      </c>
      <c r="D2064" s="20" t="s">
        <v>68</v>
      </c>
      <c r="E2064" s="21" t="s">
        <v>4411</v>
      </c>
      <c r="F2064" s="21" t="n">
        <v>36854</v>
      </c>
      <c r="G2064" s="22" t="s">
        <v>471</v>
      </c>
      <c r="H2064" s="23" t="n">
        <f aca="false">COUNTIF(CAL!U:AF,B2064)</f>
        <v>1</v>
      </c>
      <c r="I2064" s="22" t="n">
        <v>9</v>
      </c>
      <c r="J2064" s="20"/>
    </row>
    <row r="2065" customFormat="false" ht="15.75" hidden="false" customHeight="true" outlineLevel="0" collapsed="false">
      <c r="B2065" s="19" t="n">
        <v>2651</v>
      </c>
      <c r="C2065" s="20" t="s">
        <v>4412</v>
      </c>
      <c r="D2065" s="20" t="s">
        <v>301</v>
      </c>
      <c r="E2065" s="24" t="s">
        <v>4413</v>
      </c>
      <c r="F2065" s="21" t="n">
        <v>35134</v>
      </c>
      <c r="G2065" s="22" t="s">
        <v>471</v>
      </c>
      <c r="H2065" s="23" t="n">
        <f aca="false">COUNTIF(CAL!U:AF,B2065)</f>
        <v>1</v>
      </c>
      <c r="I2065" s="22" t="n">
        <v>9</v>
      </c>
      <c r="J2065" s="20"/>
    </row>
    <row r="2066" customFormat="false" ht="15.75" hidden="false" customHeight="true" outlineLevel="0" collapsed="false">
      <c r="B2066" s="19" t="n">
        <v>1454</v>
      </c>
      <c r="C2066" s="20" t="s">
        <v>4414</v>
      </c>
      <c r="D2066" s="20" t="s">
        <v>110</v>
      </c>
      <c r="E2066" s="21" t="s">
        <v>4415</v>
      </c>
      <c r="F2066" s="21" t="n">
        <v>34880</v>
      </c>
      <c r="G2066" s="22" t="s">
        <v>471</v>
      </c>
      <c r="H2066" s="23" t="n">
        <f aca="false">COUNTIF(CAL!U:AF,B2066)</f>
        <v>1</v>
      </c>
      <c r="I2066" s="22" t="n">
        <v>9</v>
      </c>
      <c r="J2066" s="20"/>
    </row>
    <row r="2067" customFormat="false" ht="15.75" hidden="false" customHeight="true" outlineLevel="0" collapsed="false">
      <c r="B2067" s="19" t="n">
        <v>2214</v>
      </c>
      <c r="C2067" s="20" t="s">
        <v>1886</v>
      </c>
      <c r="D2067" s="20" t="s">
        <v>278</v>
      </c>
      <c r="E2067" s="21" t="s">
        <v>4416</v>
      </c>
      <c r="F2067" s="21" t="n">
        <v>34382</v>
      </c>
      <c r="G2067" s="22" t="s">
        <v>471</v>
      </c>
      <c r="H2067" s="23" t="n">
        <f aca="false">COUNTIF(CAL!U:AF,B2067)</f>
        <v>1</v>
      </c>
      <c r="I2067" s="22" t="n">
        <v>9</v>
      </c>
      <c r="J2067" s="20"/>
    </row>
    <row r="2068" customFormat="false" ht="15.75" hidden="false" customHeight="true" outlineLevel="0" collapsed="false">
      <c r="B2068" s="19" t="n">
        <v>1338</v>
      </c>
      <c r="C2068" s="20" t="s">
        <v>4417</v>
      </c>
      <c r="D2068" s="20" t="s">
        <v>169</v>
      </c>
      <c r="E2068" s="21" t="s">
        <v>4417</v>
      </c>
      <c r="F2068" s="21" t="n">
        <v>35332</v>
      </c>
      <c r="G2068" s="22" t="s">
        <v>471</v>
      </c>
      <c r="H2068" s="23" t="n">
        <f aca="false">COUNTIF(CAL!U:AF,B2068)</f>
        <v>1</v>
      </c>
      <c r="I2068" s="22" t="n">
        <v>9</v>
      </c>
      <c r="J2068" s="20"/>
    </row>
    <row r="2069" customFormat="false" ht="15.75" hidden="false" customHeight="true" outlineLevel="0" collapsed="false">
      <c r="B2069" s="19" t="n">
        <v>3191</v>
      </c>
      <c r="C2069" s="20" t="s">
        <v>4418</v>
      </c>
      <c r="D2069" s="20" t="s">
        <v>199</v>
      </c>
      <c r="E2069" s="21" t="s">
        <v>4419</v>
      </c>
      <c r="F2069" s="21" t="n">
        <v>31735</v>
      </c>
      <c r="G2069" s="22" t="s">
        <v>471</v>
      </c>
      <c r="H2069" s="23" t="n">
        <f aca="false">COUNTIF(CAL!U:AF,B2069)</f>
        <v>1</v>
      </c>
      <c r="I2069" s="22" t="n">
        <v>9</v>
      </c>
      <c r="J2069" s="20"/>
    </row>
    <row r="2070" customFormat="false" ht="15.75" hidden="false" customHeight="true" outlineLevel="0" collapsed="false">
      <c r="B2070" s="19" t="n">
        <v>2813</v>
      </c>
      <c r="C2070" s="20" t="s">
        <v>4420</v>
      </c>
      <c r="D2070" s="20" t="s">
        <v>136</v>
      </c>
      <c r="E2070" s="21" t="s">
        <v>4421</v>
      </c>
      <c r="F2070" s="21" t="n">
        <v>35314</v>
      </c>
      <c r="G2070" s="22" t="s">
        <v>471</v>
      </c>
      <c r="H2070" s="23" t="n">
        <f aca="false">COUNTIF(CAL!U:AF,B2070)</f>
        <v>1</v>
      </c>
      <c r="I2070" s="22" t="n">
        <v>9</v>
      </c>
      <c r="J2070" s="20"/>
    </row>
    <row r="2071" customFormat="false" ht="15.75" hidden="false" customHeight="true" outlineLevel="0" collapsed="false">
      <c r="B2071" s="19" t="n">
        <v>2591</v>
      </c>
      <c r="C2071" s="20" t="s">
        <v>4422</v>
      </c>
      <c r="D2071" s="20" t="s">
        <v>64</v>
      </c>
      <c r="E2071" s="21" t="s">
        <v>4423</v>
      </c>
      <c r="F2071" s="21" t="n">
        <v>37995</v>
      </c>
      <c r="G2071" s="22" t="s">
        <v>471</v>
      </c>
      <c r="H2071" s="23" t="n">
        <f aca="false">COUNTIF(CAL!U:AF,B2071)</f>
        <v>1</v>
      </c>
      <c r="I2071" s="22" t="n">
        <v>9</v>
      </c>
      <c r="J2071" s="20" t="s">
        <v>4424</v>
      </c>
    </row>
    <row r="2072" customFormat="false" ht="15.75" hidden="false" customHeight="true" outlineLevel="0" collapsed="false">
      <c r="B2072" s="19" t="n">
        <v>3239</v>
      </c>
      <c r="C2072" s="20" t="s">
        <v>4425</v>
      </c>
      <c r="D2072" s="20" t="s">
        <v>237</v>
      </c>
      <c r="E2072" s="21" t="s">
        <v>4426</v>
      </c>
      <c r="F2072" s="21" t="n">
        <v>36349</v>
      </c>
      <c r="G2072" s="22" t="s">
        <v>471</v>
      </c>
      <c r="H2072" s="23" t="n">
        <f aca="false">COUNTIF(CAL!U:AF,B2072)</f>
        <v>1</v>
      </c>
      <c r="I2072" s="22" t="n">
        <v>9</v>
      </c>
      <c r="J2072" s="20"/>
    </row>
    <row r="2073" customFormat="false" ht="15.75" hidden="false" customHeight="true" outlineLevel="0" collapsed="false">
      <c r="B2073" s="19" t="n">
        <v>2036</v>
      </c>
      <c r="C2073" s="20" t="s">
        <v>4427</v>
      </c>
      <c r="D2073" s="20" t="s">
        <v>169</v>
      </c>
      <c r="E2073" s="21" t="s">
        <v>4428</v>
      </c>
      <c r="F2073" s="21" t="n">
        <v>38114</v>
      </c>
      <c r="G2073" s="22" t="s">
        <v>471</v>
      </c>
      <c r="H2073" s="23" t="n">
        <f aca="false">COUNTIF(CAL!U:AF,B2073)</f>
        <v>1</v>
      </c>
      <c r="I2073" s="22" t="n">
        <v>9</v>
      </c>
      <c r="J2073" s="20"/>
    </row>
    <row r="2074" customFormat="false" ht="15.75" hidden="false" customHeight="true" outlineLevel="0" collapsed="false">
      <c r="B2074" s="19" t="n">
        <v>3333</v>
      </c>
      <c r="C2074" s="20" t="s">
        <v>2351</v>
      </c>
      <c r="D2074" s="20" t="s">
        <v>67</v>
      </c>
      <c r="E2074" s="21" t="s">
        <v>4429</v>
      </c>
      <c r="F2074" s="21" t="n">
        <v>35306</v>
      </c>
      <c r="G2074" s="22" t="s">
        <v>504</v>
      </c>
      <c r="H2074" s="23" t="n">
        <f aca="false">COUNTIF(CAL!U:AF,B2074)</f>
        <v>1</v>
      </c>
      <c r="I2074" s="22" t="n">
        <v>10</v>
      </c>
      <c r="J2074" s="20"/>
    </row>
    <row r="2075" customFormat="false" ht="15.75" hidden="false" customHeight="true" outlineLevel="0" collapsed="false">
      <c r="B2075" s="19" t="n">
        <v>2445</v>
      </c>
      <c r="C2075" s="20" t="s">
        <v>4430</v>
      </c>
      <c r="D2075" s="20" t="s">
        <v>301</v>
      </c>
      <c r="E2075" s="21" t="s">
        <v>4431</v>
      </c>
      <c r="F2075" s="21" t="n">
        <v>37692</v>
      </c>
      <c r="G2075" s="22" t="s">
        <v>471</v>
      </c>
      <c r="H2075" s="23" t="n">
        <f aca="false">COUNTIF(CAL!U:AF,B2075)</f>
        <v>1</v>
      </c>
      <c r="I2075" s="22" t="n">
        <v>10</v>
      </c>
      <c r="J2075" s="20"/>
    </row>
    <row r="2076" customFormat="false" ht="15.75" hidden="false" customHeight="true" outlineLevel="0" collapsed="false">
      <c r="B2076" s="19" t="n">
        <v>1949</v>
      </c>
      <c r="C2076" s="20" t="s">
        <v>1309</v>
      </c>
      <c r="D2076" s="20" t="s">
        <v>280</v>
      </c>
      <c r="E2076" s="21" t="s">
        <v>4432</v>
      </c>
      <c r="F2076" s="21" t="n">
        <v>37313</v>
      </c>
      <c r="G2076" s="22" t="s">
        <v>471</v>
      </c>
      <c r="H2076" s="23" t="n">
        <f aca="false">COUNTIF(CAL!U:AF,B2076)</f>
        <v>1</v>
      </c>
      <c r="I2076" s="22" t="n">
        <v>10</v>
      </c>
      <c r="J2076" s="20"/>
    </row>
    <row r="2077" customFormat="false" ht="15.75" hidden="false" customHeight="true" outlineLevel="0" collapsed="false">
      <c r="B2077" s="19" t="n">
        <v>2775</v>
      </c>
      <c r="C2077" s="20" t="s">
        <v>2456</v>
      </c>
      <c r="D2077" s="20" t="s">
        <v>319</v>
      </c>
      <c r="E2077" s="21" t="s">
        <v>4433</v>
      </c>
      <c r="F2077" s="21" t="n">
        <v>36955</v>
      </c>
      <c r="G2077" s="22" t="s">
        <v>471</v>
      </c>
      <c r="H2077" s="23" t="n">
        <f aca="false">COUNTIF(CAL!U:AF,B2077)</f>
        <v>1</v>
      </c>
      <c r="I2077" s="22" t="n">
        <v>10</v>
      </c>
      <c r="J2077" s="20"/>
    </row>
    <row r="2078" customFormat="false" ht="15.75" hidden="false" customHeight="true" outlineLevel="0" collapsed="false">
      <c r="B2078" s="19" t="n">
        <v>2690</v>
      </c>
      <c r="C2078" s="20" t="s">
        <v>4434</v>
      </c>
      <c r="D2078" s="20" t="s">
        <v>277</v>
      </c>
      <c r="E2078" s="21" t="s">
        <v>4435</v>
      </c>
      <c r="F2078" s="21" t="n">
        <v>34842</v>
      </c>
      <c r="G2078" s="22" t="s">
        <v>471</v>
      </c>
      <c r="H2078" s="23" t="n">
        <f aca="false">COUNTIF(CAL!U:AF,B2078)</f>
        <v>1</v>
      </c>
      <c r="I2078" s="22" t="n">
        <v>10</v>
      </c>
      <c r="J2078" s="20"/>
    </row>
    <row r="2079" customFormat="false" ht="15.75" hidden="false" customHeight="true" outlineLevel="0" collapsed="false">
      <c r="B2079" s="19" t="n">
        <v>3010</v>
      </c>
      <c r="C2079" s="20" t="s">
        <v>4436</v>
      </c>
      <c r="D2079" s="20" t="s">
        <v>113</v>
      </c>
      <c r="E2079" s="21" t="s">
        <v>4437</v>
      </c>
      <c r="F2079" s="21" t="n">
        <v>35193</v>
      </c>
      <c r="G2079" s="22" t="s">
        <v>471</v>
      </c>
      <c r="H2079" s="23" t="n">
        <f aca="false">COUNTIF(CAL!U:AF,B2079)</f>
        <v>1</v>
      </c>
      <c r="I2079" s="22" t="n">
        <v>10</v>
      </c>
      <c r="J2079" s="20"/>
    </row>
    <row r="2080" customFormat="false" ht="15.75" hidden="false" customHeight="true" outlineLevel="0" collapsed="false">
      <c r="B2080" s="19" t="n">
        <v>2310</v>
      </c>
      <c r="C2080" s="20" t="s">
        <v>1252</v>
      </c>
      <c r="D2080" s="20" t="s">
        <v>211</v>
      </c>
      <c r="E2080" s="24" t="s">
        <v>4438</v>
      </c>
      <c r="F2080" s="21" t="n">
        <v>37062</v>
      </c>
      <c r="G2080" s="22" t="s">
        <v>471</v>
      </c>
      <c r="H2080" s="23" t="n">
        <f aca="false">COUNTIF(CAL!U:AF,B2080)</f>
        <v>1</v>
      </c>
      <c r="I2080" s="22" t="n">
        <v>10</v>
      </c>
      <c r="J2080" s="20"/>
    </row>
    <row r="2081" customFormat="false" ht="15.75" hidden="false" customHeight="true" outlineLevel="0" collapsed="false">
      <c r="B2081" s="19" t="n">
        <v>2324</v>
      </c>
      <c r="C2081" s="20" t="s">
        <v>4439</v>
      </c>
      <c r="D2081" s="20" t="s">
        <v>283</v>
      </c>
      <c r="E2081" s="21" t="s">
        <v>4440</v>
      </c>
      <c r="F2081" s="21" t="n">
        <v>38246</v>
      </c>
      <c r="G2081" s="22" t="s">
        <v>471</v>
      </c>
      <c r="H2081" s="23" t="n">
        <f aca="false">COUNTIF(CAL!U:AF,B2081)</f>
        <v>1</v>
      </c>
      <c r="I2081" s="22" t="n">
        <v>10</v>
      </c>
      <c r="J2081" s="20"/>
    </row>
    <row r="2082" customFormat="false" ht="15.75" hidden="false" customHeight="true" outlineLevel="0" collapsed="false">
      <c r="B2082" s="19" t="n">
        <v>3337</v>
      </c>
      <c r="C2082" s="20" t="s">
        <v>4441</v>
      </c>
      <c r="D2082" s="20" t="s">
        <v>151</v>
      </c>
      <c r="E2082" s="21" t="s">
        <v>4442</v>
      </c>
      <c r="F2082" s="21" t="n">
        <v>36844</v>
      </c>
      <c r="G2082" s="22" t="s">
        <v>471</v>
      </c>
      <c r="H2082" s="23" t="n">
        <f aca="false">COUNTIF(CAL!U:AF,B2082)</f>
        <v>1</v>
      </c>
      <c r="I2082" s="22" t="n">
        <v>10</v>
      </c>
      <c r="J2082" s="20"/>
    </row>
    <row r="2083" customFormat="false" ht="15.75" hidden="false" customHeight="true" outlineLevel="0" collapsed="false">
      <c r="B2083" s="19" t="n">
        <v>3139</v>
      </c>
      <c r="C2083" s="20" t="s">
        <v>2599</v>
      </c>
      <c r="D2083" s="20" t="s">
        <v>264</v>
      </c>
      <c r="E2083" s="21" t="s">
        <v>4443</v>
      </c>
      <c r="F2083" s="21" t="n">
        <v>37610</v>
      </c>
      <c r="G2083" s="22" t="s">
        <v>471</v>
      </c>
      <c r="H2083" s="23" t="n">
        <f aca="false">COUNTIF(CAL!U:AF,B2083)</f>
        <v>1</v>
      </c>
      <c r="I2083" s="22" t="n">
        <v>10</v>
      </c>
      <c r="J2083" s="20"/>
    </row>
    <row r="2084" customFormat="false" ht="15.75" hidden="false" customHeight="true" outlineLevel="0" collapsed="false">
      <c r="B2084" s="19" t="n">
        <v>2501</v>
      </c>
      <c r="C2084" s="20" t="s">
        <v>1037</v>
      </c>
      <c r="D2084" s="20" t="s">
        <v>135</v>
      </c>
      <c r="E2084" s="21" t="s">
        <v>4444</v>
      </c>
      <c r="F2084" s="21" t="n">
        <v>35167</v>
      </c>
      <c r="G2084" s="22" t="s">
        <v>471</v>
      </c>
      <c r="H2084" s="23" t="n">
        <f aca="false">COUNTIF(CAL!U:AF,B2084)</f>
        <v>1</v>
      </c>
      <c r="I2084" s="22" t="n">
        <v>10</v>
      </c>
      <c r="J2084" s="20"/>
    </row>
    <row r="2085" customFormat="false" ht="15.75" hidden="false" customHeight="true" outlineLevel="0" collapsed="false">
      <c r="B2085" s="19" t="n">
        <v>1991</v>
      </c>
      <c r="C2085" s="20" t="s">
        <v>4445</v>
      </c>
      <c r="D2085" s="20" t="s">
        <v>122</v>
      </c>
      <c r="E2085" s="21" t="s">
        <v>4446</v>
      </c>
      <c r="F2085" s="21" t="n">
        <v>35331</v>
      </c>
      <c r="G2085" s="22" t="s">
        <v>471</v>
      </c>
      <c r="H2085" s="23" t="n">
        <f aca="false">COUNTIF(CAL!U:AF,B2085)</f>
        <v>1</v>
      </c>
      <c r="I2085" s="22" t="n">
        <v>10</v>
      </c>
      <c r="J2085" s="20"/>
    </row>
    <row r="2086" customFormat="false" ht="15.75" hidden="false" customHeight="true" outlineLevel="0" collapsed="false">
      <c r="B2086" s="19" t="n">
        <v>2850</v>
      </c>
      <c r="C2086" s="20" t="s">
        <v>4447</v>
      </c>
      <c r="D2086" s="20" t="s">
        <v>116</v>
      </c>
      <c r="E2086" s="24" t="s">
        <v>4448</v>
      </c>
      <c r="F2086" s="21" t="n">
        <v>35496</v>
      </c>
      <c r="G2086" s="22" t="s">
        <v>471</v>
      </c>
      <c r="H2086" s="23" t="n">
        <f aca="false">COUNTIF(CAL!U:AF,B2086)</f>
        <v>1</v>
      </c>
      <c r="I2086" s="22" t="n">
        <v>10</v>
      </c>
      <c r="J2086" s="20"/>
    </row>
    <row r="2087" customFormat="false" ht="15.75" hidden="false" customHeight="true" outlineLevel="0" collapsed="false">
      <c r="B2087" s="19" t="n">
        <v>2408</v>
      </c>
      <c r="C2087" s="20" t="s">
        <v>4449</v>
      </c>
      <c r="D2087" s="20" t="s">
        <v>170</v>
      </c>
      <c r="E2087" s="12" t="s">
        <v>4450</v>
      </c>
      <c r="F2087" s="21" t="n">
        <v>34082</v>
      </c>
      <c r="G2087" s="22" t="s">
        <v>471</v>
      </c>
      <c r="H2087" s="23" t="n">
        <f aca="false">COUNTIF(CAL!U:AF,B2087)</f>
        <v>1</v>
      </c>
      <c r="I2087" s="22" t="n">
        <v>10</v>
      </c>
      <c r="J2087" s="20"/>
    </row>
    <row r="2088" customFormat="false" ht="15.75" hidden="false" customHeight="true" outlineLevel="0" collapsed="false">
      <c r="B2088" s="19" t="n">
        <v>2432</v>
      </c>
      <c r="C2088" s="20" t="s">
        <v>4451</v>
      </c>
      <c r="D2088" s="20" t="s">
        <v>147</v>
      </c>
      <c r="E2088" s="21" t="s">
        <v>4452</v>
      </c>
      <c r="F2088" s="21" t="n">
        <v>35080</v>
      </c>
      <c r="G2088" s="22" t="s">
        <v>471</v>
      </c>
      <c r="H2088" s="23" t="n">
        <f aca="false">COUNTIF(CAL!U:AF,B2088)</f>
        <v>1</v>
      </c>
      <c r="I2088" s="22" t="n">
        <v>10</v>
      </c>
      <c r="J2088" s="20"/>
    </row>
    <row r="2089" customFormat="false" ht="15.75" hidden="false" customHeight="true" outlineLevel="0" collapsed="false">
      <c r="B2089" s="19" t="n">
        <v>2970</v>
      </c>
      <c r="C2089" s="20" t="s">
        <v>4453</v>
      </c>
      <c r="D2089" s="20" t="s">
        <v>166</v>
      </c>
      <c r="E2089" s="21" t="s">
        <v>4454</v>
      </c>
      <c r="F2089" s="21" t="n">
        <v>39009</v>
      </c>
      <c r="G2089" s="22" t="s">
        <v>471</v>
      </c>
      <c r="H2089" s="23" t="n">
        <f aca="false">COUNTIF(CAL!U:AF,B2089)</f>
        <v>1</v>
      </c>
      <c r="I2089" s="22" t="n">
        <v>10</v>
      </c>
      <c r="J2089" s="20"/>
    </row>
    <row r="2090" customFormat="false" ht="15.75" hidden="false" customHeight="true" outlineLevel="0" collapsed="false">
      <c r="B2090" s="19" t="n">
        <v>3361</v>
      </c>
      <c r="C2090" s="20" t="s">
        <v>1480</v>
      </c>
      <c r="D2090" s="20" t="s">
        <v>91</v>
      </c>
      <c r="E2090" s="21" t="s">
        <v>4455</v>
      </c>
      <c r="F2090" s="21" t="n">
        <v>33806</v>
      </c>
      <c r="G2090" s="22" t="s">
        <v>471</v>
      </c>
      <c r="H2090" s="23" t="n">
        <f aca="false">COUNTIF(CAL!U:AF,B2090)</f>
        <v>1</v>
      </c>
      <c r="I2090" s="22" t="n">
        <v>10</v>
      </c>
      <c r="J2090" s="20"/>
    </row>
    <row r="2091" customFormat="false" ht="15.75" hidden="false" customHeight="true" outlineLevel="0" collapsed="false">
      <c r="B2091" s="19" t="n">
        <v>1784</v>
      </c>
      <c r="C2091" s="20" t="s">
        <v>4456</v>
      </c>
      <c r="D2091" s="20" t="s">
        <v>121</v>
      </c>
      <c r="E2091" s="21" t="s">
        <v>4457</v>
      </c>
      <c r="F2091" s="21" t="n">
        <v>33591</v>
      </c>
      <c r="G2091" s="22" t="s">
        <v>471</v>
      </c>
      <c r="H2091" s="23" t="n">
        <f aca="false">COUNTIF(CAL!U:AF,B2091)</f>
        <v>1</v>
      </c>
      <c r="I2091" s="22" t="n">
        <v>10</v>
      </c>
      <c r="J2091" s="20"/>
    </row>
    <row r="2092" customFormat="false" ht="15.75" hidden="false" customHeight="true" outlineLevel="0" collapsed="false">
      <c r="B2092" s="19" t="n">
        <v>2025</v>
      </c>
      <c r="C2092" s="20" t="s">
        <v>2874</v>
      </c>
      <c r="D2092" s="20" t="s">
        <v>272</v>
      </c>
      <c r="E2092" s="21" t="s">
        <v>4458</v>
      </c>
      <c r="F2092" s="21" t="n">
        <v>36592</v>
      </c>
      <c r="G2092" s="22" t="s">
        <v>471</v>
      </c>
      <c r="H2092" s="23" t="n">
        <f aca="false">COUNTIF(CAL!U:AF,B2092)</f>
        <v>1</v>
      </c>
      <c r="I2092" s="22" t="n">
        <v>10</v>
      </c>
      <c r="J2092" s="20"/>
    </row>
    <row r="2093" customFormat="false" ht="15.75" hidden="false" customHeight="true" outlineLevel="0" collapsed="false">
      <c r="B2093" s="19" t="n">
        <v>2616</v>
      </c>
      <c r="C2093" s="20" t="s">
        <v>1429</v>
      </c>
      <c r="D2093" s="20" t="s">
        <v>378</v>
      </c>
      <c r="E2093" s="21" t="s">
        <v>4459</v>
      </c>
      <c r="F2093" s="21" t="n">
        <v>38058</v>
      </c>
      <c r="G2093" s="22" t="s">
        <v>471</v>
      </c>
      <c r="H2093" s="23" t="n">
        <f aca="false">COUNTIF(CAL!U:AF,B2093)</f>
        <v>1</v>
      </c>
      <c r="I2093" s="22" t="n">
        <v>10</v>
      </c>
      <c r="J2093" s="20"/>
    </row>
    <row r="2094" customFormat="false" ht="15.75" hidden="false" customHeight="true" outlineLevel="0" collapsed="false">
      <c r="B2094" s="19" t="n">
        <v>2801</v>
      </c>
      <c r="C2094" s="20" t="s">
        <v>4195</v>
      </c>
      <c r="D2094" s="20" t="s">
        <v>186</v>
      </c>
      <c r="E2094" s="21" t="s">
        <v>4460</v>
      </c>
      <c r="F2094" s="21" t="n">
        <v>38049</v>
      </c>
      <c r="G2094" s="22" t="s">
        <v>471</v>
      </c>
      <c r="H2094" s="23" t="n">
        <f aca="false">COUNTIF(CAL!U:AF,B2094)</f>
        <v>1</v>
      </c>
      <c r="I2094" s="22" t="n">
        <v>10</v>
      </c>
      <c r="J2094" s="20"/>
    </row>
    <row r="2095" customFormat="false" ht="15.75" hidden="false" customHeight="true" outlineLevel="0" collapsed="false">
      <c r="B2095" s="19" t="n">
        <v>1388</v>
      </c>
      <c r="C2095" s="20" t="s">
        <v>4195</v>
      </c>
      <c r="D2095" s="20" t="s">
        <v>264</v>
      </c>
      <c r="E2095" s="21" t="s">
        <v>4461</v>
      </c>
      <c r="F2095" s="21" t="n">
        <v>32376</v>
      </c>
      <c r="G2095" s="22" t="s">
        <v>471</v>
      </c>
      <c r="H2095" s="23" t="n">
        <f aca="false">COUNTIF(CAL!U:AF,B2095)</f>
        <v>1</v>
      </c>
      <c r="I2095" s="22" t="n">
        <v>10</v>
      </c>
      <c r="J2095" s="20"/>
    </row>
    <row r="2096" customFormat="false" ht="15.75" hidden="false" customHeight="true" outlineLevel="0" collapsed="false">
      <c r="B2096" s="19" t="n">
        <v>3510</v>
      </c>
      <c r="C2096" s="20" t="s">
        <v>4462</v>
      </c>
      <c r="D2096" s="20" t="s">
        <v>368</v>
      </c>
      <c r="E2096" s="21" t="s">
        <v>4463</v>
      </c>
      <c r="F2096" s="21" t="n">
        <v>38483</v>
      </c>
      <c r="G2096" s="22" t="s">
        <v>471</v>
      </c>
      <c r="H2096" s="23" t="n">
        <f aca="false">COUNTIF(CAL!U:AF,B2096)</f>
        <v>1</v>
      </c>
      <c r="I2096" s="22" t="n">
        <v>10</v>
      </c>
      <c r="J2096" s="20"/>
    </row>
    <row r="2097" customFormat="false" ht="15.75" hidden="false" customHeight="true" outlineLevel="0" collapsed="false">
      <c r="B2097" s="19" t="n">
        <v>3039</v>
      </c>
      <c r="C2097" s="20" t="s">
        <v>4464</v>
      </c>
      <c r="D2097" s="20" t="s">
        <v>339</v>
      </c>
      <c r="E2097" s="21" t="s">
        <v>4465</v>
      </c>
      <c r="F2097" s="21" t="n">
        <v>38932</v>
      </c>
      <c r="G2097" s="22" t="s">
        <v>471</v>
      </c>
      <c r="H2097" s="23" t="n">
        <f aca="false">COUNTIF(CAL!U:AF,B2097)</f>
        <v>1</v>
      </c>
      <c r="I2097" s="22" t="n">
        <v>10</v>
      </c>
      <c r="J2097" s="20"/>
    </row>
    <row r="2098" customFormat="false" ht="15.75" hidden="false" customHeight="true" outlineLevel="0" collapsed="false">
      <c r="B2098" s="19" t="n">
        <v>3033</v>
      </c>
      <c r="C2098" s="20" t="s">
        <v>4466</v>
      </c>
      <c r="D2098" s="20" t="s">
        <v>75</v>
      </c>
      <c r="E2098" s="21" t="s">
        <v>4467</v>
      </c>
      <c r="F2098" s="21" t="n">
        <v>31714</v>
      </c>
      <c r="G2098" s="22" t="s">
        <v>471</v>
      </c>
      <c r="H2098" s="23" t="n">
        <f aca="false">COUNTIF(CAL!U:AF,B2098)</f>
        <v>1</v>
      </c>
      <c r="I2098" s="22" t="n">
        <v>10</v>
      </c>
      <c r="J2098" s="20"/>
    </row>
    <row r="2099" customFormat="false" ht="15.75" hidden="false" customHeight="true" outlineLevel="0" collapsed="false">
      <c r="B2099" s="19" t="n">
        <v>3261</v>
      </c>
      <c r="C2099" s="20" t="s">
        <v>4468</v>
      </c>
      <c r="D2099" s="20" t="s">
        <v>375</v>
      </c>
      <c r="E2099" s="24" t="s">
        <v>4469</v>
      </c>
      <c r="F2099" s="21" t="n">
        <v>37714</v>
      </c>
      <c r="G2099" s="22" t="s">
        <v>471</v>
      </c>
      <c r="H2099" s="23" t="n">
        <f aca="false">COUNTIF(CAL!U:AF,B2099)</f>
        <v>1</v>
      </c>
      <c r="I2099" s="22" t="n">
        <v>10</v>
      </c>
      <c r="J2099" s="20"/>
    </row>
    <row r="2100" customFormat="false" ht="15.75" hidden="false" customHeight="true" outlineLevel="0" collapsed="false">
      <c r="B2100" s="19" t="n">
        <v>1654</v>
      </c>
      <c r="C2100" s="20" t="s">
        <v>4470</v>
      </c>
      <c r="D2100" s="20" t="s">
        <v>103</v>
      </c>
      <c r="E2100" s="21" t="s">
        <v>4471</v>
      </c>
      <c r="F2100" s="21" t="n">
        <v>34150</v>
      </c>
      <c r="G2100" s="22" t="s">
        <v>471</v>
      </c>
      <c r="H2100" s="23" t="n">
        <f aca="false">COUNTIF(CAL!U:AF,B2100)</f>
        <v>1</v>
      </c>
      <c r="I2100" s="22" t="n">
        <v>10</v>
      </c>
      <c r="J2100" s="20"/>
    </row>
    <row r="2101" customFormat="false" ht="15.75" hidden="false" customHeight="true" outlineLevel="0" collapsed="false">
      <c r="B2101" s="19" t="n">
        <v>3545</v>
      </c>
      <c r="C2101" s="20" t="s">
        <v>4472</v>
      </c>
      <c r="D2101" s="20" t="s">
        <v>328</v>
      </c>
      <c r="E2101" s="21" t="s">
        <v>4473</v>
      </c>
      <c r="F2101" s="21" t="n">
        <v>36790</v>
      </c>
      <c r="G2101" s="22" t="s">
        <v>471</v>
      </c>
      <c r="H2101" s="23" t="n">
        <f aca="false">COUNTIF(CAL!U:AF,B2101)</f>
        <v>1</v>
      </c>
      <c r="I2101" s="22" t="n">
        <v>10</v>
      </c>
      <c r="J2101" s="20"/>
    </row>
    <row r="2102" customFormat="false" ht="15.75" hidden="false" customHeight="true" outlineLevel="0" collapsed="false">
      <c r="B2102" s="19" t="n">
        <v>1537</v>
      </c>
      <c r="C2102" s="20" t="s">
        <v>2284</v>
      </c>
      <c r="D2102" s="20" t="s">
        <v>178</v>
      </c>
      <c r="E2102" s="21" t="s">
        <v>4474</v>
      </c>
      <c r="F2102" s="21" t="n">
        <v>37472</v>
      </c>
      <c r="G2102" s="22" t="s">
        <v>471</v>
      </c>
      <c r="H2102" s="23" t="n">
        <f aca="false">COUNTIF(CAL!U:AF,B2102)</f>
        <v>1</v>
      </c>
      <c r="I2102" s="22" t="n">
        <v>10</v>
      </c>
      <c r="J2102" s="20"/>
    </row>
    <row r="2103" customFormat="false" ht="15.75" hidden="false" customHeight="true" outlineLevel="0" collapsed="false">
      <c r="B2103" s="19" t="n">
        <v>2486</v>
      </c>
      <c r="C2103" s="20" t="s">
        <v>4475</v>
      </c>
      <c r="D2103" s="20" t="s">
        <v>129</v>
      </c>
      <c r="E2103" s="21" t="s">
        <v>4476</v>
      </c>
      <c r="F2103" s="21" t="n">
        <v>37440</v>
      </c>
      <c r="G2103" s="22" t="s">
        <v>471</v>
      </c>
      <c r="H2103" s="23" t="n">
        <f aca="false">COUNTIF(CAL!U:AF,B2103)</f>
        <v>1</v>
      </c>
      <c r="I2103" s="22" t="n">
        <v>10</v>
      </c>
      <c r="J2103" s="20"/>
    </row>
    <row r="2104" customFormat="false" ht="15.75" hidden="false" customHeight="true" outlineLevel="0" collapsed="false">
      <c r="B2104" s="19" t="n">
        <v>1700</v>
      </c>
      <c r="C2104" s="20" t="s">
        <v>4477</v>
      </c>
      <c r="D2104" s="20" t="s">
        <v>169</v>
      </c>
      <c r="E2104" s="21" t="s">
        <v>4478</v>
      </c>
      <c r="F2104" s="21" t="n">
        <v>32616</v>
      </c>
      <c r="G2104" s="22" t="s">
        <v>471</v>
      </c>
      <c r="H2104" s="23" t="n">
        <f aca="false">COUNTIF(CAL!U:AF,B2104)</f>
        <v>1</v>
      </c>
      <c r="I2104" s="22" t="n">
        <v>10</v>
      </c>
      <c r="J2104" s="20"/>
    </row>
    <row r="2105" customFormat="false" ht="15.75" hidden="false" customHeight="true" outlineLevel="0" collapsed="false">
      <c r="B2105" s="19" t="n">
        <v>3439</v>
      </c>
      <c r="C2105" s="20" t="s">
        <v>4479</v>
      </c>
      <c r="D2105" s="20" t="s">
        <v>367</v>
      </c>
      <c r="E2105" s="24" t="s">
        <v>4480</v>
      </c>
      <c r="F2105" s="21" t="n">
        <v>37487</v>
      </c>
      <c r="G2105" s="22" t="s">
        <v>471</v>
      </c>
      <c r="H2105" s="23" t="n">
        <f aca="false">COUNTIF(CAL!U:AF,B2105)</f>
        <v>1</v>
      </c>
      <c r="I2105" s="22" t="n">
        <v>10</v>
      </c>
      <c r="J2105" s="20"/>
    </row>
    <row r="2106" customFormat="false" ht="15.75" hidden="false" customHeight="true" outlineLevel="0" collapsed="false">
      <c r="B2106" s="19" t="n">
        <v>3206</v>
      </c>
      <c r="C2106" s="20" t="s">
        <v>817</v>
      </c>
      <c r="D2106" s="20" t="s">
        <v>378</v>
      </c>
      <c r="E2106" s="21" t="s">
        <v>4481</v>
      </c>
      <c r="F2106" s="21" t="n">
        <v>38527</v>
      </c>
      <c r="G2106" s="22" t="s">
        <v>471</v>
      </c>
      <c r="H2106" s="23" t="n">
        <f aca="false">COUNTIF(CAL!U:AF,B2106)</f>
        <v>1</v>
      </c>
      <c r="I2106" s="22" t="n">
        <v>10</v>
      </c>
      <c r="J2106" s="20"/>
    </row>
    <row r="2107" customFormat="false" ht="15.75" hidden="false" customHeight="true" outlineLevel="0" collapsed="false">
      <c r="B2107" s="19" t="n">
        <v>2098</v>
      </c>
      <c r="C2107" s="20" t="s">
        <v>4482</v>
      </c>
      <c r="D2107" s="20" t="s">
        <v>201</v>
      </c>
      <c r="E2107" s="21" t="s">
        <v>4483</v>
      </c>
      <c r="F2107" s="21" t="n">
        <v>34440</v>
      </c>
      <c r="G2107" s="22" t="s">
        <v>471</v>
      </c>
      <c r="H2107" s="23" t="n">
        <f aca="false">COUNTIF(CAL!U:AF,B2107)</f>
        <v>1</v>
      </c>
      <c r="I2107" s="22" t="n">
        <v>10</v>
      </c>
      <c r="J2107" s="20"/>
    </row>
    <row r="2108" customFormat="false" ht="15.75" hidden="false" customHeight="true" outlineLevel="0" collapsed="false">
      <c r="B2108" s="19" t="n">
        <v>1771</v>
      </c>
      <c r="C2108" s="20" t="s">
        <v>4484</v>
      </c>
      <c r="D2108" s="20" t="s">
        <v>234</v>
      </c>
      <c r="E2108" s="21" t="s">
        <v>4485</v>
      </c>
      <c r="F2108" s="21" t="n">
        <v>35506</v>
      </c>
      <c r="G2108" s="22" t="s">
        <v>471</v>
      </c>
      <c r="H2108" s="23" t="n">
        <f aca="false">COUNTIF(CAL!U:AF,B2108)</f>
        <v>1</v>
      </c>
      <c r="I2108" s="22" t="n">
        <v>10</v>
      </c>
      <c r="J2108" s="20"/>
    </row>
    <row r="2109" customFormat="false" ht="15.75" hidden="false" customHeight="true" outlineLevel="0" collapsed="false">
      <c r="B2109" s="19" t="n">
        <v>2605</v>
      </c>
      <c r="C2109" s="20" t="s">
        <v>4486</v>
      </c>
      <c r="D2109" s="20" t="s">
        <v>336</v>
      </c>
      <c r="E2109" s="24" t="s">
        <v>4487</v>
      </c>
      <c r="F2109" s="21" t="n">
        <v>37551</v>
      </c>
      <c r="G2109" s="22" t="s">
        <v>471</v>
      </c>
      <c r="H2109" s="23" t="n">
        <f aca="false">COUNTIF(CAL!U:AF,B2109)</f>
        <v>1</v>
      </c>
      <c r="I2109" s="22" t="n">
        <v>10</v>
      </c>
      <c r="J2109" s="20"/>
    </row>
    <row r="2110" customFormat="false" ht="15.75" hidden="false" customHeight="true" outlineLevel="0" collapsed="false">
      <c r="B2110" s="19" t="n">
        <v>1585</v>
      </c>
      <c r="C2110" s="20" t="s">
        <v>4488</v>
      </c>
      <c r="D2110" s="20" t="s">
        <v>263</v>
      </c>
      <c r="E2110" s="21" t="s">
        <v>4489</v>
      </c>
      <c r="F2110" s="21" t="n">
        <v>38096</v>
      </c>
      <c r="G2110" s="22" t="s">
        <v>471</v>
      </c>
      <c r="H2110" s="23" t="n">
        <f aca="false">COUNTIF(CAL!U:AF,B2110)</f>
        <v>1</v>
      </c>
      <c r="I2110" s="22" t="n">
        <v>10</v>
      </c>
      <c r="J2110" s="20"/>
    </row>
    <row r="2111" customFormat="false" ht="15.75" hidden="false" customHeight="true" outlineLevel="0" collapsed="false">
      <c r="B2111" s="19" t="n">
        <v>2487</v>
      </c>
      <c r="C2111" s="20" t="s">
        <v>4490</v>
      </c>
      <c r="D2111" s="20" t="s">
        <v>391</v>
      </c>
      <c r="E2111" s="21" t="s">
        <v>4491</v>
      </c>
      <c r="F2111" s="21" t="n">
        <v>37189</v>
      </c>
      <c r="G2111" s="22" t="s">
        <v>471</v>
      </c>
      <c r="H2111" s="23" t="n">
        <f aca="false">COUNTIF(CAL!U:AF,B2111)</f>
        <v>1</v>
      </c>
      <c r="I2111" s="22" t="n">
        <v>10</v>
      </c>
      <c r="J2111" s="20" t="s">
        <v>4492</v>
      </c>
    </row>
    <row r="2112" customFormat="false" ht="15.75" hidden="false" customHeight="true" outlineLevel="0" collapsed="false">
      <c r="B2112" s="19" t="n">
        <v>2051</v>
      </c>
      <c r="C2112" s="20" t="s">
        <v>4493</v>
      </c>
      <c r="D2112" s="20" t="s">
        <v>348</v>
      </c>
      <c r="E2112" s="21" t="s">
        <v>4494</v>
      </c>
      <c r="F2112" s="21" t="n">
        <v>33919</v>
      </c>
      <c r="G2112" s="22" t="s">
        <v>471</v>
      </c>
      <c r="H2112" s="23" t="n">
        <f aca="false">COUNTIF(CAL!U:AF,B2112)</f>
        <v>1</v>
      </c>
      <c r="I2112" s="22" t="n">
        <v>10</v>
      </c>
      <c r="J2112" s="20"/>
    </row>
    <row r="2113" customFormat="false" ht="15.75" hidden="false" customHeight="true" outlineLevel="0" collapsed="false">
      <c r="B2113" s="19" t="n">
        <v>2498</v>
      </c>
      <c r="C2113" s="20" t="s">
        <v>782</v>
      </c>
      <c r="D2113" s="20" t="s">
        <v>224</v>
      </c>
      <c r="E2113" s="21" t="s">
        <v>4495</v>
      </c>
      <c r="F2113" s="21" t="n">
        <v>37719</v>
      </c>
      <c r="G2113" s="22" t="s">
        <v>471</v>
      </c>
      <c r="H2113" s="23" t="n">
        <f aca="false">COUNTIF(CAL!U:AF,B2113)</f>
        <v>1</v>
      </c>
      <c r="I2113" s="22" t="n">
        <v>10</v>
      </c>
      <c r="J2113" s="20"/>
    </row>
    <row r="2114" customFormat="false" ht="15.75" hidden="false" customHeight="true" outlineLevel="0" collapsed="false">
      <c r="B2114" s="19" t="n">
        <v>3178</v>
      </c>
      <c r="C2114" s="20" t="s">
        <v>4496</v>
      </c>
      <c r="D2114" s="20" t="s">
        <v>199</v>
      </c>
      <c r="E2114" s="21" t="s">
        <v>4497</v>
      </c>
      <c r="F2114" s="21" t="n">
        <v>37189</v>
      </c>
      <c r="G2114" s="22" t="s">
        <v>471</v>
      </c>
      <c r="H2114" s="23" t="n">
        <f aca="false">COUNTIF(CAL!U:AF,B2114)</f>
        <v>1</v>
      </c>
      <c r="I2114" s="22" t="n">
        <v>10</v>
      </c>
      <c r="J2114" s="20"/>
    </row>
    <row r="2115" customFormat="false" ht="15.75" hidden="false" customHeight="true" outlineLevel="0" collapsed="false">
      <c r="B2115" s="19" t="n">
        <v>2907</v>
      </c>
      <c r="C2115" s="20" t="s">
        <v>4498</v>
      </c>
      <c r="D2115" s="20" t="s">
        <v>360</v>
      </c>
      <c r="E2115" s="21" t="s">
        <v>4499</v>
      </c>
      <c r="F2115" s="21" t="n">
        <v>38096</v>
      </c>
      <c r="G2115" s="22" t="s">
        <v>471</v>
      </c>
      <c r="H2115" s="23" t="n">
        <f aca="false">COUNTIF(CAL!U:AF,B2115)</f>
        <v>1</v>
      </c>
      <c r="I2115" s="22" t="n">
        <v>10</v>
      </c>
      <c r="J2115" s="20"/>
    </row>
    <row r="2116" customFormat="false" ht="15.75" hidden="false" customHeight="true" outlineLevel="0" collapsed="false">
      <c r="B2116" s="19" t="n">
        <v>1762</v>
      </c>
      <c r="C2116" s="20" t="s">
        <v>4500</v>
      </c>
      <c r="D2116" s="20" t="s">
        <v>85</v>
      </c>
      <c r="E2116" s="21" t="s">
        <v>4501</v>
      </c>
      <c r="F2116" s="21" t="n">
        <v>36931</v>
      </c>
      <c r="G2116" s="22" t="s">
        <v>471</v>
      </c>
      <c r="H2116" s="23" t="n">
        <f aca="false">COUNTIF(CAL!U:AF,B2116)</f>
        <v>1</v>
      </c>
      <c r="I2116" s="22" t="n">
        <v>10</v>
      </c>
      <c r="J2116" s="20"/>
    </row>
    <row r="2117" customFormat="false" ht="15.75" hidden="false" customHeight="true" outlineLevel="0" collapsed="false">
      <c r="B2117" s="19" t="n">
        <v>2630</v>
      </c>
      <c r="C2117" s="20" t="s">
        <v>4502</v>
      </c>
      <c r="D2117" s="20" t="s">
        <v>123</v>
      </c>
      <c r="E2117" s="24" t="s">
        <v>4503</v>
      </c>
      <c r="F2117" s="21" t="n">
        <v>35828</v>
      </c>
      <c r="G2117" s="22" t="s">
        <v>471</v>
      </c>
      <c r="H2117" s="23" t="n">
        <f aca="false">COUNTIF(CAL!U:AF,B2117)</f>
        <v>1</v>
      </c>
      <c r="I2117" s="22" t="n">
        <v>10</v>
      </c>
      <c r="J2117" s="20"/>
    </row>
    <row r="2118" customFormat="false" ht="15.75" hidden="false" customHeight="true" outlineLevel="0" collapsed="false">
      <c r="B2118" s="19" t="n">
        <v>2150</v>
      </c>
      <c r="C2118" s="20" t="s">
        <v>2901</v>
      </c>
      <c r="D2118" s="20" t="s">
        <v>318</v>
      </c>
      <c r="E2118" s="21" t="s">
        <v>4504</v>
      </c>
      <c r="F2118" s="21" t="n">
        <v>37158</v>
      </c>
      <c r="G2118" s="22" t="s">
        <v>471</v>
      </c>
      <c r="H2118" s="23" t="n">
        <f aca="false">COUNTIF(CAL!U:AF,B2118)</f>
        <v>1</v>
      </c>
      <c r="I2118" s="22" t="n">
        <v>10</v>
      </c>
      <c r="J2118" s="20"/>
    </row>
    <row r="2119" customFormat="false" ht="15.75" hidden="false" customHeight="true" outlineLevel="0" collapsed="false">
      <c r="B2119" s="19" t="n">
        <v>2171</v>
      </c>
      <c r="C2119" s="20" t="s">
        <v>4505</v>
      </c>
      <c r="D2119" s="20" t="s">
        <v>373</v>
      </c>
      <c r="E2119" s="21" t="s">
        <v>4506</v>
      </c>
      <c r="F2119" s="21" t="n">
        <v>36177</v>
      </c>
      <c r="G2119" s="22" t="s">
        <v>471</v>
      </c>
      <c r="H2119" s="23" t="n">
        <f aca="false">COUNTIF(CAL!U:AF,B2119)</f>
        <v>1</v>
      </c>
      <c r="I2119" s="22" t="n">
        <v>10</v>
      </c>
      <c r="J2119" s="20"/>
    </row>
    <row r="2120" customFormat="false" ht="15.75" hidden="false" customHeight="true" outlineLevel="0" collapsed="false">
      <c r="B2120" s="19" t="n">
        <v>1248</v>
      </c>
      <c r="C2120" s="20" t="s">
        <v>4507</v>
      </c>
      <c r="D2120" s="20" t="s">
        <v>257</v>
      </c>
      <c r="E2120" s="21" t="s">
        <v>4508</v>
      </c>
      <c r="F2120" s="21" t="n">
        <v>37245</v>
      </c>
      <c r="G2120" s="22" t="s">
        <v>4509</v>
      </c>
      <c r="H2120" s="23" t="n">
        <f aca="false">COUNTIF(CAL!U:AF,B2120)</f>
        <v>1</v>
      </c>
      <c r="I2120" s="22" t="n">
        <v>10</v>
      </c>
      <c r="J2120" s="20"/>
    </row>
    <row r="2121" customFormat="false" ht="15.75" hidden="false" customHeight="true" outlineLevel="0" collapsed="false">
      <c r="B2121" s="19" t="n">
        <v>2603</v>
      </c>
      <c r="C2121" s="20" t="s">
        <v>4510</v>
      </c>
      <c r="D2121" s="20" t="s">
        <v>336</v>
      </c>
      <c r="E2121" s="24" t="s">
        <v>4511</v>
      </c>
      <c r="F2121" s="21" t="n">
        <v>37645</v>
      </c>
      <c r="G2121" s="22" t="s">
        <v>471</v>
      </c>
      <c r="H2121" s="23" t="n">
        <f aca="false">COUNTIF(CAL!U:AF,B2121)</f>
        <v>1</v>
      </c>
      <c r="I2121" s="22" t="n">
        <v>10</v>
      </c>
      <c r="J2121" s="20"/>
    </row>
    <row r="2122" customFormat="false" ht="15.75" hidden="false" customHeight="true" outlineLevel="0" collapsed="false">
      <c r="B2122" s="19" t="n">
        <v>3399</v>
      </c>
      <c r="C2122" s="20" t="s">
        <v>4512</v>
      </c>
      <c r="D2122" s="20" t="s">
        <v>314</v>
      </c>
      <c r="E2122" s="21" t="s">
        <v>4513</v>
      </c>
      <c r="F2122" s="21" t="n">
        <v>38982</v>
      </c>
      <c r="G2122" s="22" t="s">
        <v>481</v>
      </c>
      <c r="H2122" s="23" t="n">
        <f aca="false">COUNTIF(CAL!U:AF,B2122)</f>
        <v>1</v>
      </c>
      <c r="I2122" s="22" t="n">
        <v>10</v>
      </c>
      <c r="J2122" s="20"/>
    </row>
    <row r="2123" customFormat="false" ht="15.75" hidden="false" customHeight="true" outlineLevel="0" collapsed="false">
      <c r="B2123" s="19" t="n">
        <v>3422</v>
      </c>
      <c r="C2123" s="20" t="s">
        <v>4514</v>
      </c>
      <c r="D2123" s="20" t="s">
        <v>59</v>
      </c>
      <c r="E2123" s="21" t="s">
        <v>4515</v>
      </c>
      <c r="F2123" s="21" t="n">
        <v>35585</v>
      </c>
      <c r="G2123" s="22" t="s">
        <v>471</v>
      </c>
      <c r="H2123" s="23" t="n">
        <f aca="false">COUNTIF(CAL!U:AF,B2123)</f>
        <v>1</v>
      </c>
      <c r="I2123" s="22" t="n">
        <v>10</v>
      </c>
      <c r="J2123" s="20"/>
    </row>
    <row r="2124" customFormat="false" ht="15.75" hidden="false" customHeight="true" outlineLevel="0" collapsed="false">
      <c r="B2124" s="19" t="n">
        <v>2734</v>
      </c>
      <c r="C2124" s="20" t="s">
        <v>3729</v>
      </c>
      <c r="D2124" s="20" t="s">
        <v>348</v>
      </c>
      <c r="E2124" s="21" t="s">
        <v>4516</v>
      </c>
      <c r="F2124" s="21" t="n">
        <v>34532</v>
      </c>
      <c r="G2124" s="22" t="s">
        <v>471</v>
      </c>
      <c r="H2124" s="23" t="n">
        <f aca="false">COUNTIF(CAL!U:AF,B2124)</f>
        <v>1</v>
      </c>
      <c r="I2124" s="22" t="n">
        <v>10</v>
      </c>
      <c r="J2124" s="20"/>
    </row>
    <row r="2125" customFormat="false" ht="15.75" hidden="false" customHeight="true" outlineLevel="0" collapsed="false">
      <c r="B2125" s="19" t="n">
        <v>3362</v>
      </c>
      <c r="C2125" s="20" t="s">
        <v>4517</v>
      </c>
      <c r="D2125" s="20" t="s">
        <v>149</v>
      </c>
      <c r="E2125" s="21" t="s">
        <v>4518</v>
      </c>
      <c r="F2125" s="21" t="n">
        <v>37479</v>
      </c>
      <c r="G2125" s="22" t="s">
        <v>471</v>
      </c>
      <c r="H2125" s="23" t="n">
        <f aca="false">COUNTIF(CAL!U:AF,B2125)</f>
        <v>1</v>
      </c>
      <c r="I2125" s="22" t="n">
        <v>10</v>
      </c>
      <c r="J2125" s="20"/>
    </row>
    <row r="2126" customFormat="false" ht="15.75" hidden="false" customHeight="true" outlineLevel="0" collapsed="false">
      <c r="B2126" s="19" t="n">
        <v>3025</v>
      </c>
      <c r="C2126" s="20" t="s">
        <v>4519</v>
      </c>
      <c r="D2126" s="20" t="s">
        <v>239</v>
      </c>
      <c r="E2126" s="21" t="s">
        <v>4520</v>
      </c>
      <c r="F2126" s="21" t="n">
        <v>37036</v>
      </c>
      <c r="G2126" s="22" t="s">
        <v>471</v>
      </c>
      <c r="H2126" s="23" t="n">
        <f aca="false">COUNTIF(CAL!U:AF,B2126)</f>
        <v>1</v>
      </c>
      <c r="I2126" s="22" t="n">
        <v>10</v>
      </c>
      <c r="J2126" s="20"/>
    </row>
    <row r="2127" customFormat="false" ht="15.75" hidden="false" customHeight="true" outlineLevel="0" collapsed="false">
      <c r="B2127" s="19" t="n">
        <v>1309</v>
      </c>
      <c r="C2127" s="20" t="s">
        <v>4521</v>
      </c>
      <c r="D2127" s="20" t="s">
        <v>129</v>
      </c>
      <c r="E2127" s="21" t="s">
        <v>4522</v>
      </c>
      <c r="F2127" s="21" t="n">
        <v>37749</v>
      </c>
      <c r="G2127" s="22" t="s">
        <v>471</v>
      </c>
      <c r="H2127" s="23" t="n">
        <f aca="false">COUNTIF(CAL!U:AF,B2127)</f>
        <v>1</v>
      </c>
      <c r="I2127" s="22" t="n">
        <v>10</v>
      </c>
      <c r="J2127" s="20"/>
    </row>
    <row r="2128" customFormat="false" ht="15.75" hidden="false" customHeight="true" outlineLevel="0" collapsed="false">
      <c r="B2128" s="19" t="n">
        <v>2932</v>
      </c>
      <c r="C2128" s="20" t="s">
        <v>2499</v>
      </c>
      <c r="D2128" s="20" t="s">
        <v>54</v>
      </c>
      <c r="E2128" s="21" t="s">
        <v>4523</v>
      </c>
      <c r="F2128" s="21" t="n">
        <v>38597</v>
      </c>
      <c r="G2128" s="22" t="s">
        <v>471</v>
      </c>
      <c r="H2128" s="23" t="n">
        <f aca="false">COUNTIF(CAL!U:AF,B2128)</f>
        <v>1</v>
      </c>
      <c r="I2128" s="22" t="n">
        <v>10</v>
      </c>
      <c r="J2128" s="20"/>
    </row>
    <row r="2129" customFormat="false" ht="15.75" hidden="false" customHeight="true" outlineLevel="0" collapsed="false">
      <c r="B2129" s="19" t="n">
        <v>2017</v>
      </c>
      <c r="C2129" s="20" t="s">
        <v>4524</v>
      </c>
      <c r="D2129" s="20" t="s">
        <v>295</v>
      </c>
      <c r="E2129" s="24" t="s">
        <v>4525</v>
      </c>
      <c r="F2129" s="21" t="n">
        <v>36953</v>
      </c>
      <c r="G2129" s="22" t="s">
        <v>471</v>
      </c>
      <c r="H2129" s="23" t="n">
        <f aca="false">COUNTIF(CAL!U:AF,B2129)</f>
        <v>1</v>
      </c>
      <c r="I2129" s="22" t="n">
        <v>10</v>
      </c>
      <c r="J2129" s="20"/>
    </row>
    <row r="2130" customFormat="false" ht="15.75" hidden="false" customHeight="true" outlineLevel="0" collapsed="false">
      <c r="B2130" s="19" t="n">
        <v>2417</v>
      </c>
      <c r="C2130" s="20" t="s">
        <v>3053</v>
      </c>
      <c r="D2130" s="20" t="s">
        <v>211</v>
      </c>
      <c r="E2130" s="21" t="s">
        <v>4526</v>
      </c>
      <c r="F2130" s="21" t="n">
        <v>37306</v>
      </c>
      <c r="G2130" s="22" t="s">
        <v>471</v>
      </c>
      <c r="H2130" s="23" t="n">
        <f aca="false">COUNTIF(CAL!U:AF,B2130)</f>
        <v>1</v>
      </c>
      <c r="I2130" s="22" t="n">
        <v>10</v>
      </c>
      <c r="J2130" s="20"/>
    </row>
    <row r="2131" customFormat="false" ht="15.75" hidden="false" customHeight="true" outlineLevel="0" collapsed="false">
      <c r="B2131" s="19" t="n">
        <v>2349</v>
      </c>
      <c r="C2131" s="20" t="s">
        <v>3053</v>
      </c>
      <c r="D2131" s="20" t="s">
        <v>201</v>
      </c>
      <c r="E2131" s="21" t="s">
        <v>4527</v>
      </c>
      <c r="F2131" s="21" t="n">
        <v>34308</v>
      </c>
      <c r="G2131" s="22" t="s">
        <v>471</v>
      </c>
      <c r="H2131" s="23" t="n">
        <f aca="false">COUNTIF(CAL!U:AF,B2131)</f>
        <v>1</v>
      </c>
      <c r="I2131" s="22" t="n">
        <v>10</v>
      </c>
      <c r="J2131" s="20"/>
    </row>
    <row r="2132" customFormat="false" ht="15.75" hidden="false" customHeight="true" outlineLevel="0" collapsed="false">
      <c r="B2132" s="19" t="n">
        <v>1971</v>
      </c>
      <c r="C2132" s="20" t="s">
        <v>516</v>
      </c>
      <c r="D2132" s="20" t="s">
        <v>74</v>
      </c>
      <c r="E2132" s="21" t="s">
        <v>4528</v>
      </c>
      <c r="F2132" s="21" t="n">
        <v>37337</v>
      </c>
      <c r="G2132" s="22" t="s">
        <v>471</v>
      </c>
      <c r="H2132" s="23" t="n">
        <f aca="false">COUNTIF(CAL!U:AF,B2132)</f>
        <v>1</v>
      </c>
      <c r="I2132" s="22" t="n">
        <v>10</v>
      </c>
      <c r="J2132" s="20"/>
    </row>
    <row r="2133" customFormat="false" ht="15.75" hidden="false" customHeight="true" outlineLevel="0" collapsed="false">
      <c r="B2133" s="19" t="n">
        <v>1535</v>
      </c>
      <c r="C2133" s="20" t="s">
        <v>516</v>
      </c>
      <c r="D2133" s="20" t="s">
        <v>91</v>
      </c>
      <c r="E2133" s="21" t="s">
        <v>4529</v>
      </c>
      <c r="F2133" s="21" t="n">
        <v>35640</v>
      </c>
      <c r="G2133" s="22" t="s">
        <v>471</v>
      </c>
      <c r="H2133" s="23" t="n">
        <f aca="false">COUNTIF(CAL!U:AF,B2133)</f>
        <v>1</v>
      </c>
      <c r="I2133" s="22" t="n">
        <v>10</v>
      </c>
      <c r="J2133" s="20"/>
    </row>
    <row r="2134" customFormat="false" ht="15.75" hidden="false" customHeight="true" outlineLevel="0" collapsed="false">
      <c r="B2134" s="19" t="n">
        <v>3310</v>
      </c>
      <c r="C2134" s="20" t="s">
        <v>4530</v>
      </c>
      <c r="D2134" s="20" t="s">
        <v>106</v>
      </c>
      <c r="E2134" s="21" t="s">
        <v>4531</v>
      </c>
      <c r="F2134" s="21" t="n">
        <v>37826</v>
      </c>
      <c r="G2134" s="22" t="s">
        <v>471</v>
      </c>
      <c r="H2134" s="23" t="n">
        <f aca="false">COUNTIF(CAL!U:AF,B2134)</f>
        <v>1</v>
      </c>
      <c r="I2134" s="22" t="n">
        <v>10</v>
      </c>
      <c r="J2134" s="20"/>
    </row>
    <row r="2135" customFormat="false" ht="15.75" hidden="false" customHeight="true" outlineLevel="0" collapsed="false">
      <c r="B2135" s="19" t="n">
        <v>2540</v>
      </c>
      <c r="C2135" s="20" t="s">
        <v>4532</v>
      </c>
      <c r="D2135" s="20" t="s">
        <v>299</v>
      </c>
      <c r="E2135" s="21" t="s">
        <v>4533</v>
      </c>
      <c r="F2135" s="21" t="n">
        <v>33928</v>
      </c>
      <c r="G2135" s="22" t="s">
        <v>471</v>
      </c>
      <c r="H2135" s="23" t="n">
        <f aca="false">COUNTIF(CAL!U:AF,B2135)</f>
        <v>1</v>
      </c>
      <c r="I2135" s="22" t="n">
        <v>10</v>
      </c>
      <c r="J2135" s="20"/>
    </row>
    <row r="2136" customFormat="false" ht="15.75" hidden="false" customHeight="true" outlineLevel="0" collapsed="false">
      <c r="B2136" s="19" t="n">
        <v>2586</v>
      </c>
      <c r="C2136" s="20" t="s">
        <v>4534</v>
      </c>
      <c r="D2136" s="20" t="s">
        <v>322</v>
      </c>
      <c r="E2136" s="21" t="s">
        <v>4535</v>
      </c>
      <c r="F2136" s="21" t="n">
        <v>34523</v>
      </c>
      <c r="G2136" s="22" t="s">
        <v>471</v>
      </c>
      <c r="H2136" s="23" t="n">
        <f aca="false">COUNTIF(CAL!U:AF,B2136)</f>
        <v>1</v>
      </c>
      <c r="I2136" s="22" t="n">
        <v>10</v>
      </c>
      <c r="J2136" s="20"/>
    </row>
    <row r="2137" customFormat="false" ht="15.75" hidden="false" customHeight="true" outlineLevel="0" collapsed="false">
      <c r="B2137" s="19" t="n">
        <v>3137</v>
      </c>
      <c r="C2137" s="20" t="s">
        <v>4536</v>
      </c>
      <c r="D2137" s="20" t="s">
        <v>175</v>
      </c>
      <c r="E2137" s="21" t="s">
        <v>4537</v>
      </c>
      <c r="F2137" s="21" t="n">
        <v>37682</v>
      </c>
      <c r="G2137" s="22" t="s">
        <v>1000</v>
      </c>
      <c r="H2137" s="23" t="n">
        <f aca="false">COUNTIF(CAL!U:AF,B2137)</f>
        <v>1</v>
      </c>
      <c r="I2137" s="22" t="n">
        <v>10</v>
      </c>
      <c r="J2137" s="20"/>
    </row>
    <row r="2138" customFormat="false" ht="15.75" hidden="false" customHeight="true" outlineLevel="0" collapsed="false">
      <c r="B2138" s="19" t="n">
        <v>3150</v>
      </c>
      <c r="C2138" s="20" t="s">
        <v>2311</v>
      </c>
      <c r="D2138" s="20" t="s">
        <v>322</v>
      </c>
      <c r="E2138" s="21" t="s">
        <v>4538</v>
      </c>
      <c r="F2138" s="21" t="n">
        <v>35835</v>
      </c>
      <c r="G2138" s="22" t="s">
        <v>471</v>
      </c>
      <c r="H2138" s="23" t="n">
        <f aca="false">COUNTIF(CAL!U:AF,B2138)</f>
        <v>1</v>
      </c>
      <c r="I2138" s="22" t="n">
        <v>10</v>
      </c>
      <c r="J2138" s="20"/>
    </row>
    <row r="2139" customFormat="false" ht="15.75" hidden="false" customHeight="true" outlineLevel="0" collapsed="false">
      <c r="B2139" s="19" t="n">
        <v>3103</v>
      </c>
      <c r="C2139" s="20" t="s">
        <v>2401</v>
      </c>
      <c r="D2139" s="20" t="s">
        <v>313</v>
      </c>
      <c r="E2139" s="21" t="s">
        <v>4539</v>
      </c>
      <c r="F2139" s="21" t="n">
        <v>35297</v>
      </c>
      <c r="G2139" s="22" t="s">
        <v>471</v>
      </c>
      <c r="H2139" s="23" t="n">
        <f aca="false">COUNTIF(CAL!U:AF,B2139)</f>
        <v>1</v>
      </c>
      <c r="I2139" s="22" t="n">
        <v>10</v>
      </c>
      <c r="J2139" s="20"/>
    </row>
    <row r="2140" customFormat="false" ht="15.75" hidden="false" customHeight="true" outlineLevel="0" collapsed="false">
      <c r="B2140" s="19" t="n">
        <v>1828</v>
      </c>
      <c r="C2140" s="20" t="s">
        <v>4540</v>
      </c>
      <c r="D2140" s="20" t="s">
        <v>328</v>
      </c>
      <c r="E2140" s="21" t="s">
        <v>4541</v>
      </c>
      <c r="F2140" s="21" t="n">
        <v>36898</v>
      </c>
      <c r="G2140" s="22" t="s">
        <v>471</v>
      </c>
      <c r="H2140" s="23" t="n">
        <f aca="false">COUNTIF(CAL!U:AF,B2140)</f>
        <v>1</v>
      </c>
      <c r="I2140" s="22" t="n">
        <v>10</v>
      </c>
      <c r="J2140" s="20"/>
    </row>
    <row r="2141" customFormat="false" ht="15.75" hidden="false" customHeight="true" outlineLevel="0" collapsed="false">
      <c r="B2141" s="19" t="n">
        <v>2568</v>
      </c>
      <c r="C2141" s="20" t="s">
        <v>4542</v>
      </c>
      <c r="D2141" s="20" t="s">
        <v>110</v>
      </c>
      <c r="E2141" s="24" t="s">
        <v>4543</v>
      </c>
      <c r="F2141" s="21" t="n">
        <v>35443</v>
      </c>
      <c r="G2141" s="22" t="s">
        <v>471</v>
      </c>
      <c r="H2141" s="23" t="n">
        <f aca="false">COUNTIF(CAL!U:AF,B2141)</f>
        <v>1</v>
      </c>
      <c r="I2141" s="22" t="n">
        <v>10</v>
      </c>
      <c r="J2141" s="20"/>
    </row>
    <row r="2142" customFormat="false" ht="15.75" hidden="false" customHeight="true" outlineLevel="0" collapsed="false">
      <c r="B2142" s="19" t="n">
        <v>1503</v>
      </c>
      <c r="C2142" s="20" t="s">
        <v>951</v>
      </c>
      <c r="D2142" s="20" t="s">
        <v>160</v>
      </c>
      <c r="E2142" s="21" t="s">
        <v>4544</v>
      </c>
      <c r="F2142" s="21" t="n">
        <v>33028</v>
      </c>
      <c r="G2142" s="22" t="s">
        <v>471</v>
      </c>
      <c r="H2142" s="23" t="n">
        <f aca="false">COUNTIF(CAL!U:AF,B2142)</f>
        <v>1</v>
      </c>
      <c r="I2142" s="22" t="n">
        <v>10</v>
      </c>
      <c r="J2142" s="20" t="s">
        <v>4545</v>
      </c>
    </row>
    <row r="2143" customFormat="false" ht="15.75" hidden="false" customHeight="true" outlineLevel="0" collapsed="false">
      <c r="B2143" s="19" t="n">
        <v>2683</v>
      </c>
      <c r="C2143" s="20" t="s">
        <v>4546</v>
      </c>
      <c r="D2143" s="20" t="s">
        <v>39</v>
      </c>
      <c r="E2143" s="21" t="s">
        <v>4547</v>
      </c>
      <c r="F2143" s="21" t="n">
        <v>37696</v>
      </c>
      <c r="G2143" s="22" t="s">
        <v>471</v>
      </c>
      <c r="H2143" s="23" t="n">
        <f aca="false">COUNTIF(CAL!U:AF,B2143)</f>
        <v>1</v>
      </c>
      <c r="I2143" s="22" t="n">
        <v>10</v>
      </c>
      <c r="J2143" s="20"/>
    </row>
    <row r="2144" customFormat="false" ht="15.75" hidden="false" customHeight="true" outlineLevel="0" collapsed="false">
      <c r="B2144" s="19" t="n">
        <v>2682</v>
      </c>
      <c r="C2144" s="20" t="s">
        <v>4548</v>
      </c>
      <c r="D2144" s="20" t="s">
        <v>104</v>
      </c>
      <c r="E2144" s="21" t="s">
        <v>4549</v>
      </c>
      <c r="F2144" s="21" t="n">
        <v>36825</v>
      </c>
      <c r="G2144" s="22" t="s">
        <v>471</v>
      </c>
      <c r="H2144" s="23" t="n">
        <f aca="false">COUNTIF(CAL!U:AF,B2144)</f>
        <v>1</v>
      </c>
      <c r="I2144" s="22" t="n">
        <v>10</v>
      </c>
      <c r="J2144" s="20"/>
    </row>
    <row r="2145" customFormat="false" ht="15.75" hidden="false" customHeight="true" outlineLevel="0" collapsed="false">
      <c r="B2145" s="19" t="n">
        <v>1255</v>
      </c>
      <c r="C2145" s="20" t="s">
        <v>4550</v>
      </c>
      <c r="D2145" s="20" t="s">
        <v>113</v>
      </c>
      <c r="E2145" s="21" t="s">
        <v>4551</v>
      </c>
      <c r="F2145" s="21" t="n">
        <v>36952</v>
      </c>
      <c r="G2145" s="22" t="s">
        <v>471</v>
      </c>
      <c r="H2145" s="23" t="n">
        <f aca="false">COUNTIF(CAL!U:AF,B2145)</f>
        <v>1</v>
      </c>
      <c r="I2145" s="22" t="n">
        <v>10</v>
      </c>
      <c r="J2145" s="20"/>
    </row>
    <row r="2146" customFormat="false" ht="15.75" hidden="false" customHeight="true" outlineLevel="0" collapsed="false">
      <c r="B2146" s="19" t="n">
        <v>1712</v>
      </c>
      <c r="C2146" s="20" t="s">
        <v>526</v>
      </c>
      <c r="D2146" s="20" t="s">
        <v>256</v>
      </c>
      <c r="E2146" s="21" t="s">
        <v>4552</v>
      </c>
      <c r="F2146" s="21" t="n">
        <v>37117</v>
      </c>
      <c r="G2146" s="22" t="s">
        <v>471</v>
      </c>
      <c r="H2146" s="23" t="n">
        <f aca="false">COUNTIF(CAL!U:AF,B2146)</f>
        <v>1</v>
      </c>
      <c r="I2146" s="22" t="n">
        <v>10</v>
      </c>
      <c r="J2146" s="20"/>
    </row>
    <row r="2147" customFormat="false" ht="15.75" hidden="false" customHeight="true" outlineLevel="0" collapsed="false">
      <c r="B2147" s="19" t="n">
        <v>3057</v>
      </c>
      <c r="C2147" s="20" t="s">
        <v>4553</v>
      </c>
      <c r="D2147" s="20" t="s">
        <v>53</v>
      </c>
      <c r="E2147" s="21" t="s">
        <v>4554</v>
      </c>
      <c r="F2147" s="21" t="n">
        <v>36922</v>
      </c>
      <c r="G2147" s="22" t="s">
        <v>471</v>
      </c>
      <c r="H2147" s="23" t="n">
        <f aca="false">COUNTIF(CAL!U:AF,B2147)</f>
        <v>1</v>
      </c>
      <c r="I2147" s="22" t="n">
        <v>10</v>
      </c>
      <c r="J2147" s="20"/>
    </row>
    <row r="2148" customFormat="false" ht="15.75" hidden="false" customHeight="true" outlineLevel="0" collapsed="false">
      <c r="B2148" s="19" t="n">
        <v>3018</v>
      </c>
      <c r="C2148" s="20" t="s">
        <v>4555</v>
      </c>
      <c r="D2148" s="20" t="s">
        <v>244</v>
      </c>
      <c r="E2148" s="21" t="s">
        <v>4556</v>
      </c>
      <c r="F2148" s="21" t="n">
        <v>34507</v>
      </c>
      <c r="G2148" s="22" t="s">
        <v>471</v>
      </c>
      <c r="H2148" s="23" t="n">
        <f aca="false">COUNTIF(CAL!U:AF,B2148)</f>
        <v>1</v>
      </c>
      <c r="I2148" s="22" t="n">
        <v>10</v>
      </c>
      <c r="J2148" s="20" t="s">
        <v>4557</v>
      </c>
    </row>
    <row r="2149" customFormat="false" ht="15.75" hidden="false" customHeight="true" outlineLevel="0" collapsed="false">
      <c r="B2149" s="19" t="n">
        <v>2844</v>
      </c>
      <c r="C2149" s="20" t="s">
        <v>2627</v>
      </c>
      <c r="D2149" s="20" t="s">
        <v>120</v>
      </c>
      <c r="E2149" s="24" t="s">
        <v>4558</v>
      </c>
      <c r="F2149" s="21" t="n">
        <v>35885</v>
      </c>
      <c r="G2149" s="22" t="s">
        <v>471</v>
      </c>
      <c r="H2149" s="23" t="n">
        <f aca="false">COUNTIF(CAL!U:AF,B2149)</f>
        <v>1</v>
      </c>
      <c r="I2149" s="22" t="n">
        <v>10</v>
      </c>
      <c r="J2149" s="20"/>
    </row>
    <row r="2150" customFormat="false" ht="15.75" hidden="false" customHeight="true" outlineLevel="0" collapsed="false">
      <c r="B2150" s="19" t="n">
        <v>2479</v>
      </c>
      <c r="C2150" s="20" t="s">
        <v>4559</v>
      </c>
      <c r="D2150" s="20" t="s">
        <v>107</v>
      </c>
      <c r="E2150" s="21" t="s">
        <v>4560</v>
      </c>
      <c r="F2150" s="21" t="n">
        <v>35000</v>
      </c>
      <c r="G2150" s="22" t="s">
        <v>471</v>
      </c>
      <c r="H2150" s="23" t="n">
        <f aca="false">COUNTIF(CAL!U:AF,B2150)</f>
        <v>1</v>
      </c>
      <c r="I2150" s="22" t="n">
        <v>10</v>
      </c>
      <c r="J2150" s="20"/>
    </row>
    <row r="2151" customFormat="false" ht="15.75" hidden="false" customHeight="true" outlineLevel="0" collapsed="false">
      <c r="B2151" s="19" t="n">
        <v>2903</v>
      </c>
      <c r="C2151" s="20" t="s">
        <v>4561</v>
      </c>
      <c r="D2151" s="20" t="s">
        <v>167</v>
      </c>
      <c r="E2151" s="21" t="s">
        <v>4562</v>
      </c>
      <c r="F2151" s="21" t="n">
        <v>38066</v>
      </c>
      <c r="G2151" s="22" t="s">
        <v>471</v>
      </c>
      <c r="H2151" s="23" t="n">
        <f aca="false">COUNTIF(CAL!U:AF,B2151)</f>
        <v>1</v>
      </c>
      <c r="I2151" s="22" t="n">
        <v>10</v>
      </c>
      <c r="J2151" s="20"/>
    </row>
    <row r="2152" customFormat="false" ht="15.75" hidden="false" customHeight="true" outlineLevel="0" collapsed="false">
      <c r="B2152" s="19" t="n">
        <v>3645</v>
      </c>
      <c r="C2152" s="20" t="s">
        <v>4563</v>
      </c>
      <c r="D2152" s="20" t="s">
        <v>151</v>
      </c>
      <c r="E2152" s="21" t="s">
        <v>4564</v>
      </c>
      <c r="F2152" s="21" t="n">
        <v>34509</v>
      </c>
      <c r="G2152" s="22" t="s">
        <v>471</v>
      </c>
      <c r="H2152" s="23" t="n">
        <f aca="false">COUNTIF(CAL!U:AF,B2152)</f>
        <v>1</v>
      </c>
      <c r="I2152" s="22" t="n">
        <v>10</v>
      </c>
      <c r="J2152" s="20"/>
    </row>
    <row r="2153" customFormat="false" ht="15.75" hidden="false" customHeight="true" outlineLevel="0" collapsed="false">
      <c r="B2153" s="19" t="n">
        <v>3388</v>
      </c>
      <c r="C2153" s="20" t="s">
        <v>495</v>
      </c>
      <c r="D2153" s="20" t="s">
        <v>187</v>
      </c>
      <c r="E2153" s="21" t="s">
        <v>4565</v>
      </c>
      <c r="F2153" s="21" t="n">
        <v>33063</v>
      </c>
      <c r="G2153" s="22" t="s">
        <v>471</v>
      </c>
      <c r="H2153" s="23" t="n">
        <f aca="false">COUNTIF(CAL!U:AF,B2153)</f>
        <v>1</v>
      </c>
      <c r="I2153" s="22" t="n">
        <v>10</v>
      </c>
      <c r="J2153" s="20"/>
    </row>
    <row r="2154" customFormat="false" ht="15.75" hidden="false" customHeight="true" outlineLevel="0" collapsed="false">
      <c r="B2154" s="19" t="n">
        <v>3344</v>
      </c>
      <c r="C2154" s="20" t="s">
        <v>4566</v>
      </c>
      <c r="D2154" s="20" t="s">
        <v>251</v>
      </c>
      <c r="E2154" s="21" t="s">
        <v>4567</v>
      </c>
      <c r="F2154" s="21" t="n">
        <v>37373</v>
      </c>
      <c r="G2154" s="22" t="s">
        <v>471</v>
      </c>
      <c r="H2154" s="23" t="n">
        <f aca="false">COUNTIF(CAL!U:AF,B2154)</f>
        <v>1</v>
      </c>
      <c r="I2154" s="22" t="n">
        <v>10</v>
      </c>
      <c r="J2154" s="20"/>
    </row>
    <row r="2155" customFormat="false" ht="15.75" hidden="false" customHeight="true" outlineLevel="0" collapsed="false">
      <c r="B2155" s="19" t="n">
        <v>2555</v>
      </c>
      <c r="C2155" s="20" t="s">
        <v>4568</v>
      </c>
      <c r="D2155" s="20" t="s">
        <v>235</v>
      </c>
      <c r="E2155" s="21" t="s">
        <v>4569</v>
      </c>
      <c r="F2155" s="21" t="n">
        <v>34400</v>
      </c>
      <c r="G2155" s="22" t="s">
        <v>471</v>
      </c>
      <c r="H2155" s="23" t="n">
        <f aca="false">COUNTIF(CAL!U:AF,B2155)</f>
        <v>1</v>
      </c>
      <c r="I2155" s="22" t="n">
        <v>10</v>
      </c>
      <c r="J2155" s="20"/>
    </row>
    <row r="2156" customFormat="false" ht="15.75" hidden="false" customHeight="true" outlineLevel="0" collapsed="false">
      <c r="B2156" s="19" t="n">
        <v>1057</v>
      </c>
      <c r="C2156" s="20" t="s">
        <v>4570</v>
      </c>
      <c r="D2156" s="20" t="s">
        <v>163</v>
      </c>
      <c r="E2156" s="21" t="s">
        <v>4571</v>
      </c>
      <c r="F2156" s="21" t="n">
        <v>38837</v>
      </c>
      <c r="G2156" s="22" t="s">
        <v>471</v>
      </c>
      <c r="H2156" s="23" t="n">
        <f aca="false">COUNTIF(CAL!U:AF,B2156)</f>
        <v>1</v>
      </c>
      <c r="I2156" s="22" t="n">
        <v>10</v>
      </c>
      <c r="J2156" s="20"/>
    </row>
    <row r="2157" customFormat="false" ht="15.75" hidden="false" customHeight="true" outlineLevel="0" collapsed="false">
      <c r="B2157" s="19" t="n">
        <v>3017</v>
      </c>
      <c r="C2157" s="20" t="s">
        <v>4572</v>
      </c>
      <c r="D2157" s="20" t="s">
        <v>295</v>
      </c>
      <c r="E2157" s="21" t="s">
        <v>4573</v>
      </c>
      <c r="F2157" s="21" t="n">
        <v>37079</v>
      </c>
      <c r="G2157" s="22" t="s">
        <v>471</v>
      </c>
      <c r="H2157" s="23" t="n">
        <f aca="false">COUNTIF(CAL!U:AF,B2157)</f>
        <v>1</v>
      </c>
      <c r="I2157" s="22" t="n">
        <v>10</v>
      </c>
      <c r="J2157" s="20"/>
    </row>
    <row r="2158" customFormat="false" ht="15.75" hidden="false" customHeight="true" outlineLevel="0" collapsed="false">
      <c r="B2158" s="19" t="n">
        <v>3094</v>
      </c>
      <c r="C2158" s="20" t="s">
        <v>4574</v>
      </c>
      <c r="D2158" s="20" t="s">
        <v>319</v>
      </c>
      <c r="E2158" s="24" t="s">
        <v>4575</v>
      </c>
      <c r="F2158" s="21" t="n">
        <v>37298</v>
      </c>
      <c r="G2158" s="22" t="s">
        <v>471</v>
      </c>
      <c r="H2158" s="23" t="n">
        <f aca="false">COUNTIF(CAL!U:AF,B2158)</f>
        <v>1</v>
      </c>
      <c r="I2158" s="22" t="n">
        <v>10</v>
      </c>
      <c r="J2158" s="20"/>
    </row>
    <row r="2159" customFormat="false" ht="15.75" hidden="false" customHeight="true" outlineLevel="0" collapsed="false">
      <c r="B2159" s="19" t="n">
        <v>3190</v>
      </c>
      <c r="C2159" s="20" t="s">
        <v>4576</v>
      </c>
      <c r="D2159" s="20" t="s">
        <v>174</v>
      </c>
      <c r="E2159" s="24" t="s">
        <v>4577</v>
      </c>
      <c r="F2159" s="21" t="n">
        <v>35046</v>
      </c>
      <c r="G2159" s="22" t="s">
        <v>471</v>
      </c>
      <c r="H2159" s="23" t="n">
        <f aca="false">COUNTIF(CAL!U:AF,B2159)</f>
        <v>1</v>
      </c>
      <c r="I2159" s="22" t="n">
        <v>10</v>
      </c>
      <c r="J2159" s="20"/>
    </row>
    <row r="2160" customFormat="false" ht="15.75" hidden="false" customHeight="true" outlineLevel="0" collapsed="false">
      <c r="B2160" s="19" t="n">
        <v>3001</v>
      </c>
      <c r="C2160" s="20" t="s">
        <v>2080</v>
      </c>
      <c r="D2160" s="20" t="s">
        <v>149</v>
      </c>
      <c r="E2160" s="24" t="s">
        <v>4578</v>
      </c>
      <c r="F2160" s="21" t="n">
        <v>35570</v>
      </c>
      <c r="G2160" s="22" t="s">
        <v>471</v>
      </c>
      <c r="H2160" s="23" t="n">
        <f aca="false">COUNTIF(CAL!U:AF,B2160)</f>
        <v>1</v>
      </c>
      <c r="I2160" s="22" t="n">
        <v>10</v>
      </c>
      <c r="J2160" s="20"/>
    </row>
    <row r="2161" customFormat="false" ht="15.75" hidden="false" customHeight="true" outlineLevel="0" collapsed="false">
      <c r="B2161" s="19" t="n">
        <v>2483</v>
      </c>
      <c r="C2161" s="20" t="s">
        <v>4579</v>
      </c>
      <c r="D2161" s="20" t="s">
        <v>122</v>
      </c>
      <c r="E2161" s="21" t="s">
        <v>4580</v>
      </c>
      <c r="F2161" s="21" t="n">
        <v>37137</v>
      </c>
      <c r="G2161" s="22" t="s">
        <v>471</v>
      </c>
      <c r="H2161" s="23" t="n">
        <f aca="false">COUNTIF(CAL!U:AF,B2161)</f>
        <v>1</v>
      </c>
      <c r="I2161" s="22" t="n">
        <v>10</v>
      </c>
      <c r="J2161" s="20"/>
    </row>
    <row r="2162" customFormat="false" ht="15.75" hidden="false" customHeight="true" outlineLevel="0" collapsed="false">
      <c r="B2162" s="19" t="n">
        <v>3459</v>
      </c>
      <c r="C2162" s="20" t="s">
        <v>4581</v>
      </c>
      <c r="D2162" s="20" t="s">
        <v>213</v>
      </c>
      <c r="E2162" s="21" t="s">
        <v>4582</v>
      </c>
      <c r="F2162" s="21" t="n">
        <v>37446</v>
      </c>
      <c r="G2162" s="22" t="s">
        <v>471</v>
      </c>
      <c r="H2162" s="23" t="n">
        <f aca="false">COUNTIF(CAL!U:AF,B2162)</f>
        <v>1</v>
      </c>
      <c r="I2162" s="22" t="n">
        <v>10</v>
      </c>
      <c r="J2162" s="20"/>
    </row>
    <row r="2163" customFormat="false" ht="15.75" hidden="false" customHeight="true" outlineLevel="0" collapsed="false">
      <c r="B2163" s="19" t="n">
        <v>2107</v>
      </c>
      <c r="C2163" s="20" t="s">
        <v>4583</v>
      </c>
      <c r="D2163" s="20" t="s">
        <v>130</v>
      </c>
      <c r="E2163" s="21" t="s">
        <v>4584</v>
      </c>
      <c r="F2163" s="21" t="n">
        <v>36179</v>
      </c>
      <c r="G2163" s="22" t="s">
        <v>471</v>
      </c>
      <c r="H2163" s="23" t="n">
        <f aca="false">COUNTIF(CAL!U:AF,B2163)</f>
        <v>1</v>
      </c>
      <c r="I2163" s="22" t="n">
        <v>10</v>
      </c>
      <c r="J2163" s="20"/>
    </row>
    <row r="2164" customFormat="false" ht="15.75" hidden="false" customHeight="true" outlineLevel="0" collapsed="false">
      <c r="B2164" s="19" t="n">
        <v>2619</v>
      </c>
      <c r="C2164" s="20" t="s">
        <v>4585</v>
      </c>
      <c r="D2164" s="20" t="s">
        <v>228</v>
      </c>
      <c r="E2164" s="21" t="s">
        <v>4586</v>
      </c>
      <c r="F2164" s="21" t="n">
        <v>36284</v>
      </c>
      <c r="G2164" s="22" t="s">
        <v>471</v>
      </c>
      <c r="H2164" s="23" t="n">
        <f aca="false">COUNTIF(CAL!U:AF,B2164)</f>
        <v>1</v>
      </c>
      <c r="I2164" s="22" t="n">
        <v>10</v>
      </c>
      <c r="J2164" s="20"/>
    </row>
    <row r="2165" customFormat="false" ht="15.75" hidden="false" customHeight="true" outlineLevel="0" collapsed="false">
      <c r="B2165" s="19" t="n">
        <v>1713</v>
      </c>
      <c r="C2165" s="20" t="s">
        <v>4587</v>
      </c>
      <c r="D2165" s="20" t="s">
        <v>265</v>
      </c>
      <c r="E2165" s="21" t="s">
        <v>4588</v>
      </c>
      <c r="F2165" s="21" t="n">
        <v>35867</v>
      </c>
      <c r="G2165" s="22" t="s">
        <v>471</v>
      </c>
      <c r="H2165" s="23" t="n">
        <f aca="false">COUNTIF(CAL!U:AF,B2165)</f>
        <v>1</v>
      </c>
      <c r="I2165" s="22" t="n">
        <v>10</v>
      </c>
      <c r="J2165" s="20"/>
    </row>
    <row r="2166" customFormat="false" ht="15.75" hidden="false" customHeight="true" outlineLevel="0" collapsed="false">
      <c r="B2166" s="19" t="n">
        <v>2791</v>
      </c>
      <c r="C2166" s="20" t="s">
        <v>1204</v>
      </c>
      <c r="D2166" s="20" t="s">
        <v>146</v>
      </c>
      <c r="E2166" s="21" t="s">
        <v>4589</v>
      </c>
      <c r="F2166" s="21" t="n">
        <v>36234</v>
      </c>
      <c r="G2166" s="22" t="s">
        <v>471</v>
      </c>
      <c r="H2166" s="23" t="n">
        <f aca="false">COUNTIF(CAL!U:AF,B2166)</f>
        <v>1</v>
      </c>
      <c r="I2166" s="22" t="n">
        <v>10</v>
      </c>
      <c r="J2166" s="20"/>
    </row>
    <row r="2167" customFormat="false" ht="15.75" hidden="false" customHeight="true" outlineLevel="0" collapsed="false">
      <c r="B2167" s="19" t="n">
        <v>3105</v>
      </c>
      <c r="C2167" s="20" t="s">
        <v>2519</v>
      </c>
      <c r="D2167" s="20" t="s">
        <v>330</v>
      </c>
      <c r="E2167" s="21" t="s">
        <v>4590</v>
      </c>
      <c r="F2167" s="21" t="n">
        <v>38362</v>
      </c>
      <c r="G2167" s="22" t="s">
        <v>471</v>
      </c>
      <c r="H2167" s="23" t="n">
        <f aca="false">COUNTIF(CAL!U:AF,B2167)</f>
        <v>1</v>
      </c>
      <c r="I2167" s="22" t="n">
        <v>10</v>
      </c>
      <c r="J2167" s="20"/>
    </row>
    <row r="2168" customFormat="false" ht="15.75" hidden="false" customHeight="true" outlineLevel="0" collapsed="false">
      <c r="B2168" s="19" t="n">
        <v>3000</v>
      </c>
      <c r="C2168" s="20" t="s">
        <v>4591</v>
      </c>
      <c r="D2168" s="20" t="s">
        <v>149</v>
      </c>
      <c r="E2168" s="21" t="s">
        <v>4592</v>
      </c>
      <c r="F2168" s="21" t="n">
        <v>37186</v>
      </c>
      <c r="G2168" s="22" t="s">
        <v>4593</v>
      </c>
      <c r="H2168" s="23" t="n">
        <f aca="false">COUNTIF(CAL!U:AF,B2168)</f>
        <v>1</v>
      </c>
      <c r="I2168" s="22" t="n">
        <v>10</v>
      </c>
      <c r="J2168" s="20"/>
    </row>
    <row r="2169" customFormat="false" ht="15.75" hidden="false" customHeight="true" outlineLevel="0" collapsed="false">
      <c r="B2169" s="19" t="n">
        <v>3038</v>
      </c>
      <c r="C2169" s="20" t="s">
        <v>4594</v>
      </c>
      <c r="D2169" s="20" t="s">
        <v>335</v>
      </c>
      <c r="E2169" s="21" t="s">
        <v>4595</v>
      </c>
      <c r="F2169" s="21" t="n">
        <v>36412</v>
      </c>
      <c r="G2169" s="22" t="s">
        <v>471</v>
      </c>
      <c r="H2169" s="23" t="n">
        <f aca="false">COUNTIF(CAL!U:AF,B2169)</f>
        <v>1</v>
      </c>
      <c r="I2169" s="22" t="n">
        <v>10</v>
      </c>
      <c r="J2169" s="20"/>
    </row>
    <row r="2170" customFormat="false" ht="15.75" hidden="false" customHeight="true" outlineLevel="0" collapsed="false">
      <c r="B2170" s="19" t="n">
        <v>1061</v>
      </c>
      <c r="C2170" s="20" t="s">
        <v>4596</v>
      </c>
      <c r="D2170" s="20" t="s">
        <v>147</v>
      </c>
      <c r="E2170" s="21" t="s">
        <v>4597</v>
      </c>
      <c r="F2170" s="21" t="n">
        <v>32039</v>
      </c>
      <c r="G2170" s="22" t="s">
        <v>471</v>
      </c>
      <c r="H2170" s="23" t="n">
        <f aca="false">COUNTIF(CAL!U:AF,B2170)</f>
        <v>1</v>
      </c>
      <c r="I2170" s="22" t="n">
        <v>10</v>
      </c>
      <c r="J2170" s="20"/>
    </row>
    <row r="2171" customFormat="false" ht="15.75" hidden="false" customHeight="true" outlineLevel="0" collapsed="false">
      <c r="B2171" s="19" t="n">
        <v>2810</v>
      </c>
      <c r="C2171" s="20" t="s">
        <v>4598</v>
      </c>
      <c r="D2171" s="20" t="s">
        <v>277</v>
      </c>
      <c r="E2171" s="21" t="s">
        <v>4599</v>
      </c>
      <c r="F2171" s="21" t="n">
        <v>34763</v>
      </c>
      <c r="G2171" s="22" t="s">
        <v>471</v>
      </c>
      <c r="H2171" s="23" t="n">
        <f aca="false">COUNTIF(CAL!U:AF,B2171)</f>
        <v>1</v>
      </c>
      <c r="I2171" s="22" t="n">
        <v>10</v>
      </c>
      <c r="J2171" s="20"/>
    </row>
    <row r="2172" customFormat="false" ht="15.75" hidden="false" customHeight="true" outlineLevel="0" collapsed="false">
      <c r="B2172" s="19" t="n">
        <v>2855</v>
      </c>
      <c r="C2172" s="20" t="s">
        <v>548</v>
      </c>
      <c r="D2172" s="20" t="s">
        <v>103</v>
      </c>
      <c r="E2172" s="21" t="s">
        <v>4600</v>
      </c>
      <c r="F2172" s="21" t="n">
        <v>36908</v>
      </c>
      <c r="G2172" s="22" t="s">
        <v>471</v>
      </c>
      <c r="H2172" s="23" t="n">
        <f aca="false">COUNTIF(CAL!U:AF,B2172)</f>
        <v>1</v>
      </c>
      <c r="I2172" s="22" t="n">
        <v>10</v>
      </c>
      <c r="J2172" s="20"/>
    </row>
    <row r="2173" customFormat="false" ht="15.75" hidden="false" customHeight="true" outlineLevel="0" collapsed="false">
      <c r="B2173" s="19" t="n">
        <v>2403</v>
      </c>
      <c r="C2173" s="20" t="s">
        <v>4601</v>
      </c>
      <c r="D2173" s="20" t="s">
        <v>108</v>
      </c>
      <c r="E2173" s="21" t="s">
        <v>4602</v>
      </c>
      <c r="F2173" s="21" t="n">
        <v>34771</v>
      </c>
      <c r="G2173" s="22" t="s">
        <v>471</v>
      </c>
      <c r="H2173" s="23" t="n">
        <f aca="false">COUNTIF(CAL!U:AF,B2173)</f>
        <v>1</v>
      </c>
      <c r="I2173" s="22" t="n">
        <v>10</v>
      </c>
      <c r="J2173" s="20"/>
    </row>
    <row r="2174" customFormat="false" ht="15.75" hidden="false" customHeight="true" outlineLevel="0" collapsed="false">
      <c r="B2174" s="19" t="n">
        <v>2863</v>
      </c>
      <c r="C2174" s="20" t="s">
        <v>4603</v>
      </c>
      <c r="D2174" s="20" t="s">
        <v>187</v>
      </c>
      <c r="E2174" s="24" t="s">
        <v>4604</v>
      </c>
      <c r="F2174" s="21" t="n">
        <v>34822</v>
      </c>
      <c r="G2174" s="22" t="s">
        <v>471</v>
      </c>
      <c r="H2174" s="23" t="n">
        <f aca="false">COUNTIF(CAL!U:AF,B2174)</f>
        <v>1</v>
      </c>
      <c r="I2174" s="22" t="n">
        <v>10</v>
      </c>
      <c r="J2174" s="20" t="s">
        <v>2900</v>
      </c>
    </row>
    <row r="2175" customFormat="false" ht="15.75" hidden="false" customHeight="true" outlineLevel="0" collapsed="false">
      <c r="B2175" s="19" t="n">
        <v>3436</v>
      </c>
      <c r="C2175" s="20" t="s">
        <v>1667</v>
      </c>
      <c r="D2175" s="20" t="s">
        <v>334</v>
      </c>
      <c r="E2175" s="21" t="s">
        <v>4605</v>
      </c>
      <c r="F2175" s="21" t="n">
        <v>37929</v>
      </c>
      <c r="G2175" s="22" t="s">
        <v>471</v>
      </c>
      <c r="H2175" s="23" t="n">
        <f aca="false">COUNTIF(CAL!U:AF,B2175)</f>
        <v>1</v>
      </c>
      <c r="I2175" s="22" t="n">
        <v>10</v>
      </c>
      <c r="J2175" s="20"/>
    </row>
    <row r="2176" customFormat="false" ht="15.75" hidden="false" customHeight="true" outlineLevel="0" collapsed="false">
      <c r="B2176" s="19" t="n">
        <v>1884</v>
      </c>
      <c r="C2176" s="20" t="s">
        <v>3585</v>
      </c>
      <c r="D2176" s="20" t="s">
        <v>42</v>
      </c>
      <c r="E2176" s="21" t="s">
        <v>4606</v>
      </c>
      <c r="F2176" s="21" t="n">
        <v>37120</v>
      </c>
      <c r="G2176" s="22" t="s">
        <v>471</v>
      </c>
      <c r="H2176" s="23" t="n">
        <f aca="false">COUNTIF(CAL!U:AF,B2176)</f>
        <v>1</v>
      </c>
      <c r="I2176" s="22" t="n">
        <v>10</v>
      </c>
      <c r="J2176" s="20"/>
    </row>
    <row r="2177" customFormat="false" ht="15.75" hidden="false" customHeight="true" outlineLevel="0" collapsed="false">
      <c r="B2177" s="19" t="n">
        <v>3489</v>
      </c>
      <c r="C2177" s="20" t="s">
        <v>4607</v>
      </c>
      <c r="D2177" s="20" t="s">
        <v>140</v>
      </c>
      <c r="E2177" s="21" t="s">
        <v>4608</v>
      </c>
      <c r="F2177" s="21" t="n">
        <v>37181</v>
      </c>
      <c r="G2177" s="22" t="s">
        <v>471</v>
      </c>
      <c r="H2177" s="23" t="n">
        <f aca="false">COUNTIF(CAL!U:AF,B2177)</f>
        <v>1</v>
      </c>
      <c r="I2177" s="22" t="n">
        <v>10</v>
      </c>
      <c r="J2177" s="20"/>
    </row>
    <row r="2178" customFormat="false" ht="15.75" hidden="false" customHeight="true" outlineLevel="0" collapsed="false">
      <c r="B2178" s="19" t="n">
        <v>2620</v>
      </c>
      <c r="C2178" s="20" t="s">
        <v>1420</v>
      </c>
      <c r="D2178" s="20" t="s">
        <v>218</v>
      </c>
      <c r="E2178" s="21" t="s">
        <v>4609</v>
      </c>
      <c r="F2178" s="21" t="n">
        <v>35361</v>
      </c>
      <c r="G2178" s="22" t="s">
        <v>471</v>
      </c>
      <c r="H2178" s="23" t="n">
        <f aca="false">COUNTIF(CAL!U:AF,B2178)</f>
        <v>1</v>
      </c>
      <c r="I2178" s="22" t="n">
        <v>10</v>
      </c>
      <c r="J2178" s="20"/>
    </row>
    <row r="2179" customFormat="false" ht="15.75" hidden="false" customHeight="true" outlineLevel="0" collapsed="false">
      <c r="B2179" s="19" t="n">
        <v>3262</v>
      </c>
      <c r="C2179" s="20" t="s">
        <v>3594</v>
      </c>
      <c r="D2179" s="20" t="s">
        <v>375</v>
      </c>
      <c r="E2179" s="21" t="s">
        <v>4610</v>
      </c>
      <c r="F2179" s="21" t="n">
        <v>37125</v>
      </c>
      <c r="G2179" s="22" t="s">
        <v>471</v>
      </c>
      <c r="H2179" s="23" t="n">
        <f aca="false">COUNTIF(CAL!U:AF,B2179)</f>
        <v>1</v>
      </c>
      <c r="I2179" s="22" t="n">
        <v>10</v>
      </c>
      <c r="J2179" s="20"/>
    </row>
    <row r="2180" customFormat="false" ht="15.75" hidden="false" customHeight="true" outlineLevel="0" collapsed="false">
      <c r="B2180" s="19" t="n">
        <v>1570</v>
      </c>
      <c r="C2180" s="20" t="s">
        <v>4611</v>
      </c>
      <c r="D2180" s="20" t="s">
        <v>172</v>
      </c>
      <c r="E2180" s="24" t="s">
        <v>4612</v>
      </c>
      <c r="F2180" s="21" t="n">
        <v>37740</v>
      </c>
      <c r="G2180" s="22" t="s">
        <v>471</v>
      </c>
      <c r="H2180" s="23" t="n">
        <f aca="false">COUNTIF(CAL!U:AF,B2180)</f>
        <v>1</v>
      </c>
      <c r="I2180" s="22" t="n">
        <v>10</v>
      </c>
      <c r="J2180" s="20" t="s">
        <v>4613</v>
      </c>
    </row>
    <row r="2181" customFormat="false" ht="15.75" hidden="false" customHeight="true" outlineLevel="0" collapsed="false">
      <c r="B2181" s="19" t="n">
        <v>2291</v>
      </c>
      <c r="C2181" s="20" t="s">
        <v>3599</v>
      </c>
      <c r="D2181" s="20" t="s">
        <v>170</v>
      </c>
      <c r="E2181" s="24" t="s">
        <v>4614</v>
      </c>
      <c r="F2181" s="21" t="n">
        <v>38379</v>
      </c>
      <c r="G2181" s="22" t="s">
        <v>471</v>
      </c>
      <c r="H2181" s="23" t="n">
        <f aca="false">COUNTIF(CAL!U:AF,B2181)</f>
        <v>1</v>
      </c>
      <c r="I2181" s="22" t="n">
        <v>10</v>
      </c>
      <c r="J2181" s="20"/>
    </row>
    <row r="2182" customFormat="false" ht="15.75" hidden="false" customHeight="true" outlineLevel="0" collapsed="false">
      <c r="B2182" s="19" t="n">
        <v>2781</v>
      </c>
      <c r="C2182" s="20" t="s">
        <v>4615</v>
      </c>
      <c r="D2182" s="20" t="s">
        <v>338</v>
      </c>
      <c r="E2182" s="21" t="s">
        <v>4616</v>
      </c>
      <c r="F2182" s="21" t="n">
        <v>35970</v>
      </c>
      <c r="G2182" s="22" t="s">
        <v>471</v>
      </c>
      <c r="H2182" s="23" t="n">
        <f aca="false">COUNTIF(CAL!U:AF,B2182)</f>
        <v>1</v>
      </c>
      <c r="I2182" s="22" t="n">
        <v>10</v>
      </c>
      <c r="J2182" s="20"/>
    </row>
    <row r="2183" customFormat="false" ht="15.75" hidden="false" customHeight="true" outlineLevel="0" collapsed="false">
      <c r="B2183" s="19" t="n">
        <v>2066</v>
      </c>
      <c r="C2183" s="20" t="s">
        <v>4617</v>
      </c>
      <c r="D2183" s="20" t="s">
        <v>79</v>
      </c>
      <c r="E2183" s="21" t="s">
        <v>4618</v>
      </c>
      <c r="F2183" s="21" t="n">
        <v>37042</v>
      </c>
      <c r="G2183" s="22" t="s">
        <v>471</v>
      </c>
      <c r="H2183" s="23" t="n">
        <f aca="false">COUNTIF(CAL!U:AF,B2183)</f>
        <v>1</v>
      </c>
      <c r="I2183" s="22" t="n">
        <v>10</v>
      </c>
      <c r="J2183" s="20"/>
    </row>
    <row r="2184" customFormat="false" ht="15.75" hidden="false" customHeight="true" outlineLevel="0" collapsed="false">
      <c r="B2184" s="19" t="n">
        <v>2909</v>
      </c>
      <c r="C2184" s="20" t="s">
        <v>3613</v>
      </c>
      <c r="D2184" s="20" t="s">
        <v>375</v>
      </c>
      <c r="E2184" s="24" t="s">
        <v>4619</v>
      </c>
      <c r="F2184" s="21" t="n">
        <v>38087</v>
      </c>
      <c r="G2184" s="22" t="s">
        <v>471</v>
      </c>
      <c r="H2184" s="23" t="n">
        <f aca="false">COUNTIF(CAL!U:AF,B2184)</f>
        <v>1</v>
      </c>
      <c r="I2184" s="22" t="n">
        <v>10</v>
      </c>
      <c r="J2184" s="20"/>
    </row>
    <row r="2185" customFormat="false" ht="15.75" hidden="false" customHeight="true" outlineLevel="0" collapsed="false">
      <c r="B2185" s="19" t="n">
        <v>2256</v>
      </c>
      <c r="C2185" s="20" t="s">
        <v>4620</v>
      </c>
      <c r="D2185" s="20" t="s">
        <v>154</v>
      </c>
      <c r="E2185" s="21" t="s">
        <v>4621</v>
      </c>
      <c r="F2185" s="21" t="n">
        <v>36646</v>
      </c>
      <c r="G2185" s="22" t="s">
        <v>471</v>
      </c>
      <c r="H2185" s="23" t="n">
        <f aca="false">COUNTIF(CAL!U:AF,B2185)</f>
        <v>1</v>
      </c>
      <c r="I2185" s="22" t="n">
        <v>10</v>
      </c>
      <c r="J2185" s="20"/>
    </row>
    <row r="2186" customFormat="false" ht="15.75" hidden="false" customHeight="true" outlineLevel="0" collapsed="false">
      <c r="B2186" s="19" t="n">
        <v>2731</v>
      </c>
      <c r="C2186" s="20" t="s">
        <v>4622</v>
      </c>
      <c r="D2186" s="20" t="s">
        <v>198</v>
      </c>
      <c r="E2186" s="24" t="s">
        <v>4623</v>
      </c>
      <c r="F2186" s="21" t="n">
        <v>37432</v>
      </c>
      <c r="G2186" s="22" t="s">
        <v>471</v>
      </c>
      <c r="H2186" s="23" t="n">
        <f aca="false">COUNTIF(CAL!U:AF,B2186)</f>
        <v>1</v>
      </c>
      <c r="I2186" s="22" t="n">
        <v>10</v>
      </c>
      <c r="J2186" s="20"/>
    </row>
    <row r="2187" customFormat="false" ht="15.75" hidden="false" customHeight="true" outlineLevel="0" collapsed="false">
      <c r="B2187" s="19" t="n">
        <v>3246</v>
      </c>
      <c r="C2187" s="20" t="s">
        <v>4624</v>
      </c>
      <c r="D2187" s="20" t="s">
        <v>167</v>
      </c>
      <c r="E2187" s="21" t="s">
        <v>4625</v>
      </c>
      <c r="F2187" s="21" t="n">
        <v>38083</v>
      </c>
      <c r="G2187" s="22" t="s">
        <v>471</v>
      </c>
      <c r="H2187" s="23" t="n">
        <f aca="false">COUNTIF(CAL!U:AF,B2187)</f>
        <v>1</v>
      </c>
      <c r="I2187" s="22" t="n">
        <v>10</v>
      </c>
      <c r="J2187" s="20"/>
    </row>
    <row r="2188" customFormat="false" ht="15.75" hidden="false" customHeight="true" outlineLevel="0" collapsed="false">
      <c r="B2188" s="19" t="n">
        <v>1920</v>
      </c>
      <c r="C2188" s="20" t="s">
        <v>4626</v>
      </c>
      <c r="D2188" s="20" t="s">
        <v>211</v>
      </c>
      <c r="E2188" s="21" t="s">
        <v>4627</v>
      </c>
      <c r="F2188" s="21" t="n">
        <v>33996</v>
      </c>
      <c r="G2188" s="22" t="s">
        <v>471</v>
      </c>
      <c r="H2188" s="23" t="n">
        <f aca="false">COUNTIF(CAL!U:AF,B2188)</f>
        <v>1</v>
      </c>
      <c r="I2188" s="22" t="n">
        <v>10</v>
      </c>
      <c r="J2188" s="20"/>
    </row>
    <row r="2189" customFormat="false" ht="15.75" hidden="false" customHeight="true" outlineLevel="0" collapsed="false">
      <c r="B2189" s="19" t="n">
        <v>1973</v>
      </c>
      <c r="C2189" s="20" t="s">
        <v>1091</v>
      </c>
      <c r="D2189" s="20" t="s">
        <v>201</v>
      </c>
      <c r="E2189" s="21" t="s">
        <v>4628</v>
      </c>
      <c r="F2189" s="21" t="n">
        <v>38105</v>
      </c>
      <c r="G2189" s="22" t="s">
        <v>471</v>
      </c>
      <c r="H2189" s="23" t="n">
        <f aca="false">COUNTIF(CAL!U:AF,B2189)</f>
        <v>1</v>
      </c>
      <c r="I2189" s="22" t="n">
        <v>10</v>
      </c>
      <c r="J2189" s="20"/>
    </row>
    <row r="2190" customFormat="false" ht="15.75" hidden="false" customHeight="true" outlineLevel="0" collapsed="false">
      <c r="B2190" s="19" t="n">
        <v>2377</v>
      </c>
      <c r="C2190" s="20" t="s">
        <v>4629</v>
      </c>
      <c r="D2190" s="20" t="s">
        <v>265</v>
      </c>
      <c r="E2190" s="21" t="s">
        <v>4630</v>
      </c>
      <c r="F2190" s="21" t="n">
        <v>34218</v>
      </c>
      <c r="G2190" s="22" t="s">
        <v>471</v>
      </c>
      <c r="H2190" s="23" t="n">
        <f aca="false">COUNTIF(CAL!U:AF,B2190)</f>
        <v>1</v>
      </c>
      <c r="I2190" s="22" t="n">
        <v>10</v>
      </c>
      <c r="J2190" s="20" t="s">
        <v>4631</v>
      </c>
    </row>
    <row r="2191" customFormat="false" ht="15.75" hidden="false" customHeight="true" outlineLevel="0" collapsed="false">
      <c r="B2191" s="19" t="n">
        <v>3003</v>
      </c>
      <c r="C2191" s="20" t="s">
        <v>1796</v>
      </c>
      <c r="D2191" s="20" t="s">
        <v>256</v>
      </c>
      <c r="E2191" s="21" t="s">
        <v>4632</v>
      </c>
      <c r="F2191" s="21" t="n">
        <v>38194</v>
      </c>
      <c r="G2191" s="22" t="s">
        <v>471</v>
      </c>
      <c r="H2191" s="23" t="n">
        <f aca="false">COUNTIF(CAL!U:AF,B2191)</f>
        <v>1</v>
      </c>
      <c r="I2191" s="22" t="n">
        <v>10</v>
      </c>
      <c r="J2191" s="20"/>
    </row>
    <row r="2192" customFormat="false" ht="15.75" hidden="false" customHeight="true" outlineLevel="0" collapsed="false">
      <c r="B2192" s="19" t="n">
        <v>3132</v>
      </c>
      <c r="C2192" s="20" t="s">
        <v>2697</v>
      </c>
      <c r="D2192" s="20" t="s">
        <v>73</v>
      </c>
      <c r="E2192" s="21" t="s">
        <v>4633</v>
      </c>
      <c r="F2192" s="21" t="n">
        <v>34631</v>
      </c>
      <c r="G2192" s="22" t="s">
        <v>471</v>
      </c>
      <c r="H2192" s="23" t="n">
        <f aca="false">COUNTIF(CAL!U:AF,B2192)</f>
        <v>1</v>
      </c>
      <c r="I2192" s="22" t="n">
        <v>10</v>
      </c>
      <c r="J2192" s="20"/>
    </row>
    <row r="2193" customFormat="false" ht="15.75" hidden="false" customHeight="true" outlineLevel="0" collapsed="false">
      <c r="B2193" s="19" t="n">
        <v>3538</v>
      </c>
      <c r="C2193" s="20" t="s">
        <v>4634</v>
      </c>
      <c r="D2193" s="20" t="s">
        <v>384</v>
      </c>
      <c r="E2193" s="24" t="s">
        <v>4635</v>
      </c>
      <c r="F2193" s="21" t="n">
        <v>37362</v>
      </c>
      <c r="G2193" s="22" t="s">
        <v>471</v>
      </c>
      <c r="H2193" s="23" t="n">
        <f aca="false">COUNTIF(CAL!U:AF,B2193)</f>
        <v>1</v>
      </c>
      <c r="I2193" s="22" t="n">
        <v>10</v>
      </c>
      <c r="J2193" s="20"/>
    </row>
    <row r="2194" customFormat="false" ht="15.75" hidden="false" customHeight="true" outlineLevel="0" collapsed="false">
      <c r="B2194" s="19" t="n">
        <v>3141</v>
      </c>
      <c r="C2194" s="20" t="s">
        <v>4636</v>
      </c>
      <c r="D2194" s="20" t="s">
        <v>301</v>
      </c>
      <c r="E2194" s="21" t="s">
        <v>4637</v>
      </c>
      <c r="F2194" s="21" t="n">
        <v>36853</v>
      </c>
      <c r="G2194" s="22" t="s">
        <v>471</v>
      </c>
      <c r="H2194" s="23" t="n">
        <f aca="false">COUNTIF(CAL!U:AF,B2194)</f>
        <v>1</v>
      </c>
      <c r="I2194" s="22" t="n">
        <v>10</v>
      </c>
      <c r="J2194" s="20"/>
    </row>
    <row r="2195" customFormat="false" ht="15.75" hidden="false" customHeight="true" outlineLevel="0" collapsed="false">
      <c r="B2195" s="19" t="n">
        <v>3107</v>
      </c>
      <c r="C2195" s="20" t="s">
        <v>2009</v>
      </c>
      <c r="D2195" s="20" t="s">
        <v>333</v>
      </c>
      <c r="E2195" s="21" t="s">
        <v>4638</v>
      </c>
      <c r="F2195" s="21" t="n">
        <v>35404</v>
      </c>
      <c r="G2195" s="22" t="s">
        <v>471</v>
      </c>
      <c r="H2195" s="23" t="n">
        <f aca="false">COUNTIF(CAL!U:AF,B2195)</f>
        <v>1</v>
      </c>
      <c r="I2195" s="22" t="n">
        <v>10</v>
      </c>
      <c r="J2195" s="20"/>
    </row>
    <row r="2196" customFormat="false" ht="15.75" hidden="false" customHeight="true" outlineLevel="0" collapsed="false">
      <c r="B2196" s="19" t="n">
        <v>2670</v>
      </c>
      <c r="C2196" s="20" t="s">
        <v>4639</v>
      </c>
      <c r="D2196" s="20" t="s">
        <v>117</v>
      </c>
      <c r="E2196" s="21" t="s">
        <v>4640</v>
      </c>
      <c r="F2196" s="21" t="n">
        <v>33001</v>
      </c>
      <c r="G2196" s="22" t="s">
        <v>471</v>
      </c>
      <c r="H2196" s="23" t="n">
        <f aca="false">COUNTIF(CAL!U:AF,B2196)</f>
        <v>1</v>
      </c>
      <c r="I2196" s="22" t="n">
        <v>10</v>
      </c>
      <c r="J2196" s="20"/>
    </row>
    <row r="2197" customFormat="false" ht="15.75" hidden="false" customHeight="true" outlineLevel="0" collapsed="false">
      <c r="B2197" s="19" t="n">
        <v>1906</v>
      </c>
      <c r="C2197" s="20" t="s">
        <v>4641</v>
      </c>
      <c r="D2197" s="20" t="s">
        <v>131</v>
      </c>
      <c r="E2197" s="21" t="s">
        <v>4642</v>
      </c>
      <c r="F2197" s="21" t="n">
        <v>37819</v>
      </c>
      <c r="G2197" s="22" t="s">
        <v>471</v>
      </c>
      <c r="H2197" s="23" t="n">
        <f aca="false">COUNTIF(CAL!U:AF,B2197)</f>
        <v>1</v>
      </c>
      <c r="I2197" s="22" t="n">
        <v>10</v>
      </c>
      <c r="J2197" s="20"/>
    </row>
    <row r="2198" customFormat="false" ht="15.75" hidden="false" customHeight="true" outlineLevel="0" collapsed="false">
      <c r="B2198" s="19" t="n">
        <v>2926</v>
      </c>
      <c r="C2198" s="20" t="s">
        <v>4643</v>
      </c>
      <c r="D2198" s="20" t="s">
        <v>199</v>
      </c>
      <c r="E2198" s="21" t="s">
        <v>4644</v>
      </c>
      <c r="F2198" s="21" t="n">
        <v>38768</v>
      </c>
      <c r="G2198" s="22" t="s">
        <v>471</v>
      </c>
      <c r="H2198" s="23" t="n">
        <f aca="false">COUNTIF(CAL!U:AF,B2198)</f>
        <v>1</v>
      </c>
      <c r="I2198" s="22" t="n">
        <v>10</v>
      </c>
      <c r="J2198" s="20"/>
    </row>
    <row r="2199" customFormat="false" ht="15.75" hidden="false" customHeight="true" outlineLevel="0" collapsed="false">
      <c r="B2199" s="19" t="n">
        <v>2240</v>
      </c>
      <c r="C2199" s="20" t="s">
        <v>4645</v>
      </c>
      <c r="D2199" s="20" t="s">
        <v>67</v>
      </c>
      <c r="E2199" s="21" t="s">
        <v>4646</v>
      </c>
      <c r="F2199" s="21" t="n">
        <v>37393</v>
      </c>
      <c r="G2199" s="22" t="s">
        <v>481</v>
      </c>
      <c r="H2199" s="23" t="n">
        <f aca="false">COUNTIF(CAL!U:AF,B2199)</f>
        <v>1</v>
      </c>
      <c r="I2199" s="22" t="n">
        <v>10</v>
      </c>
      <c r="J2199" s="20"/>
    </row>
    <row r="2200" customFormat="false" ht="15.75" hidden="false" customHeight="true" outlineLevel="0" collapsed="false">
      <c r="B2200" s="19" t="n">
        <v>3427</v>
      </c>
      <c r="C2200" s="20" t="s">
        <v>4647</v>
      </c>
      <c r="D2200" s="20" t="s">
        <v>290</v>
      </c>
      <c r="E2200" s="21" t="s">
        <v>4648</v>
      </c>
      <c r="F2200" s="21" t="n">
        <v>36917</v>
      </c>
      <c r="G2200" s="22" t="s">
        <v>471</v>
      </c>
      <c r="H2200" s="23" t="n">
        <f aca="false">COUNTIF(CAL!U:AF,B2200)</f>
        <v>1</v>
      </c>
      <c r="I2200" s="22" t="n">
        <v>11</v>
      </c>
      <c r="J2200" s="20"/>
    </row>
    <row r="2201" customFormat="false" ht="15.75" hidden="false" customHeight="true" outlineLevel="0" collapsed="false">
      <c r="B2201" s="19" t="n">
        <v>3566</v>
      </c>
      <c r="C2201" s="20" t="s">
        <v>4649</v>
      </c>
      <c r="D2201" s="20" t="s">
        <v>140</v>
      </c>
      <c r="E2201" s="21" t="s">
        <v>4650</v>
      </c>
      <c r="F2201" s="21" t="n">
        <v>35621</v>
      </c>
      <c r="G2201" s="22" t="s">
        <v>471</v>
      </c>
      <c r="H2201" s="23" t="n">
        <f aca="false">COUNTIF(CAL!U:AF,B2201)</f>
        <v>1</v>
      </c>
      <c r="I2201" s="22" t="n">
        <v>11</v>
      </c>
      <c r="J2201" s="20"/>
    </row>
    <row r="2202" customFormat="false" ht="15.75" hidden="false" customHeight="true" outlineLevel="0" collapsed="false">
      <c r="B2202" s="19" t="n">
        <v>2336</v>
      </c>
      <c r="C2202" s="20" t="s">
        <v>4651</v>
      </c>
      <c r="D2202" s="20" t="s">
        <v>330</v>
      </c>
      <c r="E2202" s="21" t="s">
        <v>4652</v>
      </c>
      <c r="F2202" s="21" t="n">
        <v>37209</v>
      </c>
      <c r="G2202" s="22" t="s">
        <v>471</v>
      </c>
      <c r="H2202" s="23" t="n">
        <f aca="false">COUNTIF(CAL!U:AF,B2202)</f>
        <v>1</v>
      </c>
      <c r="I2202" s="22" t="n">
        <v>11</v>
      </c>
      <c r="J2202" s="20"/>
    </row>
    <row r="2203" customFormat="false" ht="15.75" hidden="false" customHeight="true" outlineLevel="0" collapsed="false">
      <c r="B2203" s="19" t="n">
        <v>2593</v>
      </c>
      <c r="C2203" s="20" t="s">
        <v>4653</v>
      </c>
      <c r="D2203" s="20" t="s">
        <v>164</v>
      </c>
      <c r="E2203" s="21" t="s">
        <v>4654</v>
      </c>
      <c r="F2203" s="21" t="n">
        <v>33395</v>
      </c>
      <c r="G2203" s="22" t="s">
        <v>471</v>
      </c>
      <c r="H2203" s="23" t="n">
        <f aca="false">COUNTIF(CAL!U:AF,B2203)</f>
        <v>1</v>
      </c>
      <c r="I2203" s="22" t="n">
        <v>11</v>
      </c>
      <c r="J2203" s="20"/>
    </row>
    <row r="2204" customFormat="false" ht="15.75" hidden="false" customHeight="true" outlineLevel="0" collapsed="false">
      <c r="B2204" s="19" t="n">
        <v>3160</v>
      </c>
      <c r="C2204" s="20" t="s">
        <v>4655</v>
      </c>
      <c r="D2204" s="20" t="s">
        <v>347</v>
      </c>
      <c r="E2204" s="24" t="s">
        <v>4656</v>
      </c>
      <c r="F2204" s="21" t="n">
        <v>34554</v>
      </c>
      <c r="G2204" s="22" t="s">
        <v>471</v>
      </c>
      <c r="H2204" s="23" t="n">
        <f aca="false">COUNTIF(CAL!U:AF,B2204)</f>
        <v>1</v>
      </c>
      <c r="I2204" s="22" t="n">
        <v>11</v>
      </c>
      <c r="J2204" s="20"/>
    </row>
    <row r="2205" customFormat="false" ht="15.75" hidden="false" customHeight="true" outlineLevel="0" collapsed="false">
      <c r="B2205" s="19" t="n">
        <v>3307</v>
      </c>
      <c r="C2205" s="20" t="s">
        <v>4657</v>
      </c>
      <c r="D2205" s="20" t="s">
        <v>193</v>
      </c>
      <c r="E2205" s="21" t="s">
        <v>4658</v>
      </c>
      <c r="F2205" s="21" t="n">
        <v>34717</v>
      </c>
      <c r="G2205" s="22" t="s">
        <v>471</v>
      </c>
      <c r="H2205" s="23" t="n">
        <f aca="false">COUNTIF(CAL!U:AF,B2205)</f>
        <v>1</v>
      </c>
      <c r="I2205" s="22" t="n">
        <v>11</v>
      </c>
      <c r="J2205" s="20"/>
    </row>
    <row r="2206" customFormat="false" ht="15.75" hidden="false" customHeight="true" outlineLevel="0" collapsed="false">
      <c r="B2206" s="19" t="n">
        <v>2594</v>
      </c>
      <c r="C2206" s="20" t="s">
        <v>2775</v>
      </c>
      <c r="D2206" s="20" t="s">
        <v>169</v>
      </c>
      <c r="E2206" s="21" t="s">
        <v>4659</v>
      </c>
      <c r="F2206" s="21" t="n">
        <v>35159</v>
      </c>
      <c r="G2206" s="22" t="s">
        <v>471</v>
      </c>
      <c r="H2206" s="23" t="n">
        <f aca="false">COUNTIF(CAL!U:AF,B2206)</f>
        <v>1</v>
      </c>
      <c r="I2206" s="22" t="n">
        <v>11</v>
      </c>
      <c r="J2206" s="20"/>
    </row>
    <row r="2207" customFormat="false" ht="15.75" hidden="false" customHeight="true" outlineLevel="0" collapsed="false">
      <c r="B2207" s="19" t="n">
        <v>3312</v>
      </c>
      <c r="C2207" s="20" t="s">
        <v>4660</v>
      </c>
      <c r="D2207" s="20" t="s">
        <v>110</v>
      </c>
      <c r="E2207" s="21" t="s">
        <v>4661</v>
      </c>
      <c r="F2207" s="21" t="n">
        <v>34467</v>
      </c>
      <c r="G2207" s="22" t="s">
        <v>471</v>
      </c>
      <c r="H2207" s="23" t="n">
        <f aca="false">COUNTIF(CAL!U:AF,B2207)</f>
        <v>1</v>
      </c>
      <c r="I2207" s="22" t="n">
        <v>11</v>
      </c>
      <c r="J2207" s="20"/>
    </row>
    <row r="2208" customFormat="false" ht="15.75" hidden="false" customHeight="true" outlineLevel="0" collapsed="false">
      <c r="B2208" s="19" t="n">
        <v>3127</v>
      </c>
      <c r="C2208" s="20" t="s">
        <v>2014</v>
      </c>
      <c r="D2208" s="20" t="s">
        <v>266</v>
      </c>
      <c r="E2208" s="21" t="s">
        <v>4662</v>
      </c>
      <c r="F2208" s="21" t="n">
        <v>37217</v>
      </c>
      <c r="G2208" s="22" t="s">
        <v>471</v>
      </c>
      <c r="H2208" s="23" t="n">
        <f aca="false">COUNTIF(CAL!U:AF,B2208)</f>
        <v>1</v>
      </c>
      <c r="I2208" s="22" t="n">
        <v>11</v>
      </c>
      <c r="J2208" s="20"/>
    </row>
    <row r="2209" customFormat="false" ht="15.75" hidden="false" customHeight="true" outlineLevel="0" collapsed="false">
      <c r="B2209" s="19" t="n">
        <v>2424</v>
      </c>
      <c r="C2209" s="20" t="s">
        <v>4663</v>
      </c>
      <c r="D2209" s="20" t="s">
        <v>222</v>
      </c>
      <c r="E2209" s="21" t="s">
        <v>4664</v>
      </c>
      <c r="F2209" s="21" t="n">
        <v>36240</v>
      </c>
      <c r="G2209" s="22" t="s">
        <v>471</v>
      </c>
      <c r="H2209" s="23" t="n">
        <f aca="false">COUNTIF(CAL!U:AF,B2209)</f>
        <v>1</v>
      </c>
      <c r="I2209" s="22" t="n">
        <v>11</v>
      </c>
      <c r="J2209" s="20"/>
    </row>
    <row r="2210" customFormat="false" ht="15.75" hidden="false" customHeight="true" outlineLevel="0" collapsed="false">
      <c r="B2210" s="19" t="n">
        <v>2740</v>
      </c>
      <c r="C2210" s="20" t="s">
        <v>4665</v>
      </c>
      <c r="D2210" s="20" t="s">
        <v>375</v>
      </c>
      <c r="E2210" s="24" t="s">
        <v>4666</v>
      </c>
      <c r="F2210" s="21" t="n">
        <v>37749</v>
      </c>
      <c r="G2210" s="22" t="s">
        <v>471</v>
      </c>
      <c r="H2210" s="23" t="n">
        <f aca="false">COUNTIF(CAL!U:AF,B2210)</f>
        <v>1</v>
      </c>
      <c r="I2210" s="22" t="n">
        <v>11</v>
      </c>
      <c r="J2210" s="20"/>
    </row>
    <row r="2211" customFormat="false" ht="15.75" hidden="false" customHeight="true" outlineLevel="0" collapsed="false">
      <c r="B2211" s="19" t="n">
        <v>1658</v>
      </c>
      <c r="C2211" s="20" t="s">
        <v>4667</v>
      </c>
      <c r="D2211" s="20" t="s">
        <v>41</v>
      </c>
      <c r="E2211" s="24" t="s">
        <v>4668</v>
      </c>
      <c r="F2211" s="21" t="n">
        <v>36617</v>
      </c>
      <c r="G2211" s="22" t="s">
        <v>471</v>
      </c>
      <c r="H2211" s="23" t="n">
        <f aca="false">COUNTIF(CAL!U:AF,B2211)</f>
        <v>1</v>
      </c>
      <c r="I2211" s="22" t="n">
        <v>11</v>
      </c>
      <c r="J2211" s="20"/>
    </row>
    <row r="2212" customFormat="false" ht="15.75" hidden="false" customHeight="true" outlineLevel="0" collapsed="false">
      <c r="B2212" s="19" t="n">
        <v>3007</v>
      </c>
      <c r="C2212" s="20" t="s">
        <v>4669</v>
      </c>
      <c r="D2212" s="20" t="s">
        <v>114</v>
      </c>
      <c r="E2212" s="21" t="s">
        <v>4670</v>
      </c>
      <c r="F2212" s="21" t="n">
        <v>36696</v>
      </c>
      <c r="G2212" s="22" t="s">
        <v>471</v>
      </c>
      <c r="H2212" s="23" t="n">
        <f aca="false">COUNTIF(CAL!U:AF,B2212)</f>
        <v>1</v>
      </c>
      <c r="I2212" s="22" t="n">
        <v>11</v>
      </c>
      <c r="J2212" s="20"/>
    </row>
    <row r="2213" customFormat="false" ht="15.75" hidden="false" customHeight="true" outlineLevel="0" collapsed="false">
      <c r="B2213" s="19" t="n">
        <v>3435</v>
      </c>
      <c r="C2213" s="20" t="s">
        <v>4671</v>
      </c>
      <c r="D2213" s="20" t="s">
        <v>335</v>
      </c>
      <c r="E2213" s="21" t="s">
        <v>4672</v>
      </c>
      <c r="F2213" s="21" t="n">
        <v>35987</v>
      </c>
      <c r="G2213" s="22" t="s">
        <v>471</v>
      </c>
      <c r="H2213" s="23" t="n">
        <f aca="false">COUNTIF(CAL!U:AF,B2213)</f>
        <v>1</v>
      </c>
      <c r="I2213" s="22" t="n">
        <v>11</v>
      </c>
      <c r="J2213" s="20"/>
    </row>
    <row r="2214" customFormat="false" ht="15.75" hidden="false" customHeight="true" outlineLevel="0" collapsed="false">
      <c r="B2214" s="19" t="n">
        <v>3353</v>
      </c>
      <c r="C2214" s="20" t="s">
        <v>506</v>
      </c>
      <c r="D2214" s="20" t="s">
        <v>360</v>
      </c>
      <c r="E2214" s="21" t="s">
        <v>4673</v>
      </c>
      <c r="F2214" s="21" t="n">
        <v>37702</v>
      </c>
      <c r="G2214" s="22" t="s">
        <v>471</v>
      </c>
      <c r="H2214" s="23" t="n">
        <f aca="false">COUNTIF(CAL!U:AF,B2214)</f>
        <v>1</v>
      </c>
      <c r="I2214" s="22" t="n">
        <v>11</v>
      </c>
      <c r="J2214" s="20"/>
    </row>
    <row r="2215" customFormat="false" ht="15.75" hidden="false" customHeight="true" outlineLevel="0" collapsed="false">
      <c r="B2215" s="19" t="n">
        <v>2298</v>
      </c>
      <c r="C2215" s="20" t="s">
        <v>4674</v>
      </c>
      <c r="D2215" s="20" t="s">
        <v>315</v>
      </c>
      <c r="E2215" s="24" t="s">
        <v>4675</v>
      </c>
      <c r="F2215" s="21" t="n">
        <v>36575</v>
      </c>
      <c r="G2215" s="22" t="s">
        <v>471</v>
      </c>
      <c r="H2215" s="23" t="n">
        <f aca="false">COUNTIF(CAL!U:AF,B2215)</f>
        <v>1</v>
      </c>
      <c r="I2215" s="22" t="n">
        <v>11</v>
      </c>
      <c r="J2215" s="20" t="s">
        <v>4286</v>
      </c>
    </row>
    <row r="2216" customFormat="false" ht="15.75" hidden="false" customHeight="true" outlineLevel="0" collapsed="false">
      <c r="B2216" s="19" t="n">
        <v>1800</v>
      </c>
      <c r="C2216" s="20" t="s">
        <v>4676</v>
      </c>
      <c r="D2216" s="20" t="s">
        <v>130</v>
      </c>
      <c r="E2216" s="21" t="s">
        <v>4677</v>
      </c>
      <c r="F2216" s="21" t="n">
        <v>37779</v>
      </c>
      <c r="G2216" s="22" t="s">
        <v>471</v>
      </c>
      <c r="H2216" s="23" t="n">
        <f aca="false">COUNTIF(CAL!U:AF,B2216)</f>
        <v>1</v>
      </c>
      <c r="I2216" s="22" t="n">
        <v>11</v>
      </c>
      <c r="J2216" s="20"/>
    </row>
    <row r="2217" customFormat="false" ht="15.75" hidden="false" customHeight="true" outlineLevel="0" collapsed="false">
      <c r="B2217" s="19" t="n">
        <v>3188</v>
      </c>
      <c r="C2217" s="20" t="s">
        <v>4678</v>
      </c>
      <c r="D2217" s="20" t="s">
        <v>218</v>
      </c>
      <c r="E2217" s="21" t="s">
        <v>4679</v>
      </c>
      <c r="F2217" s="21" t="n">
        <v>36361</v>
      </c>
      <c r="G2217" s="22" t="s">
        <v>504</v>
      </c>
      <c r="H2217" s="23" t="n">
        <f aca="false">COUNTIF(CAL!U:AF,B2217)</f>
        <v>1</v>
      </c>
      <c r="I2217" s="22" t="n">
        <v>11</v>
      </c>
      <c r="J2217" s="20"/>
    </row>
    <row r="2218" customFormat="false" ht="15.75" hidden="false" customHeight="true" outlineLevel="0" collapsed="false">
      <c r="B2218" s="19" t="n">
        <v>2231</v>
      </c>
      <c r="C2218" s="20" t="s">
        <v>4680</v>
      </c>
      <c r="D2218" s="20" t="s">
        <v>234</v>
      </c>
      <c r="E2218" s="21" t="s">
        <v>4681</v>
      </c>
      <c r="F2218" s="21" t="n">
        <v>35348</v>
      </c>
      <c r="G2218" s="22" t="s">
        <v>471</v>
      </c>
      <c r="H2218" s="23" t="n">
        <f aca="false">COUNTIF(CAL!U:AF,B2218)</f>
        <v>1</v>
      </c>
      <c r="I2218" s="22" t="n">
        <v>11</v>
      </c>
      <c r="J2218" s="20"/>
    </row>
    <row r="2219" customFormat="false" ht="15.75" hidden="false" customHeight="true" outlineLevel="0" collapsed="false">
      <c r="B2219" s="19" t="n">
        <v>2309</v>
      </c>
      <c r="C2219" s="20" t="s">
        <v>4682</v>
      </c>
      <c r="D2219" s="20" t="s">
        <v>211</v>
      </c>
      <c r="E2219" s="24" t="s">
        <v>4683</v>
      </c>
      <c r="F2219" s="21" t="n">
        <v>36977</v>
      </c>
      <c r="G2219" s="22" t="s">
        <v>471</v>
      </c>
      <c r="H2219" s="23" t="n">
        <f aca="false">COUNTIF(CAL!U:AF,B2219)</f>
        <v>1</v>
      </c>
      <c r="I2219" s="22" t="n">
        <v>11</v>
      </c>
      <c r="J2219" s="20"/>
    </row>
    <row r="2220" customFormat="false" ht="15.75" hidden="false" customHeight="true" outlineLevel="0" collapsed="false">
      <c r="B2220" s="19" t="n">
        <v>2998</v>
      </c>
      <c r="C2220" s="20" t="s">
        <v>4684</v>
      </c>
      <c r="D2220" s="20" t="s">
        <v>235</v>
      </c>
      <c r="E2220" s="21" t="s">
        <v>4685</v>
      </c>
      <c r="F2220" s="21" t="n">
        <v>34957</v>
      </c>
      <c r="G2220" s="22" t="s">
        <v>471</v>
      </c>
      <c r="H2220" s="23" t="n">
        <f aca="false">COUNTIF(CAL!U:AF,B2220)</f>
        <v>1</v>
      </c>
      <c r="I2220" s="22" t="n">
        <v>11</v>
      </c>
      <c r="J2220" s="20"/>
    </row>
    <row r="2221" customFormat="false" ht="15.75" hidden="false" customHeight="true" outlineLevel="0" collapsed="false">
      <c r="B2221" s="19" t="n">
        <v>2613</v>
      </c>
      <c r="C2221" s="20" t="s">
        <v>4686</v>
      </c>
      <c r="D2221" s="20" t="s">
        <v>375</v>
      </c>
      <c r="E2221" s="21" t="s">
        <v>4687</v>
      </c>
      <c r="F2221" s="21" t="n">
        <v>36609</v>
      </c>
      <c r="G2221" s="22" t="s">
        <v>471</v>
      </c>
      <c r="H2221" s="23" t="n">
        <f aca="false">COUNTIF(CAL!U:AF,B2221)</f>
        <v>1</v>
      </c>
      <c r="I2221" s="22" t="n">
        <v>11</v>
      </c>
      <c r="J2221" s="20"/>
    </row>
    <row r="2222" customFormat="false" ht="15.75" hidden="false" customHeight="true" outlineLevel="0" collapsed="false">
      <c r="B2222" s="19" t="n">
        <v>3352</v>
      </c>
      <c r="C2222" s="20" t="s">
        <v>4688</v>
      </c>
      <c r="D2222" s="20" t="s">
        <v>360</v>
      </c>
      <c r="E2222" s="21" t="s">
        <v>4689</v>
      </c>
      <c r="F2222" s="21" t="n">
        <v>35937</v>
      </c>
      <c r="G2222" s="22" t="s">
        <v>471</v>
      </c>
      <c r="H2222" s="23" t="n">
        <f aca="false">COUNTIF(CAL!U:AF,B2222)</f>
        <v>1</v>
      </c>
      <c r="I2222" s="22" t="n">
        <v>11</v>
      </c>
      <c r="J2222" s="20"/>
    </row>
    <row r="2223" customFormat="false" ht="15.75" hidden="false" customHeight="true" outlineLevel="0" collapsed="false">
      <c r="B2223" s="19" t="n">
        <v>3259</v>
      </c>
      <c r="C2223" s="20" t="s">
        <v>4690</v>
      </c>
      <c r="D2223" s="20" t="s">
        <v>372</v>
      </c>
      <c r="E2223" s="24" t="s">
        <v>4691</v>
      </c>
      <c r="F2223" s="21" t="n">
        <v>38017</v>
      </c>
      <c r="G2223" s="22" t="s">
        <v>471</v>
      </c>
      <c r="H2223" s="23" t="n">
        <f aca="false">COUNTIF(CAL!U:AF,B2223)</f>
        <v>1</v>
      </c>
      <c r="I2223" s="22" t="n">
        <v>11</v>
      </c>
      <c r="J2223" s="20"/>
    </row>
    <row r="2224" customFormat="false" ht="15.75" hidden="false" customHeight="true" outlineLevel="0" collapsed="false">
      <c r="B2224" s="19" t="n">
        <v>2943</v>
      </c>
      <c r="C2224" s="20" t="s">
        <v>939</v>
      </c>
      <c r="D2224" s="20" t="s">
        <v>123</v>
      </c>
      <c r="E2224" s="24" t="s">
        <v>4692</v>
      </c>
      <c r="F2224" s="21" t="n">
        <v>36765</v>
      </c>
      <c r="G2224" s="22" t="s">
        <v>471</v>
      </c>
      <c r="H2224" s="23" t="n">
        <f aca="false">COUNTIF(CAL!U:AF,B2224)</f>
        <v>1</v>
      </c>
      <c r="I2224" s="22" t="n">
        <v>11</v>
      </c>
      <c r="J2224" s="20"/>
    </row>
    <row r="2225" customFormat="false" ht="15.75" hidden="false" customHeight="true" outlineLevel="0" collapsed="false">
      <c r="B2225" s="19" t="n">
        <v>2625</v>
      </c>
      <c r="C2225" s="20" t="s">
        <v>4693</v>
      </c>
      <c r="D2225" s="20" t="s">
        <v>106</v>
      </c>
      <c r="E2225" s="21" t="s">
        <v>4694</v>
      </c>
      <c r="F2225" s="21" t="n">
        <v>35766</v>
      </c>
      <c r="G2225" s="22" t="s">
        <v>471</v>
      </c>
      <c r="H2225" s="23" t="n">
        <f aca="false">COUNTIF(CAL!U:AF,B2225)</f>
        <v>1</v>
      </c>
      <c r="I2225" s="22" t="n">
        <v>11</v>
      </c>
      <c r="J2225" s="20"/>
    </row>
    <row r="2226" customFormat="false" ht="15.75" hidden="false" customHeight="true" outlineLevel="0" collapsed="false">
      <c r="B2226" s="19" t="n">
        <v>3314</v>
      </c>
      <c r="C2226" s="20" t="s">
        <v>1315</v>
      </c>
      <c r="D2226" s="20" t="s">
        <v>109</v>
      </c>
      <c r="E2226" s="24" t="s">
        <v>4695</v>
      </c>
      <c r="F2226" s="21" t="n">
        <v>34582</v>
      </c>
      <c r="G2226" s="22" t="s">
        <v>471</v>
      </c>
      <c r="H2226" s="23" t="n">
        <f aca="false">COUNTIF(CAL!U:AF,B2226)</f>
        <v>1</v>
      </c>
      <c r="I2226" s="22" t="n">
        <v>11</v>
      </c>
      <c r="J2226" s="20"/>
    </row>
    <row r="2227" customFormat="false" ht="15.75" hidden="false" customHeight="true" outlineLevel="0" collapsed="false">
      <c r="B2227" s="19" t="n">
        <v>1684</v>
      </c>
      <c r="C2227" s="20" t="s">
        <v>980</v>
      </c>
      <c r="D2227" s="20" t="s">
        <v>222</v>
      </c>
      <c r="E2227" s="21" t="s">
        <v>4696</v>
      </c>
      <c r="F2227" s="21" t="n">
        <v>36941</v>
      </c>
      <c r="G2227" s="22" t="s">
        <v>471</v>
      </c>
      <c r="H2227" s="23" t="n">
        <f aca="false">COUNTIF(CAL!U:AF,B2227)</f>
        <v>1</v>
      </c>
      <c r="I2227" s="22" t="n">
        <v>11</v>
      </c>
      <c r="J2227" s="20"/>
    </row>
    <row r="2228" customFormat="false" ht="15.75" hidden="false" customHeight="true" outlineLevel="0" collapsed="false">
      <c r="B2228" s="19" t="n">
        <v>3523</v>
      </c>
      <c r="C2228" s="20" t="s">
        <v>4697</v>
      </c>
      <c r="D2228" s="20" t="s">
        <v>155</v>
      </c>
      <c r="E2228" s="21" t="s">
        <v>4698</v>
      </c>
      <c r="F2228" s="21" t="n">
        <v>36692</v>
      </c>
      <c r="G2228" s="22" t="s">
        <v>471</v>
      </c>
      <c r="H2228" s="23" t="n">
        <f aca="false">COUNTIF(CAL!U:AF,B2228)</f>
        <v>1</v>
      </c>
      <c r="I2228" s="22" t="n">
        <v>11</v>
      </c>
      <c r="J2228" s="20"/>
    </row>
    <row r="2229" customFormat="false" ht="15.75" hidden="false" customHeight="true" outlineLevel="0" collapsed="false">
      <c r="B2229" s="19" t="n">
        <v>3398</v>
      </c>
      <c r="C2229" s="20" t="s">
        <v>1195</v>
      </c>
      <c r="D2229" s="20" t="s">
        <v>335</v>
      </c>
      <c r="E2229" s="21" t="s">
        <v>4699</v>
      </c>
      <c r="F2229" s="21" t="n">
        <v>35852</v>
      </c>
      <c r="G2229" s="22" t="s">
        <v>471</v>
      </c>
      <c r="H2229" s="23" t="n">
        <f aca="false">COUNTIF(CAL!U:AF,B2229)</f>
        <v>1</v>
      </c>
      <c r="I2229" s="22" t="n">
        <v>11</v>
      </c>
      <c r="J2229" s="20"/>
    </row>
    <row r="2230" customFormat="false" ht="15.75" hidden="false" customHeight="true" outlineLevel="0" collapsed="false">
      <c r="B2230" s="19" t="n">
        <v>1431</v>
      </c>
      <c r="C2230" s="20" t="s">
        <v>1820</v>
      </c>
      <c r="D2230" s="20" t="s">
        <v>44</v>
      </c>
      <c r="E2230" s="21" t="s">
        <v>4700</v>
      </c>
      <c r="F2230" s="21" t="n">
        <v>37456</v>
      </c>
      <c r="G2230" s="22" t="s">
        <v>471</v>
      </c>
      <c r="H2230" s="23" t="n">
        <f aca="false">COUNTIF(CAL!U:AF,B2230)</f>
        <v>1</v>
      </c>
      <c r="I2230" s="22" t="n">
        <v>11</v>
      </c>
      <c r="J2230" s="20"/>
    </row>
    <row r="2231" customFormat="false" ht="15.75" hidden="false" customHeight="true" outlineLevel="0" collapsed="false">
      <c r="B2231" s="19" t="n">
        <v>1697</v>
      </c>
      <c r="C2231" s="20" t="s">
        <v>2035</v>
      </c>
      <c r="D2231" s="20" t="s">
        <v>280</v>
      </c>
      <c r="E2231" s="24" t="s">
        <v>4701</v>
      </c>
      <c r="F2231" s="21" t="n">
        <v>37029</v>
      </c>
      <c r="G2231" s="22" t="s">
        <v>471</v>
      </c>
      <c r="H2231" s="23" t="n">
        <f aca="false">COUNTIF(CAL!U:AF,B2231)</f>
        <v>1</v>
      </c>
      <c r="I2231" s="22" t="n">
        <v>11</v>
      </c>
      <c r="J2231" s="20"/>
    </row>
    <row r="2232" customFormat="false" ht="15.75" hidden="false" customHeight="true" outlineLevel="0" collapsed="false">
      <c r="B2232" s="19" t="n">
        <v>2360</v>
      </c>
      <c r="C2232" s="20" t="s">
        <v>4702</v>
      </c>
      <c r="D2232" s="20" t="s">
        <v>263</v>
      </c>
      <c r="E2232" s="21" t="s">
        <v>4703</v>
      </c>
      <c r="F2232" s="21" t="n">
        <v>35258</v>
      </c>
      <c r="G2232" s="22" t="s">
        <v>471</v>
      </c>
      <c r="H2232" s="23" t="n">
        <f aca="false">COUNTIF(CAL!U:AF,B2232)</f>
        <v>1</v>
      </c>
      <c r="I2232" s="22" t="n">
        <v>11</v>
      </c>
      <c r="J2232" s="20"/>
    </row>
    <row r="2233" customFormat="false" ht="15.75" hidden="false" customHeight="true" outlineLevel="0" collapsed="false">
      <c r="B2233" s="19" t="n">
        <v>2096</v>
      </c>
      <c r="C2233" s="20" t="s">
        <v>4704</v>
      </c>
      <c r="D2233" s="20" t="s">
        <v>58</v>
      </c>
      <c r="E2233" s="21" t="s">
        <v>4705</v>
      </c>
      <c r="F2233" s="21" t="n">
        <v>34121</v>
      </c>
      <c r="G2233" s="22" t="s">
        <v>471</v>
      </c>
      <c r="H2233" s="23" t="n">
        <f aca="false">COUNTIF(CAL!U:AF,B2233)</f>
        <v>1</v>
      </c>
      <c r="I2233" s="22" t="n">
        <v>11</v>
      </c>
      <c r="J2233" s="20"/>
    </row>
    <row r="2234" customFormat="false" ht="15.75" hidden="false" customHeight="true" outlineLevel="0" collapsed="false">
      <c r="B2234" s="19" t="n">
        <v>2747</v>
      </c>
      <c r="C2234" s="20" t="s">
        <v>4706</v>
      </c>
      <c r="D2234" s="20" t="s">
        <v>106</v>
      </c>
      <c r="E2234" s="24" t="s">
        <v>4707</v>
      </c>
      <c r="F2234" s="21" t="n">
        <v>36840</v>
      </c>
      <c r="G2234" s="22" t="s">
        <v>471</v>
      </c>
      <c r="H2234" s="23" t="n">
        <f aca="false">COUNTIF(CAL!U:AF,B2234)</f>
        <v>1</v>
      </c>
      <c r="I2234" s="22" t="n">
        <v>11</v>
      </c>
      <c r="J2234" s="20" t="s">
        <v>4708</v>
      </c>
    </row>
    <row r="2235" customFormat="false" ht="15.75" hidden="false" customHeight="true" outlineLevel="0" collapsed="false">
      <c r="B2235" s="19" t="n">
        <v>1988</v>
      </c>
      <c r="C2235" s="20" t="s">
        <v>4709</v>
      </c>
      <c r="D2235" s="20" t="s">
        <v>84</v>
      </c>
      <c r="E2235" s="21" t="s">
        <v>4710</v>
      </c>
      <c r="F2235" s="21" t="n">
        <v>34135</v>
      </c>
      <c r="G2235" s="22" t="s">
        <v>471</v>
      </c>
      <c r="H2235" s="23" t="n">
        <f aca="false">COUNTIF(CAL!U:AF,B2235)</f>
        <v>1</v>
      </c>
      <c r="I2235" s="22" t="n">
        <v>11</v>
      </c>
      <c r="J2235" s="20" t="s">
        <v>4334</v>
      </c>
    </row>
    <row r="2236" customFormat="false" ht="15.75" hidden="false" customHeight="true" outlineLevel="0" collapsed="false">
      <c r="B2236" s="19" t="n">
        <v>1892</v>
      </c>
      <c r="C2236" s="20" t="s">
        <v>4711</v>
      </c>
      <c r="D2236" s="20" t="s">
        <v>53</v>
      </c>
      <c r="E2236" s="21" t="s">
        <v>4712</v>
      </c>
      <c r="F2236" s="21" t="n">
        <v>32499</v>
      </c>
      <c r="G2236" s="22" t="s">
        <v>471</v>
      </c>
      <c r="H2236" s="23" t="n">
        <f aca="false">COUNTIF(CAL!U:AF,B2236)</f>
        <v>1</v>
      </c>
      <c r="I2236" s="22" t="n">
        <v>11</v>
      </c>
      <c r="J2236" s="20"/>
    </row>
    <row r="2237" customFormat="false" ht="15.75" hidden="false" customHeight="true" outlineLevel="0" collapsed="false">
      <c r="B2237" s="19" t="n">
        <v>2615</v>
      </c>
      <c r="C2237" s="20" t="s">
        <v>4713</v>
      </c>
      <c r="D2237" s="20" t="s">
        <v>377</v>
      </c>
      <c r="E2237" s="21" t="s">
        <v>4714</v>
      </c>
      <c r="F2237" s="21" t="n">
        <v>37948</v>
      </c>
      <c r="G2237" s="22" t="s">
        <v>471</v>
      </c>
      <c r="H2237" s="23" t="n">
        <f aca="false">COUNTIF(CAL!U:AF,B2237)</f>
        <v>1</v>
      </c>
      <c r="I2237" s="22" t="n">
        <v>11</v>
      </c>
      <c r="J2237" s="20"/>
    </row>
    <row r="2238" customFormat="false" ht="15.75" hidden="false" customHeight="true" outlineLevel="0" collapsed="false">
      <c r="B2238" s="19" t="n">
        <v>2598</v>
      </c>
      <c r="C2238" s="20" t="s">
        <v>4715</v>
      </c>
      <c r="D2238" s="20" t="s">
        <v>335</v>
      </c>
      <c r="E2238" s="21" t="s">
        <v>4715</v>
      </c>
      <c r="F2238" s="21" t="n">
        <v>36999</v>
      </c>
      <c r="G2238" s="22" t="s">
        <v>471</v>
      </c>
      <c r="H2238" s="23" t="n">
        <f aca="false">COUNTIF(CAL!U:AF,B2238)</f>
        <v>1</v>
      </c>
      <c r="I2238" s="22" t="n">
        <v>11</v>
      </c>
      <c r="J2238" s="20"/>
    </row>
    <row r="2239" customFormat="false" ht="15.75" hidden="false" customHeight="true" outlineLevel="0" collapsed="false">
      <c r="B2239" s="19" t="n">
        <v>2222</v>
      </c>
      <c r="C2239" s="20" t="s">
        <v>1740</v>
      </c>
      <c r="D2239" s="20" t="s">
        <v>339</v>
      </c>
      <c r="E2239" s="21" t="s">
        <v>4716</v>
      </c>
      <c r="F2239" s="21" t="n">
        <v>33743</v>
      </c>
      <c r="G2239" s="22" t="s">
        <v>471</v>
      </c>
      <c r="H2239" s="23" t="n">
        <f aca="false">COUNTIF(CAL!U:AF,B2239)</f>
        <v>1</v>
      </c>
      <c r="I2239" s="22" t="n">
        <v>11</v>
      </c>
      <c r="J2239" s="20" t="s">
        <v>4717</v>
      </c>
    </row>
    <row r="2240" customFormat="false" ht="15.75" hidden="false" customHeight="true" outlineLevel="0" collapsed="false">
      <c r="B2240" s="19" t="n">
        <v>3282</v>
      </c>
      <c r="C2240" s="20" t="s">
        <v>4718</v>
      </c>
      <c r="D2240" s="20" t="s">
        <v>136</v>
      </c>
      <c r="E2240" s="21" t="s">
        <v>4719</v>
      </c>
      <c r="F2240" s="21" t="n">
        <v>37438</v>
      </c>
      <c r="G2240" s="22" t="s">
        <v>471</v>
      </c>
      <c r="H2240" s="23" t="n">
        <f aca="false">COUNTIF(CAL!U:AF,B2240)</f>
        <v>1</v>
      </c>
      <c r="I2240" s="22" t="n">
        <v>11</v>
      </c>
      <c r="J2240" s="20"/>
    </row>
    <row r="2241" customFormat="false" ht="15.75" hidden="false" customHeight="true" outlineLevel="0" collapsed="false">
      <c r="B2241" s="19" t="n">
        <v>1857</v>
      </c>
      <c r="C2241" s="20" t="s">
        <v>3967</v>
      </c>
      <c r="D2241" s="20" t="s">
        <v>339</v>
      </c>
      <c r="E2241" s="24" t="s">
        <v>4720</v>
      </c>
      <c r="F2241" s="21" t="n">
        <v>35114</v>
      </c>
      <c r="G2241" s="22" t="s">
        <v>471</v>
      </c>
      <c r="H2241" s="23" t="n">
        <f aca="false">COUNTIF(CAL!U:AF,B2241)</f>
        <v>1</v>
      </c>
      <c r="I2241" s="22" t="n">
        <v>11</v>
      </c>
      <c r="J2241" s="20"/>
    </row>
    <row r="2242" customFormat="false" ht="15.75" hidden="false" customHeight="true" outlineLevel="0" collapsed="false">
      <c r="B2242" s="19" t="n">
        <v>2971</v>
      </c>
      <c r="C2242" s="20" t="s">
        <v>1826</v>
      </c>
      <c r="D2242" s="20" t="s">
        <v>75</v>
      </c>
      <c r="E2242" s="21" t="s">
        <v>4721</v>
      </c>
      <c r="F2242" s="21" t="n">
        <v>36919</v>
      </c>
      <c r="G2242" s="22" t="s">
        <v>471</v>
      </c>
      <c r="H2242" s="23" t="n">
        <f aca="false">COUNTIF(CAL!U:AF,B2242)</f>
        <v>1</v>
      </c>
      <c r="I2242" s="22" t="n">
        <v>11</v>
      </c>
      <c r="J2242" s="20"/>
    </row>
    <row r="2243" customFormat="false" ht="15.75" hidden="false" customHeight="true" outlineLevel="0" collapsed="false">
      <c r="B2243" s="19" t="n">
        <v>2656</v>
      </c>
      <c r="C2243" s="20" t="s">
        <v>4722</v>
      </c>
      <c r="D2243" s="20" t="s">
        <v>256</v>
      </c>
      <c r="E2243" s="21" t="s">
        <v>4723</v>
      </c>
      <c r="F2243" s="21" t="n">
        <v>32543</v>
      </c>
      <c r="G2243" s="22" t="s">
        <v>471</v>
      </c>
      <c r="H2243" s="23" t="n">
        <f aca="false">COUNTIF(CAL!U:AF,B2243)</f>
        <v>1</v>
      </c>
      <c r="I2243" s="22" t="n">
        <v>11</v>
      </c>
      <c r="J2243" s="20"/>
    </row>
    <row r="2244" customFormat="false" ht="15.75" hidden="false" customHeight="true" outlineLevel="0" collapsed="false">
      <c r="B2244" s="19" t="n">
        <v>1233</v>
      </c>
      <c r="C2244" s="20" t="s">
        <v>4724</v>
      </c>
      <c r="D2244" s="20" t="s">
        <v>248</v>
      </c>
      <c r="E2244" s="21" t="s">
        <v>4725</v>
      </c>
      <c r="F2244" s="21" t="n">
        <v>35475</v>
      </c>
      <c r="G2244" s="22" t="s">
        <v>471</v>
      </c>
      <c r="H2244" s="23" t="n">
        <f aca="false">COUNTIF(CAL!U:AF,B2244)</f>
        <v>1</v>
      </c>
      <c r="I2244" s="22" t="n">
        <v>11</v>
      </c>
      <c r="J2244" s="20"/>
    </row>
    <row r="2245" customFormat="false" ht="15.75" hidden="false" customHeight="true" outlineLevel="0" collapsed="false">
      <c r="B2245" s="19" t="n">
        <v>3453</v>
      </c>
      <c r="C2245" s="20" t="s">
        <v>4726</v>
      </c>
      <c r="D2245" s="20" t="s">
        <v>233</v>
      </c>
      <c r="E2245" s="21" t="s">
        <v>4727</v>
      </c>
      <c r="F2245" s="21" t="n">
        <v>37727</v>
      </c>
      <c r="G2245" s="22" t="s">
        <v>481</v>
      </c>
      <c r="H2245" s="23" t="n">
        <f aca="false">COUNTIF(CAL!U:AF,B2245)</f>
        <v>1</v>
      </c>
      <c r="I2245" s="22" t="n">
        <v>11</v>
      </c>
      <c r="J2245" s="20"/>
    </row>
    <row r="2246" customFormat="false" ht="15.75" hidden="false" customHeight="true" outlineLevel="0" collapsed="false">
      <c r="B2246" s="19" t="n">
        <v>2054</v>
      </c>
      <c r="C2246" s="20" t="s">
        <v>4728</v>
      </c>
      <c r="D2246" s="20" t="s">
        <v>334</v>
      </c>
      <c r="E2246" s="21" t="s">
        <v>4729</v>
      </c>
      <c r="F2246" s="21" t="n">
        <v>36910</v>
      </c>
      <c r="G2246" s="22" t="s">
        <v>471</v>
      </c>
      <c r="H2246" s="23" t="n">
        <f aca="false">COUNTIF(CAL!U:AF,B2246)</f>
        <v>1</v>
      </c>
      <c r="I2246" s="22" t="n">
        <v>11</v>
      </c>
      <c r="J2246" s="20"/>
    </row>
    <row r="2247" customFormat="false" ht="15.75" hidden="false" customHeight="true" outlineLevel="0" collapsed="false">
      <c r="B2247" s="19" t="n">
        <v>2772</v>
      </c>
      <c r="C2247" s="20" t="s">
        <v>4730</v>
      </c>
      <c r="D2247" s="20" t="s">
        <v>322</v>
      </c>
      <c r="E2247" s="21" t="s">
        <v>4731</v>
      </c>
      <c r="F2247" s="21" t="n">
        <v>37517</v>
      </c>
      <c r="G2247" s="22" t="s">
        <v>471</v>
      </c>
      <c r="H2247" s="23" t="n">
        <f aca="false">COUNTIF(CAL!U:AF,B2247)</f>
        <v>1</v>
      </c>
      <c r="I2247" s="22" t="n">
        <v>11</v>
      </c>
      <c r="J2247" s="20"/>
    </row>
    <row r="2248" customFormat="false" ht="15.75" hidden="false" customHeight="true" outlineLevel="0" collapsed="false">
      <c r="B2248" s="19" t="n">
        <v>1657</v>
      </c>
      <c r="C2248" s="20" t="s">
        <v>4732</v>
      </c>
      <c r="D2248" s="20" t="s">
        <v>68</v>
      </c>
      <c r="E2248" s="21" t="s">
        <v>4733</v>
      </c>
      <c r="F2248" s="21" t="n">
        <v>38101</v>
      </c>
      <c r="G2248" s="22" t="s">
        <v>471</v>
      </c>
      <c r="H2248" s="23" t="n">
        <f aca="false">COUNTIF(CAL!U:AF,B2248)</f>
        <v>1</v>
      </c>
      <c r="I2248" s="22" t="n">
        <v>11</v>
      </c>
      <c r="J2248" s="20"/>
    </row>
    <row r="2249" customFormat="false" ht="15.75" hidden="false" customHeight="true" outlineLevel="0" collapsed="false">
      <c r="B2249" s="19" t="n">
        <v>1729</v>
      </c>
      <c r="C2249" s="20" t="s">
        <v>2401</v>
      </c>
      <c r="D2249" s="20" t="s">
        <v>33</v>
      </c>
      <c r="E2249" s="24" t="s">
        <v>4734</v>
      </c>
      <c r="F2249" s="21" t="n">
        <v>34479</v>
      </c>
      <c r="G2249" s="22" t="s">
        <v>471</v>
      </c>
      <c r="H2249" s="23" t="n">
        <f aca="false">COUNTIF(CAL!U:AF,B2249)</f>
        <v>1</v>
      </c>
      <c r="I2249" s="22" t="n">
        <v>11</v>
      </c>
      <c r="J2249" s="20"/>
    </row>
    <row r="2250" customFormat="false" ht="15.75" hidden="false" customHeight="true" outlineLevel="0" collapsed="false">
      <c r="B2250" s="19" t="n">
        <v>3211</v>
      </c>
      <c r="C2250" s="20" t="s">
        <v>4735</v>
      </c>
      <c r="D2250" s="20" t="s">
        <v>377</v>
      </c>
      <c r="E2250" s="21" t="s">
        <v>4736</v>
      </c>
      <c r="F2250" s="21" t="n">
        <v>37697</v>
      </c>
      <c r="G2250" s="22" t="s">
        <v>471</v>
      </c>
      <c r="H2250" s="23" t="n">
        <f aca="false">COUNTIF(CAL!U:AF,B2250)</f>
        <v>1</v>
      </c>
      <c r="I2250" s="22" t="n">
        <v>11</v>
      </c>
      <c r="J2250" s="20"/>
    </row>
    <row r="2251" customFormat="false" ht="15.75" hidden="false" customHeight="true" outlineLevel="0" collapsed="false">
      <c r="B2251" s="19" t="n">
        <v>1023</v>
      </c>
      <c r="C2251" s="20" t="s">
        <v>4737</v>
      </c>
      <c r="D2251" s="20" t="s">
        <v>44</v>
      </c>
      <c r="E2251" s="24" t="s">
        <v>4738</v>
      </c>
      <c r="F2251" s="21" t="n">
        <v>36318</v>
      </c>
      <c r="G2251" s="22" t="s">
        <v>471</v>
      </c>
      <c r="H2251" s="23" t="n">
        <f aca="false">COUNTIF(CAL!U:AF,B2251)</f>
        <v>1</v>
      </c>
      <c r="I2251" s="22" t="n">
        <v>11</v>
      </c>
      <c r="J2251" s="20"/>
    </row>
    <row r="2252" customFormat="false" ht="15.75" hidden="false" customHeight="true" outlineLevel="0" collapsed="false">
      <c r="B2252" s="19" t="n">
        <v>3072</v>
      </c>
      <c r="C2252" s="20" t="s">
        <v>1389</v>
      </c>
      <c r="D2252" s="20" t="s">
        <v>330</v>
      </c>
      <c r="E2252" s="21" t="s">
        <v>4739</v>
      </c>
      <c r="F2252" s="21" t="n">
        <v>38006</v>
      </c>
      <c r="G2252" s="22" t="s">
        <v>471</v>
      </c>
      <c r="H2252" s="23" t="n">
        <f aca="false">COUNTIF(CAL!U:AF,B2252)</f>
        <v>1</v>
      </c>
      <c r="I2252" s="22" t="n">
        <v>11</v>
      </c>
      <c r="J2252" s="20"/>
    </row>
    <row r="2253" customFormat="false" ht="15.75" hidden="false" customHeight="true" outlineLevel="0" collapsed="false">
      <c r="B2253" s="19" t="n">
        <v>3258</v>
      </c>
      <c r="C2253" s="20" t="s">
        <v>4740</v>
      </c>
      <c r="D2253" s="20" t="s">
        <v>365</v>
      </c>
      <c r="E2253" s="24" t="s">
        <v>4741</v>
      </c>
      <c r="F2253" s="21" t="n">
        <v>37514</v>
      </c>
      <c r="G2253" s="22" t="s">
        <v>471</v>
      </c>
      <c r="H2253" s="23" t="n">
        <f aca="false">COUNTIF(CAL!U:AF,B2253)</f>
        <v>1</v>
      </c>
      <c r="I2253" s="22" t="n">
        <v>11</v>
      </c>
      <c r="J2253" s="20"/>
    </row>
    <row r="2254" customFormat="false" ht="15.75" hidden="false" customHeight="true" outlineLevel="0" collapsed="false">
      <c r="B2254" s="19" t="n">
        <v>1430</v>
      </c>
      <c r="C2254" s="20" t="s">
        <v>4742</v>
      </c>
      <c r="D2254" s="20" t="s">
        <v>44</v>
      </c>
      <c r="E2254" s="21" t="s">
        <v>4743</v>
      </c>
      <c r="F2254" s="21" t="n">
        <v>37333</v>
      </c>
      <c r="G2254" s="22" t="s">
        <v>471</v>
      </c>
      <c r="H2254" s="23" t="n">
        <f aca="false">COUNTIF(CAL!U:AF,B2254)</f>
        <v>1</v>
      </c>
      <c r="I2254" s="22" t="n">
        <v>11</v>
      </c>
      <c r="J2254" s="20"/>
    </row>
    <row r="2255" customFormat="false" ht="15.75" hidden="false" customHeight="true" outlineLevel="0" collapsed="false">
      <c r="B2255" s="19" t="n">
        <v>1815</v>
      </c>
      <c r="C2255" s="20" t="s">
        <v>4744</v>
      </c>
      <c r="D2255" s="20" t="s">
        <v>248</v>
      </c>
      <c r="E2255" s="24" t="s">
        <v>4745</v>
      </c>
      <c r="F2255" s="21" t="n">
        <v>36825</v>
      </c>
      <c r="G2255" s="22" t="s">
        <v>471</v>
      </c>
      <c r="H2255" s="23" t="n">
        <f aca="false">COUNTIF(CAL!U:AF,B2255)</f>
        <v>1</v>
      </c>
      <c r="I2255" s="22" t="n">
        <v>11</v>
      </c>
      <c r="J2255" s="20"/>
    </row>
    <row r="2256" customFormat="false" ht="15.75" hidden="false" customHeight="true" outlineLevel="0" collapsed="false">
      <c r="B2256" s="19" t="n">
        <v>3623</v>
      </c>
      <c r="C2256" s="20" t="s">
        <v>4746</v>
      </c>
      <c r="D2256" s="20" t="s">
        <v>310</v>
      </c>
      <c r="E2256" s="21" t="s">
        <v>4747</v>
      </c>
      <c r="F2256" s="21" t="n">
        <v>35212</v>
      </c>
      <c r="G2256" s="22" t="s">
        <v>504</v>
      </c>
      <c r="H2256" s="23" t="n">
        <f aca="false">COUNTIF(CAL!U:AF,B2256)</f>
        <v>1</v>
      </c>
      <c r="I2256" s="22" t="n">
        <v>11</v>
      </c>
      <c r="J2256" s="20"/>
    </row>
    <row r="2257" customFormat="false" ht="15.75" hidden="false" customHeight="true" outlineLevel="0" collapsed="false">
      <c r="B2257" s="19" t="n">
        <v>2475</v>
      </c>
      <c r="C2257" s="20" t="s">
        <v>4748</v>
      </c>
      <c r="D2257" s="20" t="s">
        <v>51</v>
      </c>
      <c r="E2257" s="21" t="s">
        <v>4749</v>
      </c>
      <c r="F2257" s="21" t="n">
        <v>33133</v>
      </c>
      <c r="G2257" s="22" t="s">
        <v>492</v>
      </c>
      <c r="H2257" s="23" t="n">
        <f aca="false">COUNTIF(CAL!U:AF,B2257)</f>
        <v>1</v>
      </c>
      <c r="I2257" s="22" t="n">
        <v>11</v>
      </c>
      <c r="J2257" s="20"/>
    </row>
    <row r="2258" customFormat="false" ht="15.75" hidden="false" customHeight="true" outlineLevel="0" collapsed="false">
      <c r="B2258" s="19" t="n">
        <v>2182</v>
      </c>
      <c r="C2258" s="20" t="s">
        <v>829</v>
      </c>
      <c r="D2258" s="20" t="s">
        <v>114</v>
      </c>
      <c r="E2258" s="21" t="s">
        <v>4750</v>
      </c>
      <c r="F2258" s="21" t="n">
        <v>37107</v>
      </c>
      <c r="G2258" s="22" t="s">
        <v>471</v>
      </c>
      <c r="H2258" s="23" t="n">
        <f aca="false">COUNTIF(CAL!U:AF,B2258)</f>
        <v>1</v>
      </c>
      <c r="I2258" s="22" t="n">
        <v>11</v>
      </c>
      <c r="J2258" s="20"/>
    </row>
    <row r="2259" customFormat="false" ht="15.75" hidden="false" customHeight="true" outlineLevel="0" collapsed="false">
      <c r="B2259" s="19" t="n">
        <v>3044</v>
      </c>
      <c r="C2259" s="20" t="s">
        <v>4751</v>
      </c>
      <c r="D2259" s="20" t="s">
        <v>378</v>
      </c>
      <c r="E2259" s="21" t="s">
        <v>4752</v>
      </c>
      <c r="F2259" s="21" t="n">
        <v>36758</v>
      </c>
      <c r="G2259" s="22" t="s">
        <v>471</v>
      </c>
      <c r="H2259" s="23" t="n">
        <f aca="false">COUNTIF(CAL!U:AF,B2259)</f>
        <v>1</v>
      </c>
      <c r="I2259" s="22" t="n">
        <v>11</v>
      </c>
      <c r="J2259" s="20"/>
    </row>
    <row r="2260" customFormat="false" ht="15.75" hidden="false" customHeight="true" outlineLevel="0" collapsed="false">
      <c r="B2260" s="19" t="n">
        <v>1459</v>
      </c>
      <c r="C2260" s="20" t="s">
        <v>4753</v>
      </c>
      <c r="D2260" s="20" t="s">
        <v>172</v>
      </c>
      <c r="E2260" s="21" t="s">
        <v>4754</v>
      </c>
      <c r="F2260" s="21" t="n">
        <v>34005</v>
      </c>
      <c r="G2260" s="22" t="s">
        <v>471</v>
      </c>
      <c r="H2260" s="23" t="n">
        <f aca="false">COUNTIF(CAL!U:AF,B2260)</f>
        <v>1</v>
      </c>
      <c r="I2260" s="22" t="n">
        <v>11</v>
      </c>
      <c r="J2260" s="20"/>
    </row>
    <row r="2261" customFormat="false" ht="15.75" hidden="false" customHeight="true" outlineLevel="0" collapsed="false">
      <c r="B2261" s="19" t="n">
        <v>3099</v>
      </c>
      <c r="C2261" s="20" t="s">
        <v>4755</v>
      </c>
      <c r="D2261" s="20" t="s">
        <v>242</v>
      </c>
      <c r="E2261" s="21" t="s">
        <v>4756</v>
      </c>
      <c r="F2261" s="21" t="n">
        <v>35255</v>
      </c>
      <c r="G2261" s="22" t="s">
        <v>471</v>
      </c>
      <c r="H2261" s="23" t="n">
        <f aca="false">COUNTIF(CAL!U:AF,B2261)</f>
        <v>1</v>
      </c>
      <c r="I2261" s="22" t="n">
        <v>11</v>
      </c>
      <c r="J2261" s="20"/>
    </row>
    <row r="2262" customFormat="false" ht="15.75" hidden="false" customHeight="true" outlineLevel="0" collapsed="false">
      <c r="B2262" s="19" t="n">
        <v>3220</v>
      </c>
      <c r="C2262" s="20" t="s">
        <v>4757</v>
      </c>
      <c r="D2262" s="20" t="s">
        <v>172</v>
      </c>
      <c r="E2262" s="21" t="s">
        <v>4758</v>
      </c>
      <c r="F2262" s="21" t="n">
        <v>34727</v>
      </c>
      <c r="G2262" s="22" t="s">
        <v>661</v>
      </c>
      <c r="H2262" s="23" t="n">
        <f aca="false">COUNTIF(CAL!U:AF,B2262)</f>
        <v>1</v>
      </c>
      <c r="I2262" s="22" t="n">
        <v>11</v>
      </c>
      <c r="J2262" s="20"/>
    </row>
    <row r="2263" customFormat="false" ht="15.75" hidden="false" customHeight="true" outlineLevel="0" collapsed="false">
      <c r="B2263" s="19" t="n">
        <v>1074</v>
      </c>
      <c r="C2263" s="20" t="s">
        <v>4759</v>
      </c>
      <c r="D2263" s="20" t="s">
        <v>47</v>
      </c>
      <c r="E2263" s="21" t="s">
        <v>4760</v>
      </c>
      <c r="F2263" s="21" t="n">
        <v>35792</v>
      </c>
      <c r="G2263" s="22" t="s">
        <v>471</v>
      </c>
      <c r="H2263" s="23" t="n">
        <f aca="false">COUNTIF(CAL!U:AF,B2263)</f>
        <v>1</v>
      </c>
      <c r="I2263" s="22" t="n">
        <v>11</v>
      </c>
      <c r="J2263" s="20"/>
    </row>
    <row r="2264" customFormat="false" ht="15.75" hidden="false" customHeight="true" outlineLevel="0" collapsed="false">
      <c r="B2264" s="19" t="n">
        <v>3430</v>
      </c>
      <c r="C2264" s="20" t="s">
        <v>4761</v>
      </c>
      <c r="D2264" s="20" t="s">
        <v>106</v>
      </c>
      <c r="E2264" s="24" t="s">
        <v>4762</v>
      </c>
      <c r="F2264" s="21" t="n">
        <v>39465</v>
      </c>
      <c r="G2264" s="22" t="s">
        <v>471</v>
      </c>
      <c r="H2264" s="23" t="n">
        <f aca="false">COUNTIF(CAL!U:AF,B2264)</f>
        <v>1</v>
      </c>
      <c r="I2264" s="22" t="n">
        <v>11</v>
      </c>
      <c r="J2264" s="20"/>
    </row>
    <row r="2265" customFormat="false" ht="15.75" hidden="false" customHeight="true" outlineLevel="0" collapsed="false">
      <c r="B2265" s="19" t="n">
        <v>3591</v>
      </c>
      <c r="C2265" s="20" t="s">
        <v>4763</v>
      </c>
      <c r="D2265" s="20" t="s">
        <v>158</v>
      </c>
      <c r="E2265" s="24" t="s">
        <v>4764</v>
      </c>
      <c r="F2265" s="21" t="n">
        <v>35936</v>
      </c>
      <c r="G2265" s="22" t="s">
        <v>481</v>
      </c>
      <c r="H2265" s="23" t="n">
        <f aca="false">COUNTIF(CAL!U:AF,B2265)</f>
        <v>1</v>
      </c>
      <c r="I2265" s="22" t="n">
        <v>11</v>
      </c>
      <c r="J2265" s="20"/>
    </row>
    <row r="2266" customFormat="false" ht="15.75" hidden="false" customHeight="true" outlineLevel="0" collapsed="false">
      <c r="B2266" s="19" t="n">
        <v>1969</v>
      </c>
      <c r="C2266" s="20" t="s">
        <v>4765</v>
      </c>
      <c r="D2266" s="20" t="s">
        <v>104</v>
      </c>
      <c r="E2266" s="21" t="s">
        <v>4766</v>
      </c>
      <c r="F2266" s="21" t="n">
        <v>37351</v>
      </c>
      <c r="G2266" s="22" t="s">
        <v>471</v>
      </c>
      <c r="H2266" s="23" t="n">
        <f aca="false">COUNTIF(CAL!U:AF,B2266)</f>
        <v>1</v>
      </c>
      <c r="I2266" s="22" t="n">
        <v>11</v>
      </c>
      <c r="J2266" s="20"/>
    </row>
    <row r="2267" customFormat="false" ht="15.75" hidden="false" customHeight="true" outlineLevel="0" collapsed="false">
      <c r="B2267" s="19" t="n">
        <v>3413</v>
      </c>
      <c r="C2267" s="20" t="s">
        <v>4767</v>
      </c>
      <c r="D2267" s="20" t="s">
        <v>207</v>
      </c>
      <c r="E2267" s="21" t="s">
        <v>4768</v>
      </c>
      <c r="F2267" s="21" t="n">
        <v>35095</v>
      </c>
      <c r="G2267" s="22" t="s">
        <v>471</v>
      </c>
      <c r="H2267" s="23" t="n">
        <f aca="false">COUNTIF(CAL!U:AF,B2267)</f>
        <v>1</v>
      </c>
      <c r="I2267" s="22" t="n">
        <v>11</v>
      </c>
      <c r="J2267" s="20"/>
    </row>
    <row r="2268" customFormat="false" ht="15.75" hidden="false" customHeight="true" outlineLevel="0" collapsed="false">
      <c r="B2268" s="19" t="n">
        <v>3564</v>
      </c>
      <c r="C2268" s="20" t="s">
        <v>754</v>
      </c>
      <c r="D2268" s="20" t="s">
        <v>33</v>
      </c>
      <c r="E2268" s="21" t="s">
        <v>4769</v>
      </c>
      <c r="F2268" s="21" t="n">
        <v>38413</v>
      </c>
      <c r="G2268" s="22" t="s">
        <v>471</v>
      </c>
      <c r="H2268" s="23" t="n">
        <f aca="false">COUNTIF(CAL!U:AF,B2268)</f>
        <v>1</v>
      </c>
      <c r="I2268" s="22" t="n">
        <v>11</v>
      </c>
      <c r="J2268" s="20"/>
    </row>
    <row r="2269" customFormat="false" ht="15.75" hidden="false" customHeight="true" outlineLevel="0" collapsed="false">
      <c r="B2269" s="19" t="n">
        <v>2353</v>
      </c>
      <c r="C2269" s="20" t="s">
        <v>754</v>
      </c>
      <c r="D2269" s="20" t="s">
        <v>125</v>
      </c>
      <c r="E2269" s="21" t="s">
        <v>4770</v>
      </c>
      <c r="F2269" s="21" t="n">
        <v>37233</v>
      </c>
      <c r="G2269" s="22" t="s">
        <v>471</v>
      </c>
      <c r="H2269" s="23" t="n">
        <f aca="false">COUNTIF(CAL!U:AF,B2269)</f>
        <v>1</v>
      </c>
      <c r="I2269" s="22" t="n">
        <v>11</v>
      </c>
      <c r="J2269" s="20"/>
    </row>
    <row r="2270" customFormat="false" ht="15.75" hidden="false" customHeight="true" outlineLevel="0" collapsed="false">
      <c r="B2270" s="19" t="n">
        <v>1893</v>
      </c>
      <c r="C2270" s="20" t="s">
        <v>4771</v>
      </c>
      <c r="D2270" s="20" t="s">
        <v>53</v>
      </c>
      <c r="E2270" s="21" t="s">
        <v>4772</v>
      </c>
      <c r="F2270" s="21" t="n">
        <v>33057</v>
      </c>
      <c r="G2270" s="22" t="s">
        <v>471</v>
      </c>
      <c r="H2270" s="23" t="n">
        <f aca="false">COUNTIF(CAL!U:AF,B2270)</f>
        <v>1</v>
      </c>
      <c r="I2270" s="22" t="n">
        <v>11</v>
      </c>
      <c r="J2270" s="20"/>
    </row>
    <row r="2271" customFormat="false" ht="15.75" hidden="false" customHeight="true" outlineLevel="0" collapsed="false">
      <c r="B2271" s="19" t="n">
        <v>1398</v>
      </c>
      <c r="C2271" s="20" t="s">
        <v>4773</v>
      </c>
      <c r="D2271" s="20" t="s">
        <v>33</v>
      </c>
      <c r="E2271" s="21" t="s">
        <v>4774</v>
      </c>
      <c r="F2271" s="21" t="n">
        <v>36635</v>
      </c>
      <c r="G2271" s="22" t="s">
        <v>471</v>
      </c>
      <c r="H2271" s="23" t="n">
        <f aca="false">COUNTIF(CAL!U:AF,B2271)</f>
        <v>1</v>
      </c>
      <c r="I2271" s="22" t="n">
        <v>11</v>
      </c>
      <c r="J2271" s="20"/>
    </row>
    <row r="2272" customFormat="false" ht="15.75" hidden="false" customHeight="true" outlineLevel="0" collapsed="false">
      <c r="B2272" s="19" t="n">
        <v>2977</v>
      </c>
      <c r="C2272" s="20" t="s">
        <v>4775</v>
      </c>
      <c r="D2272" s="20" t="s">
        <v>208</v>
      </c>
      <c r="E2272" s="21" t="s">
        <v>4776</v>
      </c>
      <c r="F2272" s="21" t="n">
        <v>34791</v>
      </c>
      <c r="G2272" s="22" t="s">
        <v>471</v>
      </c>
      <c r="H2272" s="23" t="n">
        <f aca="false">COUNTIF(CAL!U:AF,B2272)</f>
        <v>1</v>
      </c>
      <c r="I2272" s="22" t="n">
        <v>11</v>
      </c>
      <c r="J2272" s="20"/>
    </row>
    <row r="2273" customFormat="false" ht="15.75" hidden="false" customHeight="true" outlineLevel="0" collapsed="false">
      <c r="B2273" s="19" t="n">
        <v>1098</v>
      </c>
      <c r="C2273" s="20" t="s">
        <v>4777</v>
      </c>
      <c r="D2273" s="20" t="s">
        <v>131</v>
      </c>
      <c r="E2273" s="21" t="s">
        <v>4778</v>
      </c>
      <c r="F2273" s="21" t="n">
        <v>37366</v>
      </c>
      <c r="G2273" s="22" t="s">
        <v>471</v>
      </c>
      <c r="H2273" s="23" t="n">
        <f aca="false">COUNTIF(CAL!U:AF,B2273)</f>
        <v>1</v>
      </c>
      <c r="I2273" s="22" t="n">
        <v>11</v>
      </c>
      <c r="J2273" s="20"/>
    </row>
    <row r="2274" customFormat="false" ht="15.75" hidden="false" customHeight="true" outlineLevel="0" collapsed="false">
      <c r="B2274" s="19" t="n">
        <v>1514</v>
      </c>
      <c r="C2274" s="20" t="s">
        <v>4779</v>
      </c>
      <c r="D2274" s="20" t="s">
        <v>265</v>
      </c>
      <c r="E2274" s="21" t="s">
        <v>4780</v>
      </c>
      <c r="F2274" s="21" t="n">
        <v>35802</v>
      </c>
      <c r="G2274" s="22" t="s">
        <v>471</v>
      </c>
      <c r="H2274" s="23" t="n">
        <f aca="false">COUNTIF(CAL!U:AF,B2274)</f>
        <v>1</v>
      </c>
      <c r="I2274" s="22" t="n">
        <v>11</v>
      </c>
      <c r="J2274" s="20"/>
    </row>
    <row r="2275" customFormat="false" ht="15.75" hidden="false" customHeight="true" outlineLevel="0" collapsed="false">
      <c r="B2275" s="19" t="n">
        <v>1584</v>
      </c>
      <c r="C2275" s="20" t="s">
        <v>3528</v>
      </c>
      <c r="D2275" s="20" t="s">
        <v>263</v>
      </c>
      <c r="E2275" s="21" t="s">
        <v>4781</v>
      </c>
      <c r="F2275" s="21" t="n">
        <v>37097</v>
      </c>
      <c r="G2275" s="22" t="s">
        <v>471</v>
      </c>
      <c r="H2275" s="23" t="n">
        <f aca="false">COUNTIF(CAL!U:AF,B2275)</f>
        <v>1</v>
      </c>
      <c r="I2275" s="22" t="n">
        <v>11</v>
      </c>
      <c r="J2275" s="20"/>
    </row>
    <row r="2276" customFormat="false" ht="15.75" hidden="false" customHeight="true" outlineLevel="0" collapsed="false">
      <c r="B2276" s="19" t="n">
        <v>1184</v>
      </c>
      <c r="C2276" s="20" t="s">
        <v>4782</v>
      </c>
      <c r="D2276" s="20" t="s">
        <v>277</v>
      </c>
      <c r="E2276" s="21" t="s">
        <v>4783</v>
      </c>
      <c r="F2276" s="21" t="n">
        <v>36066</v>
      </c>
      <c r="G2276" s="22" t="s">
        <v>471</v>
      </c>
      <c r="H2276" s="23" t="n">
        <f aca="false">COUNTIF(CAL!U:AF,B2276)</f>
        <v>1</v>
      </c>
      <c r="I2276" s="22" t="n">
        <v>11</v>
      </c>
      <c r="J2276" s="20" t="s">
        <v>4784</v>
      </c>
    </row>
    <row r="2277" customFormat="false" ht="15.75" hidden="false" customHeight="true" outlineLevel="0" collapsed="false">
      <c r="B2277" s="19" t="n">
        <v>3102</v>
      </c>
      <c r="C2277" s="20" t="s">
        <v>4785</v>
      </c>
      <c r="D2277" s="20" t="s">
        <v>241</v>
      </c>
      <c r="E2277" s="21" t="s">
        <v>4786</v>
      </c>
      <c r="F2277" s="21" t="n">
        <v>36739</v>
      </c>
      <c r="G2277" s="22" t="s">
        <v>471</v>
      </c>
      <c r="H2277" s="23" t="n">
        <f aca="false">COUNTIF(CAL!U:AF,B2277)</f>
        <v>1</v>
      </c>
      <c r="I2277" s="22" t="n">
        <v>11</v>
      </c>
      <c r="J2277" s="20"/>
    </row>
    <row r="2278" customFormat="false" ht="15.75" hidden="false" customHeight="true" outlineLevel="0" collapsed="false">
      <c r="B2278" s="19" t="n">
        <v>1796</v>
      </c>
      <c r="C2278" s="20" t="s">
        <v>3537</v>
      </c>
      <c r="D2278" s="20" t="s">
        <v>187</v>
      </c>
      <c r="E2278" s="24" t="s">
        <v>4787</v>
      </c>
      <c r="F2278" s="21" t="n">
        <v>34221</v>
      </c>
      <c r="G2278" s="22" t="s">
        <v>471</v>
      </c>
      <c r="H2278" s="23" t="n">
        <f aca="false">COUNTIF(CAL!U:AF,B2278)</f>
        <v>1</v>
      </c>
      <c r="I2278" s="22" t="n">
        <v>11</v>
      </c>
      <c r="J2278" s="20"/>
    </row>
    <row r="2279" customFormat="false" ht="15.75" hidden="false" customHeight="true" outlineLevel="0" collapsed="false">
      <c r="B2279" s="19" t="n">
        <v>3650</v>
      </c>
      <c r="C2279" s="20" t="s">
        <v>3537</v>
      </c>
      <c r="D2279" s="20" t="s">
        <v>114</v>
      </c>
      <c r="E2279" s="21" t="s">
        <v>4788</v>
      </c>
      <c r="F2279" s="21" t="n">
        <v>38325</v>
      </c>
      <c r="G2279" s="22" t="s">
        <v>471</v>
      </c>
      <c r="H2279" s="23" t="n">
        <f aca="false">COUNTIF(CAL!U:AF,B2279)</f>
        <v>1</v>
      </c>
      <c r="I2279" s="22" t="n">
        <v>11</v>
      </c>
      <c r="J2279" s="20"/>
    </row>
    <row r="2280" customFormat="false" ht="15.75" hidden="false" customHeight="true" outlineLevel="0" collapsed="false">
      <c r="B2280" s="19" t="n">
        <v>3457</v>
      </c>
      <c r="C2280" s="20" t="s">
        <v>693</v>
      </c>
      <c r="D2280" s="20" t="s">
        <v>57</v>
      </c>
      <c r="E2280" s="21" t="s">
        <v>4789</v>
      </c>
      <c r="F2280" s="21" t="n">
        <v>36237</v>
      </c>
      <c r="G2280" s="22" t="s">
        <v>471</v>
      </c>
      <c r="H2280" s="23" t="n">
        <f aca="false">COUNTIF(CAL!U:AF,B2280)</f>
        <v>1</v>
      </c>
      <c r="I2280" s="22" t="n">
        <v>11</v>
      </c>
      <c r="J2280" s="20"/>
    </row>
    <row r="2281" customFormat="false" ht="15.75" hidden="false" customHeight="true" outlineLevel="0" collapsed="false">
      <c r="B2281" s="19" t="n">
        <v>1245</v>
      </c>
      <c r="C2281" s="20" t="s">
        <v>917</v>
      </c>
      <c r="D2281" s="20" t="s">
        <v>256</v>
      </c>
      <c r="E2281" s="21" t="s">
        <v>4790</v>
      </c>
      <c r="F2281" s="21" t="n">
        <v>32663</v>
      </c>
      <c r="G2281" s="22" t="s">
        <v>471</v>
      </c>
      <c r="H2281" s="23" t="n">
        <f aca="false">COUNTIF(CAL!U:AF,B2281)</f>
        <v>1</v>
      </c>
      <c r="I2281" s="22" t="n">
        <v>11</v>
      </c>
      <c r="J2281" s="20"/>
    </row>
    <row r="2282" customFormat="false" ht="15.75" hidden="false" customHeight="true" outlineLevel="0" collapsed="false">
      <c r="B2282" s="19" t="n">
        <v>1241</v>
      </c>
      <c r="C2282" s="20" t="s">
        <v>4791</v>
      </c>
      <c r="D2282" s="20" t="s">
        <v>113</v>
      </c>
      <c r="E2282" s="24" t="s">
        <v>4792</v>
      </c>
      <c r="F2282" s="21" t="n">
        <v>37699</v>
      </c>
      <c r="G2282" s="22" t="s">
        <v>471</v>
      </c>
      <c r="H2282" s="23" t="n">
        <f aca="false">COUNTIF(CAL!U:AF,B2282)</f>
        <v>1</v>
      </c>
      <c r="I2282" s="22" t="n">
        <v>11</v>
      </c>
      <c r="J2282" s="20" t="s">
        <v>4312</v>
      </c>
    </row>
    <row r="2283" customFormat="false" ht="15.75" hidden="false" customHeight="true" outlineLevel="0" collapsed="false">
      <c r="B2283" s="19" t="n">
        <v>1494</v>
      </c>
      <c r="C2283" s="20" t="s">
        <v>4793</v>
      </c>
      <c r="D2283" s="20" t="s">
        <v>280</v>
      </c>
      <c r="E2283" s="24" t="s">
        <v>4794</v>
      </c>
      <c r="F2283" s="21" t="n">
        <v>36920</v>
      </c>
      <c r="G2283" s="22" t="s">
        <v>471</v>
      </c>
      <c r="H2283" s="23" t="n">
        <f aca="false">COUNTIF(CAL!U:AF,B2283)</f>
        <v>1</v>
      </c>
      <c r="I2283" s="22" t="n">
        <v>11</v>
      </c>
      <c r="J2283" s="20"/>
    </row>
    <row r="2284" customFormat="false" ht="15.75" hidden="false" customHeight="true" outlineLevel="0" collapsed="false">
      <c r="B2284" s="19" t="n">
        <v>1508</v>
      </c>
      <c r="C2284" s="20" t="s">
        <v>4795</v>
      </c>
      <c r="D2284" s="20" t="s">
        <v>233</v>
      </c>
      <c r="E2284" s="21" t="s">
        <v>4796</v>
      </c>
      <c r="F2284" s="21" t="n">
        <v>35976</v>
      </c>
      <c r="G2284" s="22" t="s">
        <v>471</v>
      </c>
      <c r="H2284" s="23" t="n">
        <f aca="false">COUNTIF(CAL!U:AF,B2284)</f>
        <v>1</v>
      </c>
      <c r="I2284" s="22" t="n">
        <v>11</v>
      </c>
      <c r="J2284" s="20"/>
    </row>
    <row r="2285" customFormat="false" ht="15.75" hidden="false" customHeight="true" outlineLevel="0" collapsed="false">
      <c r="B2285" s="19" t="n">
        <v>2023</v>
      </c>
      <c r="C2285" s="20" t="s">
        <v>4797</v>
      </c>
      <c r="D2285" s="20" t="s">
        <v>251</v>
      </c>
      <c r="E2285" s="21" t="s">
        <v>4798</v>
      </c>
      <c r="F2285" s="21" t="n">
        <v>36497</v>
      </c>
      <c r="G2285" s="22" t="s">
        <v>471</v>
      </c>
      <c r="H2285" s="23" t="n">
        <f aca="false">COUNTIF(CAL!U:AF,B2285)</f>
        <v>1</v>
      </c>
      <c r="I2285" s="22" t="n">
        <v>11</v>
      </c>
      <c r="J2285" s="20"/>
    </row>
    <row r="2286" customFormat="false" ht="15.75" hidden="false" customHeight="true" outlineLevel="0" collapsed="false">
      <c r="B2286" s="19" t="n">
        <v>1252</v>
      </c>
      <c r="C2286" s="20" t="s">
        <v>4799</v>
      </c>
      <c r="D2286" s="20" t="s">
        <v>217</v>
      </c>
      <c r="E2286" s="21" t="s">
        <v>4800</v>
      </c>
      <c r="F2286" s="21" t="n">
        <v>33362</v>
      </c>
      <c r="G2286" s="22" t="s">
        <v>471</v>
      </c>
      <c r="H2286" s="23" t="n">
        <f aca="false">COUNTIF(CAL!U:AF,B2286)</f>
        <v>1</v>
      </c>
      <c r="I2286" s="22" t="n">
        <v>11</v>
      </c>
      <c r="J2286" s="20"/>
    </row>
    <row r="2287" customFormat="false" ht="15.75" hidden="false" customHeight="true" outlineLevel="0" collapsed="false">
      <c r="B2287" s="19" t="n">
        <v>2224</v>
      </c>
      <c r="C2287" s="20" t="s">
        <v>4801</v>
      </c>
      <c r="D2287" s="20" t="s">
        <v>239</v>
      </c>
      <c r="E2287" s="21" t="s">
        <v>4802</v>
      </c>
      <c r="F2287" s="21" t="n">
        <v>35257</v>
      </c>
      <c r="G2287" s="22" t="s">
        <v>471</v>
      </c>
      <c r="H2287" s="23" t="n">
        <f aca="false">COUNTIF(CAL!U:AF,B2287)</f>
        <v>1</v>
      </c>
      <c r="I2287" s="22" t="n">
        <v>11</v>
      </c>
      <c r="J2287" s="20"/>
    </row>
    <row r="2288" customFormat="false" ht="15.75" hidden="false" customHeight="true" outlineLevel="0" collapsed="false">
      <c r="B2288" s="19" t="n">
        <v>2865</v>
      </c>
      <c r="C2288" s="20" t="s">
        <v>2086</v>
      </c>
      <c r="D2288" s="20" t="s">
        <v>134</v>
      </c>
      <c r="E2288" s="21" t="s">
        <v>4803</v>
      </c>
      <c r="F2288" s="21" t="n">
        <v>37023</v>
      </c>
      <c r="G2288" s="22" t="s">
        <v>471</v>
      </c>
      <c r="H2288" s="23" t="n">
        <f aca="false">COUNTIF(CAL!U:AF,B2288)</f>
        <v>1</v>
      </c>
      <c r="I2288" s="22" t="n">
        <v>11</v>
      </c>
      <c r="J2288" s="20"/>
    </row>
    <row r="2289" customFormat="false" ht="15.75" hidden="false" customHeight="true" outlineLevel="0" collapsed="false">
      <c r="B2289" s="19" t="n">
        <v>3452</v>
      </c>
      <c r="C2289" s="20" t="s">
        <v>4804</v>
      </c>
      <c r="D2289" s="20" t="s">
        <v>228</v>
      </c>
      <c r="E2289" s="21" t="s">
        <v>4805</v>
      </c>
      <c r="F2289" s="21" t="n">
        <v>34378</v>
      </c>
      <c r="G2289" s="22" t="s">
        <v>4806</v>
      </c>
      <c r="H2289" s="23" t="n">
        <f aca="false">COUNTIF(CAL!U:AF,B2289)</f>
        <v>1</v>
      </c>
      <c r="I2289" s="22" t="n">
        <v>11</v>
      </c>
      <c r="J2289" s="20"/>
    </row>
    <row r="2290" customFormat="false" ht="15.75" hidden="false" customHeight="true" outlineLevel="0" collapsed="false">
      <c r="B2290" s="19" t="n">
        <v>2416</v>
      </c>
      <c r="C2290" s="20" t="s">
        <v>4807</v>
      </c>
      <c r="D2290" s="20" t="s">
        <v>218</v>
      </c>
      <c r="E2290" s="21" t="s">
        <v>4808</v>
      </c>
      <c r="F2290" s="21" t="n">
        <v>31854</v>
      </c>
      <c r="G2290" s="22" t="s">
        <v>481</v>
      </c>
      <c r="H2290" s="23" t="n">
        <f aca="false">COUNTIF(CAL!U:AF,B2290)</f>
        <v>1</v>
      </c>
      <c r="I2290" s="22" t="n">
        <v>11</v>
      </c>
      <c r="J2290" s="20"/>
    </row>
    <row r="2291" customFormat="false" ht="15.75" hidden="false" customHeight="true" outlineLevel="0" collapsed="false">
      <c r="B2291" s="19" t="n">
        <v>3080</v>
      </c>
      <c r="C2291" s="20" t="s">
        <v>2418</v>
      </c>
      <c r="D2291" s="20" t="s">
        <v>101</v>
      </c>
      <c r="E2291" s="24" t="s">
        <v>4809</v>
      </c>
      <c r="F2291" s="21" t="n">
        <v>34818</v>
      </c>
      <c r="G2291" s="22" t="s">
        <v>471</v>
      </c>
      <c r="H2291" s="23" t="n">
        <f aca="false">COUNTIF(CAL!U:AF,B2291)</f>
        <v>1</v>
      </c>
      <c r="I2291" s="22" t="n">
        <v>11</v>
      </c>
      <c r="J2291" s="20"/>
    </row>
    <row r="2292" customFormat="false" ht="15.75" hidden="false" customHeight="true" outlineLevel="0" collapsed="false">
      <c r="B2292" s="19" t="n">
        <v>2193</v>
      </c>
      <c r="C2292" s="20" t="s">
        <v>4810</v>
      </c>
      <c r="D2292" s="20" t="s">
        <v>176</v>
      </c>
      <c r="E2292" s="24" t="s">
        <v>4811</v>
      </c>
      <c r="F2292" s="21" t="n">
        <v>35336</v>
      </c>
      <c r="G2292" s="22" t="s">
        <v>1017</v>
      </c>
      <c r="H2292" s="23" t="n">
        <f aca="false">COUNTIF(CAL!U:AF,B2292)</f>
        <v>1</v>
      </c>
      <c r="I2292" s="22" t="n">
        <v>11</v>
      </c>
      <c r="J2292" s="20"/>
    </row>
    <row r="2293" customFormat="false" ht="15.75" hidden="false" customHeight="true" outlineLevel="0" collapsed="false">
      <c r="B2293" s="19" t="n">
        <v>2396</v>
      </c>
      <c r="C2293" s="20" t="s">
        <v>4812</v>
      </c>
      <c r="D2293" s="20" t="s">
        <v>104</v>
      </c>
      <c r="E2293" s="21" t="s">
        <v>4813</v>
      </c>
      <c r="F2293" s="21" t="n">
        <v>36578</v>
      </c>
      <c r="G2293" s="22" t="s">
        <v>471</v>
      </c>
      <c r="H2293" s="23" t="n">
        <f aca="false">COUNTIF(CAL!U:AF,B2293)</f>
        <v>1</v>
      </c>
      <c r="I2293" s="22" t="n">
        <v>11</v>
      </c>
      <c r="J2293" s="20"/>
    </row>
    <row r="2294" customFormat="false" ht="15.75" hidden="false" customHeight="true" outlineLevel="0" collapsed="false">
      <c r="B2294" s="19" t="n">
        <v>2418</v>
      </c>
      <c r="C2294" s="20" t="s">
        <v>4814</v>
      </c>
      <c r="D2294" s="20" t="s">
        <v>128</v>
      </c>
      <c r="E2294" s="21" t="s">
        <v>4815</v>
      </c>
      <c r="F2294" s="21" t="n">
        <v>36400</v>
      </c>
      <c r="G2294" s="22" t="s">
        <v>471</v>
      </c>
      <c r="H2294" s="23" t="n">
        <f aca="false">COUNTIF(CAL!U:AF,B2294)</f>
        <v>1</v>
      </c>
      <c r="I2294" s="22" t="n">
        <v>11</v>
      </c>
      <c r="J2294" s="20" t="s">
        <v>3822</v>
      </c>
    </row>
    <row r="2295" customFormat="false" ht="15.75" hidden="false" customHeight="true" outlineLevel="0" collapsed="false">
      <c r="B2295" s="19" t="n">
        <v>2155</v>
      </c>
      <c r="C2295" s="20" t="s">
        <v>1859</v>
      </c>
      <c r="D2295" s="20" t="s">
        <v>331</v>
      </c>
      <c r="E2295" s="24" t="s">
        <v>4816</v>
      </c>
      <c r="F2295" s="21" t="n">
        <v>37712</v>
      </c>
      <c r="G2295" s="22" t="s">
        <v>471</v>
      </c>
      <c r="H2295" s="23" t="n">
        <f aca="false">COUNTIF(CAL!U:AF,B2295)</f>
        <v>1</v>
      </c>
      <c r="I2295" s="22" t="n">
        <v>11</v>
      </c>
      <c r="J2295" s="20"/>
    </row>
    <row r="2296" customFormat="false" ht="15.75" hidden="false" customHeight="true" outlineLevel="0" collapsed="false">
      <c r="B2296" s="19" t="n">
        <v>2718</v>
      </c>
      <c r="C2296" s="20" t="s">
        <v>1580</v>
      </c>
      <c r="D2296" s="20" t="s">
        <v>242</v>
      </c>
      <c r="E2296" s="21" t="s">
        <v>4817</v>
      </c>
      <c r="F2296" s="21" t="n">
        <v>35269</v>
      </c>
      <c r="G2296" s="22" t="s">
        <v>471</v>
      </c>
      <c r="H2296" s="23" t="n">
        <f aca="false">COUNTIF(CAL!U:AF,B2296)</f>
        <v>1</v>
      </c>
      <c r="I2296" s="22" t="n">
        <v>11</v>
      </c>
      <c r="J2296" s="20"/>
    </row>
    <row r="2297" customFormat="false" ht="15.75" hidden="false" customHeight="true" outlineLevel="0" collapsed="false">
      <c r="B2297" s="19" t="n">
        <v>1650</v>
      </c>
      <c r="C2297" s="20" t="s">
        <v>3362</v>
      </c>
      <c r="D2297" s="20" t="s">
        <v>44</v>
      </c>
      <c r="E2297" s="21" t="s">
        <v>4818</v>
      </c>
      <c r="F2297" s="21" t="n">
        <v>35086</v>
      </c>
      <c r="G2297" s="22" t="s">
        <v>471</v>
      </c>
      <c r="H2297" s="23" t="n">
        <f aca="false">COUNTIF(CAL!U:AF,B2297)</f>
        <v>1</v>
      </c>
      <c r="I2297" s="22" t="n">
        <v>11</v>
      </c>
      <c r="J2297" s="20"/>
    </row>
    <row r="2298" customFormat="false" ht="15.75" hidden="false" customHeight="true" outlineLevel="0" collapsed="false">
      <c r="B2298" s="19" t="n">
        <v>3346</v>
      </c>
      <c r="C2298" s="20" t="s">
        <v>4096</v>
      </c>
      <c r="D2298" s="20" t="s">
        <v>241</v>
      </c>
      <c r="E2298" s="21" t="s">
        <v>4819</v>
      </c>
      <c r="F2298" s="21" t="n">
        <v>37538</v>
      </c>
      <c r="G2298" s="22" t="s">
        <v>471</v>
      </c>
      <c r="H2298" s="23" t="n">
        <f aca="false">COUNTIF(CAL!U:AF,B2298)</f>
        <v>1</v>
      </c>
      <c r="I2298" s="22" t="n">
        <v>11</v>
      </c>
      <c r="J2298" s="20"/>
    </row>
    <row r="2299" customFormat="false" ht="15.75" hidden="false" customHeight="true" outlineLevel="0" collapsed="false">
      <c r="B2299" s="19" t="n">
        <v>3475</v>
      </c>
      <c r="C2299" s="20" t="s">
        <v>4820</v>
      </c>
      <c r="D2299" s="20" t="s">
        <v>339</v>
      </c>
      <c r="E2299" s="21" t="s">
        <v>4821</v>
      </c>
      <c r="F2299" s="21" t="n">
        <v>38116</v>
      </c>
      <c r="G2299" s="22" t="s">
        <v>471</v>
      </c>
      <c r="H2299" s="23" t="n">
        <f aca="false">COUNTIF(CAL!U:AF,B2299)</f>
        <v>1</v>
      </c>
      <c r="I2299" s="22" t="n">
        <v>11</v>
      </c>
      <c r="J2299" s="20"/>
    </row>
    <row r="2300" customFormat="false" ht="15.75" hidden="false" customHeight="true" outlineLevel="0" collapsed="false">
      <c r="B2300" s="19" t="n">
        <v>1530</v>
      </c>
      <c r="C2300" s="20" t="s">
        <v>1464</v>
      </c>
      <c r="D2300" s="20" t="s">
        <v>41</v>
      </c>
      <c r="E2300" s="21" t="s">
        <v>4822</v>
      </c>
      <c r="F2300" s="21" t="n">
        <v>38378</v>
      </c>
      <c r="G2300" s="22" t="s">
        <v>471</v>
      </c>
      <c r="H2300" s="23" t="n">
        <f aca="false">COUNTIF(CAL!U:AF,B2300)</f>
        <v>1</v>
      </c>
      <c r="I2300" s="22" t="n">
        <v>11</v>
      </c>
      <c r="J2300" s="20"/>
    </row>
    <row r="2301" customFormat="false" ht="15.75" hidden="false" customHeight="true" outlineLevel="0" collapsed="false">
      <c r="B2301" s="19" t="n">
        <v>1871</v>
      </c>
      <c r="C2301" s="20" t="s">
        <v>1415</v>
      </c>
      <c r="D2301" s="20" t="s">
        <v>50</v>
      </c>
      <c r="E2301" s="24" t="s">
        <v>4823</v>
      </c>
      <c r="F2301" s="21" t="n">
        <v>36570</v>
      </c>
      <c r="G2301" s="22" t="s">
        <v>471</v>
      </c>
      <c r="H2301" s="23" t="n">
        <f aca="false">COUNTIF(CAL!U:AF,B2301)</f>
        <v>1</v>
      </c>
      <c r="I2301" s="22" t="n">
        <v>11</v>
      </c>
      <c r="J2301" s="20" t="s">
        <v>3930</v>
      </c>
    </row>
    <row r="2302" customFormat="false" ht="15.75" hidden="false" customHeight="true" outlineLevel="0" collapsed="false">
      <c r="B2302" s="19" t="n">
        <v>1316</v>
      </c>
      <c r="C2302" s="20" t="s">
        <v>4824</v>
      </c>
      <c r="D2302" s="20" t="s">
        <v>211</v>
      </c>
      <c r="E2302" s="24" t="s">
        <v>4825</v>
      </c>
      <c r="F2302" s="21" t="n">
        <v>37318</v>
      </c>
      <c r="G2302" s="22" t="s">
        <v>471</v>
      </c>
      <c r="H2302" s="23" t="n">
        <f aca="false">COUNTIF(CAL!U:AF,B2302)</f>
        <v>1</v>
      </c>
      <c r="I2302" s="22" t="n">
        <v>11</v>
      </c>
      <c r="J2302" s="20"/>
    </row>
    <row r="2303" customFormat="false" ht="15.75" hidden="false" customHeight="true" outlineLevel="0" collapsed="false">
      <c r="B2303" s="19" t="n">
        <v>3084</v>
      </c>
      <c r="C2303" s="20" t="s">
        <v>4826</v>
      </c>
      <c r="D2303" s="20" t="s">
        <v>261</v>
      </c>
      <c r="E2303" s="21" t="s">
        <v>4827</v>
      </c>
      <c r="F2303" s="21" t="n">
        <v>37942</v>
      </c>
      <c r="G2303" s="22" t="s">
        <v>471</v>
      </c>
      <c r="H2303" s="23" t="n">
        <f aca="false">COUNTIF(CAL!U:AF,B2303)</f>
        <v>1</v>
      </c>
      <c r="I2303" s="22" t="n">
        <v>11</v>
      </c>
      <c r="J2303" s="20"/>
    </row>
    <row r="2304" customFormat="false" ht="15.75" hidden="false" customHeight="true" outlineLevel="0" collapsed="false">
      <c r="B2304" s="19" t="n">
        <v>1845</v>
      </c>
      <c r="C2304" s="20" t="s">
        <v>2108</v>
      </c>
      <c r="D2304" s="20" t="s">
        <v>168</v>
      </c>
      <c r="E2304" s="21" t="s">
        <v>4828</v>
      </c>
      <c r="F2304" s="21" t="n">
        <v>37531</v>
      </c>
      <c r="G2304" s="22" t="s">
        <v>471</v>
      </c>
      <c r="H2304" s="23" t="n">
        <f aca="false">COUNTIF(CAL!U:AF,B2304)</f>
        <v>1</v>
      </c>
      <c r="I2304" s="22" t="n">
        <v>11</v>
      </c>
      <c r="J2304" s="20"/>
    </row>
    <row r="2305" customFormat="false" ht="15.75" hidden="false" customHeight="true" outlineLevel="0" collapsed="false">
      <c r="B2305" s="19" t="n">
        <v>2756</v>
      </c>
      <c r="C2305" s="20" t="s">
        <v>4829</v>
      </c>
      <c r="D2305" s="20" t="s">
        <v>158</v>
      </c>
      <c r="E2305" s="24" t="s">
        <v>4830</v>
      </c>
      <c r="F2305" s="21" t="n">
        <v>36609</v>
      </c>
      <c r="G2305" s="22" t="s">
        <v>481</v>
      </c>
      <c r="H2305" s="23" t="n">
        <f aca="false">COUNTIF(CAL!U:AF,B2305)</f>
        <v>1</v>
      </c>
      <c r="I2305" s="22" t="n">
        <v>11</v>
      </c>
      <c r="J2305" s="20"/>
    </row>
    <row r="2306" customFormat="false" ht="15.75" hidden="false" customHeight="true" outlineLevel="0" collapsed="false">
      <c r="B2306" s="19" t="n">
        <v>1747</v>
      </c>
      <c r="C2306" s="20" t="s">
        <v>3860</v>
      </c>
      <c r="D2306" s="20" t="s">
        <v>195</v>
      </c>
      <c r="E2306" s="21" t="s">
        <v>4831</v>
      </c>
      <c r="F2306" s="21" t="n">
        <v>36740</v>
      </c>
      <c r="G2306" s="22" t="s">
        <v>471</v>
      </c>
      <c r="H2306" s="23" t="n">
        <f aca="false">COUNTIF(CAL!U:AF,B2306)</f>
        <v>1</v>
      </c>
      <c r="I2306" s="22" t="n">
        <v>11</v>
      </c>
      <c r="J2306" s="20"/>
    </row>
    <row r="2307" customFormat="false" ht="15.75" hidden="false" customHeight="true" outlineLevel="0" collapsed="false">
      <c r="B2307" s="19" t="n">
        <v>2389</v>
      </c>
      <c r="C2307" s="20" t="s">
        <v>3860</v>
      </c>
      <c r="D2307" s="20" t="s">
        <v>114</v>
      </c>
      <c r="E2307" s="21" t="s">
        <v>4832</v>
      </c>
      <c r="F2307" s="21" t="n">
        <v>35466</v>
      </c>
      <c r="G2307" s="22" t="s">
        <v>471</v>
      </c>
      <c r="H2307" s="23" t="n">
        <f aca="false">COUNTIF(CAL!U:AF,B2307)</f>
        <v>1</v>
      </c>
      <c r="I2307" s="22" t="n">
        <v>11</v>
      </c>
      <c r="J2307" s="20"/>
    </row>
    <row r="2308" customFormat="false" ht="15.75" hidden="false" customHeight="true" outlineLevel="0" collapsed="false">
      <c r="B2308" s="19" t="n">
        <v>3499</v>
      </c>
      <c r="C2308" s="20" t="s">
        <v>3594</v>
      </c>
      <c r="D2308" s="20" t="s">
        <v>331</v>
      </c>
      <c r="E2308" s="21" t="s">
        <v>4833</v>
      </c>
      <c r="F2308" s="21" t="n">
        <v>38401</v>
      </c>
      <c r="G2308" s="22" t="s">
        <v>471</v>
      </c>
      <c r="H2308" s="23" t="n">
        <f aca="false">COUNTIF(CAL!U:AF,B2308)</f>
        <v>1</v>
      </c>
      <c r="I2308" s="22" t="n">
        <v>11</v>
      </c>
      <c r="J2308" s="20"/>
    </row>
    <row r="2309" customFormat="false" ht="15.75" hidden="false" customHeight="true" outlineLevel="0" collapsed="false">
      <c r="B2309" s="19" t="n">
        <v>3294</v>
      </c>
      <c r="C2309" s="20" t="s">
        <v>4834</v>
      </c>
      <c r="D2309" s="20" t="s">
        <v>199</v>
      </c>
      <c r="E2309" s="21" t="s">
        <v>4835</v>
      </c>
      <c r="F2309" s="21" t="n">
        <v>37625</v>
      </c>
      <c r="G2309" s="22" t="s">
        <v>884</v>
      </c>
      <c r="H2309" s="23" t="n">
        <f aca="false">COUNTIF(CAL!U:AF,B2309)</f>
        <v>1</v>
      </c>
      <c r="I2309" s="22" t="n">
        <v>11</v>
      </c>
      <c r="J2309" s="20"/>
    </row>
    <row r="2310" customFormat="false" ht="15.75" hidden="false" customHeight="true" outlineLevel="0" collapsed="false">
      <c r="B2310" s="19" t="n">
        <v>1216</v>
      </c>
      <c r="C2310" s="20" t="s">
        <v>4836</v>
      </c>
      <c r="D2310" s="20" t="s">
        <v>238</v>
      </c>
      <c r="E2310" s="21" t="s">
        <v>4837</v>
      </c>
      <c r="F2310" s="21" t="n">
        <v>35093</v>
      </c>
      <c r="G2310" s="22" t="s">
        <v>471</v>
      </c>
      <c r="H2310" s="23" t="n">
        <f aca="false">COUNTIF(CAL!U:AF,B2310)</f>
        <v>1</v>
      </c>
      <c r="I2310" s="22" t="n">
        <v>11</v>
      </c>
      <c r="J2310" s="20"/>
    </row>
    <row r="2311" customFormat="false" ht="15.75" hidden="false" customHeight="true" outlineLevel="0" collapsed="false">
      <c r="B2311" s="19" t="n">
        <v>2951</v>
      </c>
      <c r="C2311" s="20" t="s">
        <v>4838</v>
      </c>
      <c r="D2311" s="20" t="s">
        <v>274</v>
      </c>
      <c r="E2311" s="21" t="s">
        <v>4839</v>
      </c>
      <c r="F2311" s="21" t="n">
        <v>36297</v>
      </c>
      <c r="G2311" s="22" t="s">
        <v>471</v>
      </c>
      <c r="H2311" s="23" t="n">
        <f aca="false">COUNTIF(CAL!U:AF,B2311)</f>
        <v>1</v>
      </c>
      <c r="I2311" s="22" t="n">
        <v>11</v>
      </c>
      <c r="J2311" s="20"/>
    </row>
    <row r="2312" customFormat="false" ht="15.75" hidden="false" customHeight="true" outlineLevel="0" collapsed="false">
      <c r="B2312" s="19" t="n">
        <v>3552</v>
      </c>
      <c r="C2312" s="20" t="s">
        <v>4840</v>
      </c>
      <c r="D2312" s="20" t="s">
        <v>267</v>
      </c>
      <c r="E2312" s="21" t="s">
        <v>4841</v>
      </c>
      <c r="F2312" s="21" t="n">
        <v>37022</v>
      </c>
      <c r="G2312" s="22" t="s">
        <v>1017</v>
      </c>
      <c r="H2312" s="23" t="n">
        <f aca="false">COUNTIF(CAL!U:AF,B2312)</f>
        <v>1</v>
      </c>
      <c r="I2312" s="22" t="n">
        <v>11</v>
      </c>
      <c r="J2312" s="20"/>
    </row>
    <row r="2313" customFormat="false" ht="15.75" hidden="false" customHeight="true" outlineLevel="0" collapsed="false">
      <c r="B2313" s="19" t="n">
        <v>2028</v>
      </c>
      <c r="C2313" s="20" t="s">
        <v>4842</v>
      </c>
      <c r="D2313" s="20" t="s">
        <v>256</v>
      </c>
      <c r="E2313" s="21" t="s">
        <v>4843</v>
      </c>
      <c r="F2313" s="21" t="n">
        <v>35876</v>
      </c>
      <c r="G2313" s="22" t="s">
        <v>471</v>
      </c>
      <c r="H2313" s="23" t="n">
        <f aca="false">COUNTIF(CAL!U:AF,B2313)</f>
        <v>1</v>
      </c>
      <c r="I2313" s="22" t="n">
        <v>11</v>
      </c>
      <c r="J2313" s="20"/>
    </row>
    <row r="2314" customFormat="false" ht="15.75" hidden="false" customHeight="true" outlineLevel="0" collapsed="false">
      <c r="B2314" s="19" t="n">
        <v>1848</v>
      </c>
      <c r="C2314" s="20" t="s">
        <v>3389</v>
      </c>
      <c r="D2314" s="20" t="s">
        <v>236</v>
      </c>
      <c r="E2314" s="24" t="s">
        <v>4844</v>
      </c>
      <c r="F2314" s="21" t="n">
        <v>36298</v>
      </c>
      <c r="G2314" s="22" t="s">
        <v>471</v>
      </c>
      <c r="H2314" s="23" t="n">
        <f aca="false">COUNTIF(CAL!U:AF,B2314)</f>
        <v>1</v>
      </c>
      <c r="I2314" s="22" t="n">
        <v>11</v>
      </c>
      <c r="J2314" s="20"/>
    </row>
    <row r="2315" customFormat="false" ht="15.75" hidden="false" customHeight="true" outlineLevel="0" collapsed="false">
      <c r="B2315" s="19" t="n">
        <v>1192</v>
      </c>
      <c r="C2315" s="20" t="s">
        <v>4845</v>
      </c>
      <c r="D2315" s="20" t="s">
        <v>222</v>
      </c>
      <c r="E2315" s="21" t="s">
        <v>4846</v>
      </c>
      <c r="F2315" s="21" t="n">
        <v>34957</v>
      </c>
      <c r="G2315" s="22" t="s">
        <v>471</v>
      </c>
      <c r="H2315" s="23" t="n">
        <f aca="false">COUNTIF(CAL!U:AF,B2315)</f>
        <v>1</v>
      </c>
      <c r="I2315" s="22" t="n">
        <v>11</v>
      </c>
      <c r="J2315" s="20"/>
    </row>
    <row r="2316" customFormat="false" ht="15.75" hidden="false" customHeight="true" outlineLevel="0" collapsed="false">
      <c r="B2316" s="19" t="n">
        <v>2387</v>
      </c>
      <c r="C2316" s="20" t="s">
        <v>4847</v>
      </c>
      <c r="D2316" s="20" t="s">
        <v>199</v>
      </c>
      <c r="E2316" s="21" t="s">
        <v>4848</v>
      </c>
      <c r="F2316" s="21" t="n">
        <v>36590</v>
      </c>
      <c r="G2316" s="22" t="s">
        <v>471</v>
      </c>
      <c r="H2316" s="23" t="n">
        <f aca="false">COUNTIF(CAL!U:AF,B2316)</f>
        <v>1</v>
      </c>
      <c r="I2316" s="22" t="n">
        <v>11</v>
      </c>
      <c r="J2316" s="20" t="s">
        <v>3930</v>
      </c>
    </row>
    <row r="2317" customFormat="false" ht="15.75" hidden="false" customHeight="true" outlineLevel="0" collapsed="false">
      <c r="B2317" s="19" t="n">
        <v>1738</v>
      </c>
      <c r="C2317" s="20" t="s">
        <v>1800</v>
      </c>
      <c r="D2317" s="20" t="s">
        <v>91</v>
      </c>
      <c r="E2317" s="21" t="s">
        <v>4849</v>
      </c>
      <c r="F2317" s="21" t="n">
        <v>37219</v>
      </c>
      <c r="G2317" s="22" t="s">
        <v>471</v>
      </c>
      <c r="H2317" s="23" t="n">
        <f aca="false">COUNTIF(CAL!U:AF,B2317)</f>
        <v>1</v>
      </c>
      <c r="I2317" s="22" t="n">
        <v>11</v>
      </c>
      <c r="J2317" s="20"/>
    </row>
    <row r="2318" customFormat="false" ht="15.75" hidden="false" customHeight="true" outlineLevel="0" collapsed="false">
      <c r="B2318" s="19" t="n">
        <v>2918</v>
      </c>
      <c r="C2318" s="20" t="s">
        <v>4850</v>
      </c>
      <c r="D2318" s="20" t="s">
        <v>162</v>
      </c>
      <c r="E2318" s="21" t="s">
        <v>4851</v>
      </c>
      <c r="F2318" s="21" t="n">
        <v>36648</v>
      </c>
      <c r="G2318" s="22" t="s">
        <v>471</v>
      </c>
      <c r="H2318" s="23" t="n">
        <f aca="false">COUNTIF(CAL!U:AF,B2318)</f>
        <v>1</v>
      </c>
      <c r="I2318" s="22" t="n">
        <v>11</v>
      </c>
      <c r="J2318" s="20"/>
    </row>
    <row r="2319" customFormat="false" ht="15.75" hidden="false" customHeight="true" outlineLevel="0" collapsed="false">
      <c r="B2319" s="19" t="n">
        <v>1888</v>
      </c>
      <c r="C2319" s="20" t="s">
        <v>687</v>
      </c>
      <c r="D2319" s="20" t="s">
        <v>41</v>
      </c>
      <c r="E2319" s="21" t="s">
        <v>4852</v>
      </c>
      <c r="F2319" s="21" t="n">
        <v>36930</v>
      </c>
      <c r="G2319" s="22" t="s">
        <v>471</v>
      </c>
      <c r="H2319" s="23" t="n">
        <f aca="false">COUNTIF(CAL!U:AF,B2319)</f>
        <v>1</v>
      </c>
      <c r="I2319" s="22" t="n">
        <v>12</v>
      </c>
      <c r="J2319" s="20"/>
    </row>
    <row r="2320" customFormat="false" ht="15.75" hidden="false" customHeight="true" outlineLevel="0" collapsed="false">
      <c r="B2320" s="19" t="n">
        <v>1863</v>
      </c>
      <c r="C2320" s="20" t="s">
        <v>4853</v>
      </c>
      <c r="D2320" s="20" t="s">
        <v>268</v>
      </c>
      <c r="E2320" s="21" t="s">
        <v>4854</v>
      </c>
      <c r="F2320" s="21" t="n">
        <v>37511</v>
      </c>
      <c r="G2320" s="22" t="s">
        <v>504</v>
      </c>
      <c r="H2320" s="23" t="n">
        <f aca="false">COUNTIF(CAL!U:AF,B2320)</f>
        <v>1</v>
      </c>
      <c r="I2320" s="22" t="n">
        <v>12</v>
      </c>
      <c r="J2320" s="20"/>
    </row>
    <row r="2321" customFormat="false" ht="15.75" hidden="false" customHeight="true" outlineLevel="0" collapsed="false">
      <c r="B2321" s="19" t="n">
        <v>1980</v>
      </c>
      <c r="C2321" s="20" t="s">
        <v>717</v>
      </c>
      <c r="D2321" s="20" t="s">
        <v>223</v>
      </c>
      <c r="E2321" s="21" t="s">
        <v>4855</v>
      </c>
      <c r="F2321" s="21" t="n">
        <v>37595</v>
      </c>
      <c r="G2321" s="22" t="s">
        <v>471</v>
      </c>
      <c r="H2321" s="23" t="n">
        <f aca="false">COUNTIF(CAL!U:AF,B2321)</f>
        <v>1</v>
      </c>
      <c r="I2321" s="22" t="n">
        <v>12</v>
      </c>
      <c r="J2321" s="20" t="s">
        <v>1064</v>
      </c>
    </row>
    <row r="2322" customFormat="false" ht="15.75" hidden="false" customHeight="true" outlineLevel="0" collapsed="false">
      <c r="B2322" s="19" t="n">
        <v>2481</v>
      </c>
      <c r="C2322" s="20" t="s">
        <v>4856</v>
      </c>
      <c r="D2322" s="20" t="s">
        <v>178</v>
      </c>
      <c r="E2322" s="21" t="s">
        <v>4857</v>
      </c>
      <c r="F2322" s="21" t="n">
        <v>34824</v>
      </c>
      <c r="G2322" s="22" t="s">
        <v>471</v>
      </c>
      <c r="H2322" s="23" t="n">
        <f aca="false">COUNTIF(CAL!U:AF,B2322)</f>
        <v>1</v>
      </c>
      <c r="I2322" s="22" t="n">
        <v>12</v>
      </c>
      <c r="J2322" s="20"/>
    </row>
    <row r="2323" customFormat="false" ht="15.75" hidden="false" customHeight="true" outlineLevel="0" collapsed="false">
      <c r="B2323" s="19" t="n">
        <v>2097</v>
      </c>
      <c r="C2323" s="20" t="s">
        <v>1037</v>
      </c>
      <c r="D2323" s="20" t="s">
        <v>200</v>
      </c>
      <c r="E2323" s="21" t="s">
        <v>4858</v>
      </c>
      <c r="F2323" s="21" t="n">
        <v>37676</v>
      </c>
      <c r="G2323" s="22" t="s">
        <v>471</v>
      </c>
      <c r="H2323" s="23" t="n">
        <f aca="false">COUNTIF(CAL!U:AF,B2323)</f>
        <v>1</v>
      </c>
      <c r="I2323" s="22" t="n">
        <v>12</v>
      </c>
      <c r="J2323" s="20" t="s">
        <v>4859</v>
      </c>
    </row>
    <row r="2324" customFormat="false" ht="15.75" hidden="false" customHeight="true" outlineLevel="0" collapsed="false">
      <c r="B2324" s="19" t="n">
        <v>2381</v>
      </c>
      <c r="C2324" s="20" t="s">
        <v>4860</v>
      </c>
      <c r="D2324" s="20" t="s">
        <v>343</v>
      </c>
      <c r="E2324" s="21" t="s">
        <v>4861</v>
      </c>
      <c r="F2324" s="21" t="n">
        <v>35222</v>
      </c>
      <c r="G2324" s="22" t="s">
        <v>471</v>
      </c>
      <c r="H2324" s="23" t="n">
        <f aca="false">COUNTIF(CAL!U:AF,B2324)</f>
        <v>1</v>
      </c>
      <c r="I2324" s="22" t="n">
        <v>12</v>
      </c>
      <c r="J2324" s="20" t="s">
        <v>4862</v>
      </c>
    </row>
    <row r="2325" customFormat="false" ht="15.75" hidden="false" customHeight="true" outlineLevel="0" collapsed="false">
      <c r="B2325" s="19" t="n">
        <v>1084</v>
      </c>
      <c r="C2325" s="20" t="s">
        <v>4863</v>
      </c>
      <c r="D2325" s="20" t="s">
        <v>91</v>
      </c>
      <c r="E2325" s="21" t="s">
        <v>4864</v>
      </c>
      <c r="F2325" s="21" t="n">
        <v>36970</v>
      </c>
      <c r="G2325" s="22" t="s">
        <v>471</v>
      </c>
      <c r="H2325" s="23" t="n">
        <f aca="false">COUNTIF(CAL!U:AF,B2325)</f>
        <v>1</v>
      </c>
      <c r="I2325" s="22" t="n">
        <v>12</v>
      </c>
      <c r="J2325" s="20"/>
    </row>
    <row r="2326" customFormat="false" ht="15.75" hidden="false" customHeight="true" outlineLevel="0" collapsed="false">
      <c r="B2326" s="19" t="n">
        <v>3657</v>
      </c>
      <c r="C2326" s="20" t="s">
        <v>2272</v>
      </c>
      <c r="D2326" s="20" t="s">
        <v>172</v>
      </c>
      <c r="E2326" s="21" t="s">
        <v>4865</v>
      </c>
      <c r="F2326" s="21" t="n">
        <v>36026</v>
      </c>
      <c r="G2326" s="22" t="s">
        <v>471</v>
      </c>
      <c r="H2326" s="23" t="n">
        <f aca="false">COUNTIF(CAL!U:AF,B2326)</f>
        <v>1</v>
      </c>
      <c r="I2326" s="22" t="n">
        <v>12</v>
      </c>
      <c r="J2326" s="20"/>
    </row>
    <row r="2327" customFormat="false" ht="15.75" hidden="false" customHeight="true" outlineLevel="0" collapsed="false">
      <c r="B2327" s="19" t="n">
        <v>3155</v>
      </c>
      <c r="C2327" s="20" t="s">
        <v>4866</v>
      </c>
      <c r="D2327" s="20" t="s">
        <v>240</v>
      </c>
      <c r="E2327" s="21" t="s">
        <v>4867</v>
      </c>
      <c r="F2327" s="21" t="n">
        <v>38152</v>
      </c>
      <c r="G2327" s="22" t="s">
        <v>471</v>
      </c>
      <c r="H2327" s="23" t="n">
        <f aca="false">COUNTIF(CAL!U:AF,B2327)</f>
        <v>1</v>
      </c>
      <c r="I2327" s="22" t="n">
        <v>12</v>
      </c>
      <c r="J2327" s="20"/>
    </row>
    <row r="2328" customFormat="false" ht="15.75" hidden="false" customHeight="true" outlineLevel="0" collapsed="false">
      <c r="B2328" s="19" t="n">
        <v>3480</v>
      </c>
      <c r="C2328" s="20" t="s">
        <v>2276</v>
      </c>
      <c r="D2328" s="20" t="s">
        <v>409</v>
      </c>
      <c r="E2328" s="21" t="s">
        <v>4868</v>
      </c>
      <c r="F2328" s="21" t="n">
        <v>34364</v>
      </c>
      <c r="G2328" s="22" t="s">
        <v>471</v>
      </c>
      <c r="H2328" s="23" t="n">
        <f aca="false">COUNTIF(CAL!U:AF,B2328)</f>
        <v>1</v>
      </c>
      <c r="I2328" s="22" t="n">
        <v>12</v>
      </c>
      <c r="J2328" s="20"/>
    </row>
    <row r="2329" customFormat="false" ht="15.75" hidden="false" customHeight="true" outlineLevel="0" collapsed="false">
      <c r="B2329" s="19" t="n">
        <v>2796</v>
      </c>
      <c r="C2329" s="20" t="s">
        <v>4869</v>
      </c>
      <c r="D2329" s="20" t="s">
        <v>217</v>
      </c>
      <c r="E2329" s="21" t="s">
        <v>4870</v>
      </c>
      <c r="F2329" s="21" t="n">
        <v>34025</v>
      </c>
      <c r="G2329" s="22" t="s">
        <v>471</v>
      </c>
      <c r="H2329" s="23" t="n">
        <f aca="false">COUNTIF(CAL!U:AF,B2329)</f>
        <v>1</v>
      </c>
      <c r="I2329" s="22" t="n">
        <v>12</v>
      </c>
      <c r="J2329" s="20"/>
    </row>
    <row r="2330" customFormat="false" ht="15.75" hidden="false" customHeight="true" outlineLevel="0" collapsed="false">
      <c r="B2330" s="19" t="n">
        <v>1439</v>
      </c>
      <c r="C2330" s="20" t="s">
        <v>4871</v>
      </c>
      <c r="D2330" s="20" t="s">
        <v>42</v>
      </c>
      <c r="E2330" s="21" t="s">
        <v>4872</v>
      </c>
      <c r="F2330" s="21" t="n">
        <v>37021</v>
      </c>
      <c r="G2330" s="22" t="s">
        <v>471</v>
      </c>
      <c r="H2330" s="23" t="n">
        <f aca="false">COUNTIF(CAL!U:AF,B2330)</f>
        <v>1</v>
      </c>
      <c r="I2330" s="22" t="n">
        <v>12</v>
      </c>
      <c r="J2330" s="20"/>
    </row>
    <row r="2331" customFormat="false" ht="15.75" hidden="false" customHeight="true" outlineLevel="0" collapsed="false">
      <c r="B2331" s="19" t="n">
        <v>3628</v>
      </c>
      <c r="C2331" s="20" t="s">
        <v>4873</v>
      </c>
      <c r="D2331" s="20" t="s">
        <v>416</v>
      </c>
      <c r="E2331" s="21" t="s">
        <v>4874</v>
      </c>
      <c r="F2331" s="21" t="n">
        <v>37629</v>
      </c>
      <c r="G2331" s="22" t="s">
        <v>471</v>
      </c>
      <c r="H2331" s="23" t="n">
        <f aca="false">COUNTIF(CAL!U:AF,B2331)</f>
        <v>1</v>
      </c>
      <c r="I2331" s="22" t="n">
        <v>12</v>
      </c>
      <c r="J2331" s="20"/>
    </row>
    <row r="2332" customFormat="false" ht="15.75" hidden="false" customHeight="true" outlineLevel="0" collapsed="false">
      <c r="B2332" s="19" t="n">
        <v>2351</v>
      </c>
      <c r="C2332" s="20" t="s">
        <v>4875</v>
      </c>
      <c r="D2332" s="20" t="s">
        <v>317</v>
      </c>
      <c r="E2332" s="21" t="s">
        <v>4876</v>
      </c>
      <c r="F2332" s="21" t="n">
        <v>36927</v>
      </c>
      <c r="G2332" s="22" t="s">
        <v>471</v>
      </c>
      <c r="H2332" s="23" t="n">
        <f aca="false">COUNTIF(CAL!U:AF,B2332)</f>
        <v>1</v>
      </c>
      <c r="I2332" s="22" t="n">
        <v>12</v>
      </c>
      <c r="J2332" s="20" t="s">
        <v>4329</v>
      </c>
    </row>
    <row r="2333" customFormat="false" ht="15.75" hidden="false" customHeight="true" outlineLevel="0" collapsed="false">
      <c r="B2333" s="19" t="n">
        <v>2582</v>
      </c>
      <c r="C2333" s="20" t="s">
        <v>4877</v>
      </c>
      <c r="D2333" s="20" t="s">
        <v>302</v>
      </c>
      <c r="E2333" s="21" t="s">
        <v>4878</v>
      </c>
      <c r="F2333" s="21" t="n">
        <v>34004</v>
      </c>
      <c r="G2333" s="22" t="s">
        <v>471</v>
      </c>
      <c r="H2333" s="23" t="n">
        <f aca="false">COUNTIF(CAL!U:AF,B2333)</f>
        <v>1</v>
      </c>
      <c r="I2333" s="22" t="n">
        <v>12</v>
      </c>
      <c r="J2333" s="20"/>
    </row>
    <row r="2334" customFormat="false" ht="15.75" hidden="false" customHeight="true" outlineLevel="0" collapsed="false">
      <c r="B2334" s="19" t="n">
        <v>2721</v>
      </c>
      <c r="C2334" s="20" t="s">
        <v>4879</v>
      </c>
      <c r="D2334" s="20" t="s">
        <v>240</v>
      </c>
      <c r="E2334" s="21" t="s">
        <v>4879</v>
      </c>
      <c r="F2334" s="21" t="n">
        <v>32027</v>
      </c>
      <c r="G2334" s="22" t="s">
        <v>471</v>
      </c>
      <c r="H2334" s="23" t="n">
        <f aca="false">COUNTIF(CAL!U:AF,B2334)</f>
        <v>1</v>
      </c>
      <c r="I2334" s="22" t="n">
        <v>12</v>
      </c>
      <c r="J2334" s="20"/>
    </row>
    <row r="2335" customFormat="false" ht="15.75" hidden="false" customHeight="true" outlineLevel="0" collapsed="false">
      <c r="B2335" s="19" t="n">
        <v>1989</v>
      </c>
      <c r="C2335" s="20" t="s">
        <v>4880</v>
      </c>
      <c r="D2335" s="20" t="s">
        <v>70</v>
      </c>
      <c r="E2335" s="21" t="s">
        <v>4881</v>
      </c>
      <c r="F2335" s="21" t="n">
        <v>36163</v>
      </c>
      <c r="G2335" s="22" t="s">
        <v>471</v>
      </c>
      <c r="H2335" s="23" t="n">
        <f aca="false">COUNTIF(CAL!U:AF,B2335)</f>
        <v>1</v>
      </c>
      <c r="I2335" s="22" t="n">
        <v>12</v>
      </c>
      <c r="J2335" s="20"/>
    </row>
    <row r="2336" customFormat="false" ht="15.75" hidden="false" customHeight="true" outlineLevel="0" collapsed="false">
      <c r="B2336" s="19" t="n">
        <v>3079</v>
      </c>
      <c r="C2336" s="20" t="s">
        <v>4882</v>
      </c>
      <c r="D2336" s="20" t="s">
        <v>183</v>
      </c>
      <c r="E2336" s="24" t="s">
        <v>4883</v>
      </c>
      <c r="F2336" s="21" t="n">
        <v>31448</v>
      </c>
      <c r="G2336" s="22" t="s">
        <v>471</v>
      </c>
      <c r="H2336" s="23" t="n">
        <f aca="false">COUNTIF(CAL!U:AF,B2336)</f>
        <v>1</v>
      </c>
      <c r="I2336" s="22" t="n">
        <v>12</v>
      </c>
      <c r="J2336" s="20"/>
    </row>
    <row r="2337" customFormat="false" ht="15.75" hidden="false" customHeight="true" outlineLevel="0" collapsed="false">
      <c r="B2337" s="19" t="n">
        <v>1853</v>
      </c>
      <c r="C2337" s="20" t="s">
        <v>4884</v>
      </c>
      <c r="D2337" s="20" t="s">
        <v>334</v>
      </c>
      <c r="E2337" s="21" t="s">
        <v>4885</v>
      </c>
      <c r="F2337" s="21" t="n">
        <v>34269</v>
      </c>
      <c r="G2337" s="22" t="s">
        <v>471</v>
      </c>
      <c r="H2337" s="23" t="n">
        <f aca="false">COUNTIF(CAL!U:AF,B2337)</f>
        <v>1</v>
      </c>
      <c r="I2337" s="22" t="n">
        <v>12</v>
      </c>
      <c r="J2337" s="20"/>
    </row>
    <row r="2338" customFormat="false" ht="15.75" hidden="false" customHeight="true" outlineLevel="0" collapsed="false">
      <c r="B2338" s="19" t="n">
        <v>3570</v>
      </c>
      <c r="C2338" s="20" t="s">
        <v>3956</v>
      </c>
      <c r="D2338" s="20" t="s">
        <v>60</v>
      </c>
      <c r="E2338" s="21" t="s">
        <v>4886</v>
      </c>
      <c r="F2338" s="21" t="n">
        <v>34033</v>
      </c>
      <c r="G2338" s="22" t="s">
        <v>471</v>
      </c>
      <c r="H2338" s="23" t="n">
        <f aca="false">COUNTIF(CAL!U:AF,B2338)</f>
        <v>1</v>
      </c>
      <c r="I2338" s="22" t="n">
        <v>12</v>
      </c>
      <c r="J2338" s="20"/>
    </row>
    <row r="2339" customFormat="false" ht="15.75" hidden="false" customHeight="true" outlineLevel="0" collapsed="false">
      <c r="B2339" s="19" t="n">
        <v>3002</v>
      </c>
      <c r="C2339" s="20" t="s">
        <v>4887</v>
      </c>
      <c r="D2339" s="20" t="s">
        <v>178</v>
      </c>
      <c r="E2339" s="21" t="s">
        <v>4888</v>
      </c>
      <c r="F2339" s="21" t="n">
        <v>36194</v>
      </c>
      <c r="G2339" s="22" t="s">
        <v>471</v>
      </c>
      <c r="H2339" s="23" t="n">
        <f aca="false">COUNTIF(CAL!U:AF,B2339)</f>
        <v>1</v>
      </c>
      <c r="I2339" s="22" t="n">
        <v>12</v>
      </c>
      <c r="J2339" s="20"/>
    </row>
    <row r="2340" customFormat="false" ht="15.75" hidden="false" customHeight="true" outlineLevel="0" collapsed="false">
      <c r="B2340" s="19" t="n">
        <v>2476</v>
      </c>
      <c r="C2340" s="20" t="s">
        <v>4889</v>
      </c>
      <c r="D2340" s="20" t="s">
        <v>48</v>
      </c>
      <c r="E2340" s="21" t="s">
        <v>4890</v>
      </c>
      <c r="F2340" s="21" t="n">
        <v>35743</v>
      </c>
      <c r="G2340" s="22" t="s">
        <v>504</v>
      </c>
      <c r="H2340" s="23" t="n">
        <f aca="false">COUNTIF(CAL!U:AF,B2340)</f>
        <v>1</v>
      </c>
      <c r="I2340" s="22" t="n">
        <v>12</v>
      </c>
      <c r="J2340" s="20"/>
    </row>
    <row r="2341" customFormat="false" ht="15.75" hidden="false" customHeight="true" outlineLevel="0" collapsed="false">
      <c r="B2341" s="19" t="n">
        <v>3114</v>
      </c>
      <c r="C2341" s="20" t="s">
        <v>1225</v>
      </c>
      <c r="D2341" s="20" t="s">
        <v>372</v>
      </c>
      <c r="E2341" s="24" t="s">
        <v>4891</v>
      </c>
      <c r="F2341" s="21" t="n">
        <v>38347</v>
      </c>
      <c r="G2341" s="22" t="s">
        <v>471</v>
      </c>
      <c r="H2341" s="23" t="n">
        <f aca="false">COUNTIF(CAL!U:AF,B2341)</f>
        <v>1</v>
      </c>
      <c r="I2341" s="22" t="n">
        <v>12</v>
      </c>
      <c r="J2341" s="20"/>
    </row>
    <row r="2342" customFormat="false" ht="15.75" hidden="false" customHeight="true" outlineLevel="0" collapsed="false">
      <c r="B2342" s="19" t="n">
        <v>2868</v>
      </c>
      <c r="C2342" s="20" t="s">
        <v>1937</v>
      </c>
      <c r="D2342" s="20" t="s">
        <v>81</v>
      </c>
      <c r="E2342" s="21" t="s">
        <v>4892</v>
      </c>
      <c r="F2342" s="21" t="n">
        <v>36971</v>
      </c>
      <c r="G2342" s="22" t="s">
        <v>471</v>
      </c>
      <c r="H2342" s="23" t="n">
        <f aca="false">COUNTIF(CAL!U:AF,B2342)</f>
        <v>1</v>
      </c>
      <c r="I2342" s="22" t="n">
        <v>12</v>
      </c>
      <c r="J2342" s="20"/>
    </row>
    <row r="2343" customFormat="false" ht="15.75" hidden="false" customHeight="true" outlineLevel="0" collapsed="false">
      <c r="B2343" s="19" t="n">
        <v>1095</v>
      </c>
      <c r="C2343" s="20" t="s">
        <v>4486</v>
      </c>
      <c r="D2343" s="20" t="s">
        <v>259</v>
      </c>
      <c r="E2343" s="21" t="s">
        <v>4893</v>
      </c>
      <c r="F2343" s="21" t="n">
        <v>36976</v>
      </c>
      <c r="G2343" s="22" t="s">
        <v>471</v>
      </c>
      <c r="H2343" s="23" t="n">
        <f aca="false">COUNTIF(CAL!U:AF,B2343)</f>
        <v>1</v>
      </c>
      <c r="I2343" s="22" t="n">
        <v>12</v>
      </c>
      <c r="J2343" s="20" t="s">
        <v>4329</v>
      </c>
    </row>
    <row r="2344" customFormat="false" ht="15.75" hidden="false" customHeight="true" outlineLevel="0" collapsed="false">
      <c r="B2344" s="19" t="n">
        <v>3488</v>
      </c>
      <c r="C2344" s="20" t="s">
        <v>4894</v>
      </c>
      <c r="D2344" s="20" t="s">
        <v>170</v>
      </c>
      <c r="E2344" s="21" t="s">
        <v>4895</v>
      </c>
      <c r="F2344" s="21" t="n">
        <v>35949</v>
      </c>
      <c r="G2344" s="22" t="s">
        <v>471</v>
      </c>
      <c r="H2344" s="23" t="n">
        <f aca="false">COUNTIF(CAL!U:AF,B2344)</f>
        <v>1</v>
      </c>
      <c r="I2344" s="22" t="n">
        <v>12</v>
      </c>
      <c r="J2344" s="20"/>
    </row>
    <row r="2345" customFormat="false" ht="15.75" hidden="false" customHeight="true" outlineLevel="0" collapsed="false">
      <c r="B2345" s="19" t="n">
        <v>2367</v>
      </c>
      <c r="C2345" s="20" t="s">
        <v>4896</v>
      </c>
      <c r="D2345" s="20" t="s">
        <v>234</v>
      </c>
      <c r="E2345" s="21" t="s">
        <v>4897</v>
      </c>
      <c r="F2345" s="21" t="n">
        <v>34230</v>
      </c>
      <c r="G2345" s="22" t="s">
        <v>471</v>
      </c>
      <c r="H2345" s="23" t="n">
        <f aca="false">COUNTIF(CAL!U:AF,B2345)</f>
        <v>1</v>
      </c>
      <c r="I2345" s="22" t="n">
        <v>12</v>
      </c>
      <c r="J2345" s="20" t="s">
        <v>4708</v>
      </c>
    </row>
    <row r="2346" customFormat="false" ht="15.75" hidden="false" customHeight="true" outlineLevel="0" collapsed="false">
      <c r="B2346" s="19" t="n">
        <v>2826</v>
      </c>
      <c r="C2346" s="20" t="s">
        <v>4898</v>
      </c>
      <c r="D2346" s="20" t="s">
        <v>228</v>
      </c>
      <c r="E2346" s="21" t="s">
        <v>4899</v>
      </c>
      <c r="F2346" s="21" t="n">
        <v>35799</v>
      </c>
      <c r="G2346" s="22" t="s">
        <v>481</v>
      </c>
      <c r="H2346" s="23" t="n">
        <f aca="false">COUNTIF(CAL!U:AF,B2346)</f>
        <v>1</v>
      </c>
      <c r="I2346" s="22" t="n">
        <v>12</v>
      </c>
      <c r="J2346" s="20"/>
    </row>
    <row r="2347" customFormat="false" ht="15.75" hidden="false" customHeight="true" outlineLevel="0" collapsed="false">
      <c r="B2347" s="19" t="n">
        <v>3501</v>
      </c>
      <c r="C2347" s="20" t="s">
        <v>4900</v>
      </c>
      <c r="D2347" s="20" t="s">
        <v>310</v>
      </c>
      <c r="E2347" s="21" t="s">
        <v>4901</v>
      </c>
      <c r="F2347" s="21" t="n">
        <v>35133</v>
      </c>
      <c r="G2347" s="22" t="s">
        <v>471</v>
      </c>
      <c r="H2347" s="23" t="n">
        <f aca="false">COUNTIF(CAL!U:AF,B2347)</f>
        <v>1</v>
      </c>
      <c r="I2347" s="22" t="n">
        <v>12</v>
      </c>
      <c r="J2347" s="20"/>
    </row>
    <row r="2348" customFormat="false" ht="15.75" hidden="false" customHeight="true" outlineLevel="0" collapsed="false">
      <c r="B2348" s="19" t="n">
        <v>3409</v>
      </c>
      <c r="C2348" s="20" t="s">
        <v>4902</v>
      </c>
      <c r="D2348" s="20" t="s">
        <v>255</v>
      </c>
      <c r="E2348" s="24" t="s">
        <v>4903</v>
      </c>
      <c r="F2348" s="21" t="n">
        <v>35534</v>
      </c>
      <c r="G2348" s="22" t="s">
        <v>471</v>
      </c>
      <c r="H2348" s="23" t="n">
        <f aca="false">COUNTIF(CAL!U:AF,B2348)</f>
        <v>1</v>
      </c>
      <c r="I2348" s="22" t="n">
        <v>12</v>
      </c>
      <c r="J2348" s="20"/>
    </row>
    <row r="2349" customFormat="false" ht="15.75" hidden="false" customHeight="true" outlineLevel="0" collapsed="false">
      <c r="B2349" s="19" t="n">
        <v>2627</v>
      </c>
      <c r="C2349" s="20" t="s">
        <v>4904</v>
      </c>
      <c r="D2349" s="20" t="s">
        <v>54</v>
      </c>
      <c r="E2349" s="21" t="s">
        <v>4905</v>
      </c>
      <c r="F2349" s="21" t="n">
        <v>35352</v>
      </c>
      <c r="G2349" s="22" t="s">
        <v>471</v>
      </c>
      <c r="H2349" s="23" t="n">
        <f aca="false">COUNTIF(CAL!U:AF,B2349)</f>
        <v>1</v>
      </c>
      <c r="I2349" s="22" t="n">
        <v>12</v>
      </c>
      <c r="J2349" s="20"/>
    </row>
    <row r="2350" customFormat="false" ht="15.75" hidden="false" customHeight="true" outlineLevel="0" collapsed="false">
      <c r="B2350" s="19" t="n">
        <v>2330</v>
      </c>
      <c r="C2350" s="20" t="s">
        <v>4906</v>
      </c>
      <c r="D2350" s="20" t="s">
        <v>318</v>
      </c>
      <c r="E2350" s="21" t="s">
        <v>4907</v>
      </c>
      <c r="F2350" s="21" t="n">
        <v>35350</v>
      </c>
      <c r="G2350" s="22" t="s">
        <v>471</v>
      </c>
      <c r="H2350" s="23" t="n">
        <f aca="false">COUNTIF(CAL!U:AF,B2350)</f>
        <v>1</v>
      </c>
      <c r="I2350" s="22" t="n">
        <v>12</v>
      </c>
      <c r="J2350" s="20"/>
    </row>
    <row r="2351" customFormat="false" ht="15.75" hidden="false" customHeight="true" outlineLevel="0" collapsed="false">
      <c r="B2351" s="19" t="n">
        <v>1033</v>
      </c>
      <c r="C2351" s="20" t="s">
        <v>4908</v>
      </c>
      <c r="D2351" s="20" t="s">
        <v>58</v>
      </c>
      <c r="E2351" s="24" t="s">
        <v>4909</v>
      </c>
      <c r="F2351" s="21" t="n">
        <v>36286</v>
      </c>
      <c r="G2351" s="22" t="s">
        <v>471</v>
      </c>
      <c r="H2351" s="23" t="n">
        <f aca="false">COUNTIF(CAL!U:AF,B2351)</f>
        <v>1</v>
      </c>
      <c r="I2351" s="22" t="n">
        <v>12</v>
      </c>
      <c r="J2351" s="20"/>
    </row>
    <row r="2352" customFormat="false" ht="15.75" hidden="false" customHeight="true" outlineLevel="0" collapsed="false">
      <c r="B2352" s="19" t="n">
        <v>1342</v>
      </c>
      <c r="C2352" s="20" t="s">
        <v>4910</v>
      </c>
      <c r="D2352" s="20" t="s">
        <v>243</v>
      </c>
      <c r="E2352" s="24" t="s">
        <v>4911</v>
      </c>
      <c r="F2352" s="21" t="n">
        <v>36238</v>
      </c>
      <c r="G2352" s="22" t="s">
        <v>471</v>
      </c>
      <c r="H2352" s="23" t="n">
        <f aca="false">COUNTIF(CAL!U:AF,B2352)</f>
        <v>1</v>
      </c>
      <c r="I2352" s="22" t="n">
        <v>12</v>
      </c>
      <c r="J2352" s="20"/>
    </row>
    <row r="2353" customFormat="false" ht="15.75" hidden="false" customHeight="true" outlineLevel="0" collapsed="false">
      <c r="B2353" s="19" t="n">
        <v>1574</v>
      </c>
      <c r="C2353" s="20" t="s">
        <v>4912</v>
      </c>
      <c r="D2353" s="20" t="s">
        <v>151</v>
      </c>
      <c r="E2353" s="21" t="s">
        <v>4913</v>
      </c>
      <c r="F2353" s="21" t="n">
        <v>35135</v>
      </c>
      <c r="G2353" s="22" t="s">
        <v>471</v>
      </c>
      <c r="H2353" s="23" t="n">
        <f aca="false">COUNTIF(CAL!U:AF,B2353)</f>
        <v>1</v>
      </c>
      <c r="I2353" s="22" t="n">
        <v>12</v>
      </c>
      <c r="J2353" s="20"/>
    </row>
    <row r="2354" customFormat="false" ht="15.75" hidden="false" customHeight="true" outlineLevel="0" collapsed="false">
      <c r="B2354" s="19" t="n">
        <v>1811</v>
      </c>
      <c r="C2354" s="20" t="s">
        <v>4914</v>
      </c>
      <c r="D2354" s="20" t="s">
        <v>151</v>
      </c>
      <c r="E2354" s="24" t="s">
        <v>4915</v>
      </c>
      <c r="F2354" s="21" t="n">
        <v>34186</v>
      </c>
      <c r="G2354" s="22" t="s">
        <v>471</v>
      </c>
      <c r="H2354" s="23" t="n">
        <f aca="false">COUNTIF(CAL!U:AF,B2354)</f>
        <v>1</v>
      </c>
      <c r="I2354" s="22" t="n">
        <v>12</v>
      </c>
      <c r="J2354" s="20"/>
    </row>
    <row r="2355" customFormat="false" ht="15.75" hidden="false" customHeight="true" outlineLevel="0" collapsed="false">
      <c r="B2355" s="19" t="n">
        <v>3484</v>
      </c>
      <c r="C2355" s="20" t="s">
        <v>4916</v>
      </c>
      <c r="D2355" s="20" t="s">
        <v>78</v>
      </c>
      <c r="E2355" s="21" t="s">
        <v>4917</v>
      </c>
      <c r="F2355" s="21" t="n">
        <v>37812</v>
      </c>
      <c r="G2355" s="22" t="s">
        <v>471</v>
      </c>
      <c r="H2355" s="23" t="n">
        <f aca="false">COUNTIF(CAL!U:AF,B2355)</f>
        <v>1</v>
      </c>
      <c r="I2355" s="22" t="n">
        <v>12</v>
      </c>
      <c r="J2355" s="20"/>
    </row>
    <row r="2356" customFormat="false" ht="15.75" hidden="false" customHeight="true" outlineLevel="0" collapsed="false">
      <c r="B2356" s="19" t="n">
        <v>2595</v>
      </c>
      <c r="C2356" s="20" t="s">
        <v>4918</v>
      </c>
      <c r="D2356" s="20" t="s">
        <v>241</v>
      </c>
      <c r="E2356" s="21" t="s">
        <v>4919</v>
      </c>
      <c r="F2356" s="21" t="n">
        <v>37667</v>
      </c>
      <c r="G2356" s="22" t="s">
        <v>471</v>
      </c>
      <c r="H2356" s="23" t="n">
        <f aca="false">COUNTIF(CAL!U:AF,B2356)</f>
        <v>1</v>
      </c>
      <c r="I2356" s="22" t="n">
        <v>12</v>
      </c>
      <c r="J2356" s="20"/>
    </row>
    <row r="2357" customFormat="false" ht="15.75" hidden="false" customHeight="true" outlineLevel="0" collapsed="false">
      <c r="B2357" s="19" t="n">
        <v>3196</v>
      </c>
      <c r="C2357" s="20" t="s">
        <v>4920</v>
      </c>
      <c r="D2357" s="20" t="s">
        <v>331</v>
      </c>
      <c r="E2357" s="21" t="s">
        <v>4921</v>
      </c>
      <c r="F2357" s="21" t="n">
        <v>36200</v>
      </c>
      <c r="G2357" s="22" t="s">
        <v>471</v>
      </c>
      <c r="H2357" s="23" t="n">
        <f aca="false">COUNTIF(CAL!U:AF,B2357)</f>
        <v>1</v>
      </c>
      <c r="I2357" s="22" t="n">
        <v>12</v>
      </c>
      <c r="J2357" s="20"/>
    </row>
    <row r="2358" customFormat="false" ht="15.75" hidden="false" customHeight="true" outlineLevel="0" collapsed="false">
      <c r="B2358" s="19" t="n">
        <v>1720</v>
      </c>
      <c r="C2358" s="20" t="s">
        <v>4922</v>
      </c>
      <c r="D2358" s="20" t="s">
        <v>266</v>
      </c>
      <c r="E2358" s="21" t="s">
        <v>4923</v>
      </c>
      <c r="F2358" s="21" t="n">
        <v>36417</v>
      </c>
      <c r="G2358" s="22" t="s">
        <v>471</v>
      </c>
      <c r="H2358" s="23" t="n">
        <f aca="false">COUNTIF(CAL!U:AF,B2358)</f>
        <v>1</v>
      </c>
      <c r="I2358" s="22" t="n">
        <v>12</v>
      </c>
      <c r="J2358" s="20"/>
    </row>
    <row r="2359" customFormat="false" ht="15.75" hidden="false" customHeight="true" outlineLevel="0" collapsed="false">
      <c r="B2359" s="19" t="n">
        <v>2137</v>
      </c>
      <c r="C2359" s="20" t="s">
        <v>4924</v>
      </c>
      <c r="D2359" s="20" t="s">
        <v>261</v>
      </c>
      <c r="E2359" s="21" t="s">
        <v>4925</v>
      </c>
      <c r="F2359" s="21" t="n">
        <v>36689</v>
      </c>
      <c r="G2359" s="22" t="s">
        <v>471</v>
      </c>
      <c r="H2359" s="23" t="n">
        <f aca="false">COUNTIF(CAL!U:AF,B2359)</f>
        <v>1</v>
      </c>
      <c r="I2359" s="22" t="n">
        <v>12</v>
      </c>
      <c r="J2359" s="20"/>
    </row>
    <row r="2360" customFormat="false" ht="15.75" hidden="false" customHeight="true" outlineLevel="0" collapsed="false">
      <c r="B2360" s="19" t="n">
        <v>2539</v>
      </c>
      <c r="C2360" s="20" t="s">
        <v>4926</v>
      </c>
      <c r="D2360" s="20" t="s">
        <v>299</v>
      </c>
      <c r="E2360" s="24" t="s">
        <v>4927</v>
      </c>
      <c r="F2360" s="21" t="n">
        <v>34762</v>
      </c>
      <c r="G2360" s="22" t="s">
        <v>471</v>
      </c>
      <c r="H2360" s="23" t="n">
        <f aca="false">COUNTIF(CAL!U:AF,B2360)</f>
        <v>1</v>
      </c>
      <c r="I2360" s="22" t="n">
        <v>12</v>
      </c>
      <c r="J2360" s="20"/>
    </row>
    <row r="2361" customFormat="false" ht="15.75" hidden="false" customHeight="true" outlineLevel="0" collapsed="false">
      <c r="B2361" s="19" t="n">
        <v>1785</v>
      </c>
      <c r="C2361" s="20" t="s">
        <v>4928</v>
      </c>
      <c r="D2361" s="20" t="s">
        <v>144</v>
      </c>
      <c r="E2361" s="24" t="s">
        <v>4929</v>
      </c>
      <c r="F2361" s="21" t="n">
        <v>35378</v>
      </c>
      <c r="G2361" s="22" t="s">
        <v>471</v>
      </c>
      <c r="H2361" s="23" t="n">
        <f aca="false">COUNTIF(CAL!U:AF,B2361)</f>
        <v>1</v>
      </c>
      <c r="I2361" s="22" t="n">
        <v>12</v>
      </c>
      <c r="J2361" s="20" t="s">
        <v>4862</v>
      </c>
    </row>
    <row r="2362" customFormat="false" ht="15.75" hidden="false" customHeight="true" outlineLevel="0" collapsed="false">
      <c r="B2362" s="19" t="n">
        <v>3482</v>
      </c>
      <c r="C2362" s="20" t="s">
        <v>4930</v>
      </c>
      <c r="D2362" s="20" t="s">
        <v>207</v>
      </c>
      <c r="E2362" s="21" t="s">
        <v>4931</v>
      </c>
      <c r="F2362" s="21" t="n">
        <v>35067</v>
      </c>
      <c r="G2362" s="22" t="s">
        <v>471</v>
      </c>
      <c r="H2362" s="23" t="n">
        <f aca="false">COUNTIF(CAL!U:AF,B2362)</f>
        <v>1</v>
      </c>
      <c r="I2362" s="22" t="n">
        <v>12</v>
      </c>
      <c r="J2362" s="20"/>
    </row>
    <row r="2363" customFormat="false" ht="15.75" hidden="false" customHeight="true" outlineLevel="0" collapsed="false">
      <c r="B2363" s="19" t="n">
        <v>3026</v>
      </c>
      <c r="C2363" s="20" t="s">
        <v>2709</v>
      </c>
      <c r="D2363" s="20" t="s">
        <v>168</v>
      </c>
      <c r="E2363" s="21" t="s">
        <v>4932</v>
      </c>
      <c r="F2363" s="21" t="n">
        <v>34821</v>
      </c>
      <c r="G2363" s="22" t="s">
        <v>471</v>
      </c>
      <c r="H2363" s="23" t="n">
        <f aca="false">COUNTIF(CAL!U:AF,B2363)</f>
        <v>1</v>
      </c>
      <c r="I2363" s="22" t="n">
        <v>12</v>
      </c>
      <c r="J2363" s="20"/>
    </row>
    <row r="2364" customFormat="false" ht="15.75" hidden="false" customHeight="true" outlineLevel="0" collapsed="false">
      <c r="B2364" s="19" t="n">
        <v>2131</v>
      </c>
      <c r="C2364" s="20" t="s">
        <v>4933</v>
      </c>
      <c r="D2364" s="20" t="s">
        <v>101</v>
      </c>
      <c r="E2364" s="21" t="s">
        <v>4934</v>
      </c>
      <c r="F2364" s="21" t="n">
        <v>34850</v>
      </c>
      <c r="G2364" s="22" t="s">
        <v>471</v>
      </c>
      <c r="H2364" s="23" t="n">
        <f aca="false">COUNTIF(CAL!U:AF,B2364)</f>
        <v>1</v>
      </c>
      <c r="I2364" s="22" t="n">
        <v>12</v>
      </c>
      <c r="J2364" s="20"/>
    </row>
    <row r="2365" customFormat="false" ht="15.75" hidden="false" customHeight="true" outlineLevel="0" collapsed="false">
      <c r="B2365" s="19" t="n">
        <v>3396</v>
      </c>
      <c r="C2365" s="20" t="s">
        <v>4935</v>
      </c>
      <c r="D2365" s="20" t="s">
        <v>318</v>
      </c>
      <c r="E2365" s="21" t="s">
        <v>4936</v>
      </c>
      <c r="F2365" s="21" t="n">
        <v>37174</v>
      </c>
      <c r="G2365" s="22" t="s">
        <v>471</v>
      </c>
      <c r="H2365" s="23" t="n">
        <f aca="false">COUNTIF(CAL!U:AF,B2365)</f>
        <v>1</v>
      </c>
      <c r="I2365" s="22" t="n">
        <v>12</v>
      </c>
      <c r="J2365" s="20"/>
    </row>
    <row r="2366" customFormat="false" ht="15.75" hidden="false" customHeight="true" outlineLevel="0" collapsed="false">
      <c r="B2366" s="19" t="n">
        <v>1044</v>
      </c>
      <c r="C2366" s="20" t="s">
        <v>4937</v>
      </c>
      <c r="D2366" s="20" t="s">
        <v>70</v>
      </c>
      <c r="E2366" s="21" t="s">
        <v>4938</v>
      </c>
      <c r="F2366" s="21" t="n">
        <v>35539</v>
      </c>
      <c r="G2366" s="22" t="s">
        <v>471</v>
      </c>
      <c r="H2366" s="23" t="n">
        <f aca="false">COUNTIF(CAL!U:AF,B2366)</f>
        <v>1</v>
      </c>
      <c r="I2366" s="22" t="n">
        <v>12</v>
      </c>
      <c r="J2366" s="20"/>
    </row>
    <row r="2367" customFormat="false" ht="15.75" hidden="false" customHeight="true" outlineLevel="0" collapsed="false">
      <c r="B2367" s="19" t="n">
        <v>3249</v>
      </c>
      <c r="C2367" s="20" t="s">
        <v>4939</v>
      </c>
      <c r="D2367" s="20" t="s">
        <v>79</v>
      </c>
      <c r="E2367" s="21" t="s">
        <v>4940</v>
      </c>
      <c r="F2367" s="21" t="n">
        <v>33063</v>
      </c>
      <c r="G2367" s="22" t="s">
        <v>471</v>
      </c>
      <c r="H2367" s="23" t="n">
        <f aca="false">COUNTIF(CAL!U:AF,B2367)</f>
        <v>1</v>
      </c>
      <c r="I2367" s="22" t="n">
        <v>12</v>
      </c>
      <c r="J2367" s="20"/>
    </row>
    <row r="2368" customFormat="false" ht="15.75" hidden="false" customHeight="true" outlineLevel="0" collapsed="false">
      <c r="B2368" s="19" t="n">
        <v>2459</v>
      </c>
      <c r="C2368" s="20" t="s">
        <v>4941</v>
      </c>
      <c r="D2368" s="20" t="s">
        <v>311</v>
      </c>
      <c r="E2368" s="21" t="s">
        <v>4942</v>
      </c>
      <c r="F2368" s="21" t="n">
        <v>33673</v>
      </c>
      <c r="G2368" s="22" t="s">
        <v>471</v>
      </c>
      <c r="H2368" s="23" t="n">
        <f aca="false">COUNTIF(CAL!U:AF,B2368)</f>
        <v>1</v>
      </c>
      <c r="I2368" s="22" t="n">
        <v>12</v>
      </c>
      <c r="J2368" s="20"/>
    </row>
    <row r="2369" customFormat="false" ht="15.75" hidden="false" customHeight="true" outlineLevel="0" collapsed="false">
      <c r="B2369" s="19" t="n">
        <v>2196</v>
      </c>
      <c r="C2369" s="20" t="s">
        <v>4943</v>
      </c>
      <c r="D2369" s="20" t="s">
        <v>123</v>
      </c>
      <c r="E2369" s="21" t="s">
        <v>4944</v>
      </c>
      <c r="F2369" s="21" t="n">
        <v>37758</v>
      </c>
      <c r="G2369" s="22" t="s">
        <v>471</v>
      </c>
      <c r="H2369" s="23" t="n">
        <f aca="false">COUNTIF(CAL!U:AF,B2369)</f>
        <v>1</v>
      </c>
      <c r="I2369" s="22" t="n">
        <v>12</v>
      </c>
      <c r="J2369" s="20"/>
    </row>
    <row r="2370" customFormat="false" ht="15.75" hidden="false" customHeight="true" outlineLevel="0" collapsed="false">
      <c r="B2370" s="19" t="n">
        <v>2720</v>
      </c>
      <c r="C2370" s="20" t="s">
        <v>1289</v>
      </c>
      <c r="D2370" s="20" t="s">
        <v>237</v>
      </c>
      <c r="E2370" s="21" t="s">
        <v>4945</v>
      </c>
      <c r="F2370" s="21" t="n">
        <v>36715</v>
      </c>
      <c r="G2370" s="22" t="s">
        <v>471</v>
      </c>
      <c r="H2370" s="23" t="n">
        <f aca="false">COUNTIF(CAL!U:AF,B2370)</f>
        <v>1</v>
      </c>
      <c r="I2370" s="22" t="n">
        <v>12</v>
      </c>
      <c r="J2370" s="20"/>
    </row>
    <row r="2371" customFormat="false" ht="15.75" hidden="false" customHeight="true" outlineLevel="0" collapsed="false">
      <c r="B2371" s="19" t="n">
        <v>2518</v>
      </c>
      <c r="C2371" s="20" t="s">
        <v>4946</v>
      </c>
      <c r="D2371" s="20" t="s">
        <v>347</v>
      </c>
      <c r="E2371" s="21" t="s">
        <v>4947</v>
      </c>
      <c r="F2371" s="21" t="n">
        <v>33695</v>
      </c>
      <c r="G2371" s="22" t="s">
        <v>471</v>
      </c>
      <c r="H2371" s="23" t="n">
        <f aca="false">COUNTIF(CAL!U:AF,B2371)</f>
        <v>1</v>
      </c>
      <c r="I2371" s="22" t="n">
        <v>12</v>
      </c>
      <c r="J2371" s="20"/>
    </row>
    <row r="2372" customFormat="false" ht="15.75" hidden="false" customHeight="true" outlineLevel="0" collapsed="false">
      <c r="B2372" s="19" t="n">
        <v>2803</v>
      </c>
      <c r="C2372" s="20" t="s">
        <v>4948</v>
      </c>
      <c r="D2372" s="20" t="s">
        <v>88</v>
      </c>
      <c r="E2372" s="21" t="s">
        <v>4949</v>
      </c>
      <c r="F2372" s="21" t="n">
        <v>34489</v>
      </c>
      <c r="G2372" s="22" t="s">
        <v>481</v>
      </c>
      <c r="H2372" s="23" t="n">
        <f aca="false">COUNTIF(CAL!U:AF,B2372)</f>
        <v>1</v>
      </c>
      <c r="I2372" s="22" t="n">
        <v>12</v>
      </c>
      <c r="J2372" s="20"/>
    </row>
    <row r="2373" customFormat="false" ht="15.75" hidden="false" customHeight="true" outlineLevel="0" collapsed="false">
      <c r="B2373" s="19" t="n">
        <v>3366</v>
      </c>
      <c r="C2373" s="20" t="s">
        <v>2950</v>
      </c>
      <c r="D2373" s="20" t="s">
        <v>274</v>
      </c>
      <c r="E2373" s="21" t="s">
        <v>4950</v>
      </c>
      <c r="F2373" s="21" t="n">
        <v>34305</v>
      </c>
      <c r="G2373" s="22" t="s">
        <v>471</v>
      </c>
      <c r="H2373" s="23" t="n">
        <f aca="false">COUNTIF(CAL!U:AF,B2373)</f>
        <v>1</v>
      </c>
      <c r="I2373" s="22" t="n">
        <v>12</v>
      </c>
      <c r="J2373" s="20"/>
    </row>
    <row r="2374" customFormat="false" ht="15.75" hidden="false" customHeight="true" outlineLevel="0" collapsed="false">
      <c r="B2374" s="19" t="n">
        <v>1281</v>
      </c>
      <c r="C2374" s="20" t="s">
        <v>4951</v>
      </c>
      <c r="D2374" s="20" t="s">
        <v>189</v>
      </c>
      <c r="E2374" s="21" t="s">
        <v>4952</v>
      </c>
      <c r="F2374" s="21" t="n">
        <v>35910</v>
      </c>
      <c r="G2374" s="22" t="s">
        <v>471</v>
      </c>
      <c r="H2374" s="23" t="n">
        <f aca="false">COUNTIF(CAL!U:AF,B2374)</f>
        <v>1</v>
      </c>
      <c r="I2374" s="22" t="n">
        <v>12</v>
      </c>
      <c r="J2374" s="20"/>
    </row>
    <row r="2375" customFormat="false" ht="15.75" hidden="false" customHeight="true" outlineLevel="0" collapsed="false">
      <c r="B2375" s="19" t="n">
        <v>2819</v>
      </c>
      <c r="C2375" s="20" t="s">
        <v>4953</v>
      </c>
      <c r="D2375" s="20" t="s">
        <v>279</v>
      </c>
      <c r="E2375" s="24" t="s">
        <v>4954</v>
      </c>
      <c r="F2375" s="21" t="n">
        <v>31939</v>
      </c>
      <c r="G2375" s="22" t="s">
        <v>471</v>
      </c>
      <c r="H2375" s="23" t="n">
        <f aca="false">COUNTIF(CAL!U:AF,B2375)</f>
        <v>1</v>
      </c>
      <c r="I2375" s="22" t="n">
        <v>12</v>
      </c>
      <c r="J2375" s="20"/>
    </row>
    <row r="2376" customFormat="false" ht="15.75" hidden="false" customHeight="true" outlineLevel="0" collapsed="false">
      <c r="B2376" s="19" t="n">
        <v>1885</v>
      </c>
      <c r="C2376" s="20" t="s">
        <v>4955</v>
      </c>
      <c r="D2376" s="20" t="s">
        <v>39</v>
      </c>
      <c r="E2376" s="21" t="s">
        <v>4956</v>
      </c>
      <c r="F2376" s="21" t="n">
        <v>36236</v>
      </c>
      <c r="G2376" s="22" t="s">
        <v>471</v>
      </c>
      <c r="H2376" s="23" t="n">
        <f aca="false">COUNTIF(CAL!U:AF,B2376)</f>
        <v>1</v>
      </c>
      <c r="I2376" s="22" t="n">
        <v>12</v>
      </c>
      <c r="J2376" s="20"/>
    </row>
    <row r="2377" customFormat="false" ht="15.75" hidden="false" customHeight="true" outlineLevel="0" collapsed="false">
      <c r="B2377" s="19" t="n">
        <v>3245</v>
      </c>
      <c r="C2377" s="20" t="s">
        <v>4957</v>
      </c>
      <c r="D2377" s="20" t="s">
        <v>171</v>
      </c>
      <c r="E2377" s="21" t="s">
        <v>4958</v>
      </c>
      <c r="F2377" s="21" t="n">
        <v>37061</v>
      </c>
      <c r="G2377" s="22" t="s">
        <v>471</v>
      </c>
      <c r="H2377" s="23" t="n">
        <f aca="false">COUNTIF(CAL!U:AF,B2377)</f>
        <v>1</v>
      </c>
      <c r="I2377" s="22" t="n">
        <v>12</v>
      </c>
      <c r="J2377" s="20"/>
    </row>
    <row r="2378" customFormat="false" ht="15.75" hidden="false" customHeight="true" outlineLevel="0" collapsed="false">
      <c r="B2378" s="19" t="n">
        <v>2166</v>
      </c>
      <c r="C2378" s="20" t="s">
        <v>4959</v>
      </c>
      <c r="D2378" s="20" t="s">
        <v>365</v>
      </c>
      <c r="E2378" s="21" t="s">
        <v>4960</v>
      </c>
      <c r="F2378" s="21" t="n">
        <v>37272</v>
      </c>
      <c r="G2378" s="22" t="s">
        <v>471</v>
      </c>
      <c r="H2378" s="23" t="n">
        <f aca="false">COUNTIF(CAL!U:AF,B2378)</f>
        <v>1</v>
      </c>
      <c r="I2378" s="22" t="n">
        <v>12</v>
      </c>
      <c r="J2378" s="20"/>
    </row>
    <row r="2379" customFormat="false" ht="15.75" hidden="false" customHeight="true" outlineLevel="0" collapsed="false">
      <c r="B2379" s="19" t="n">
        <v>2607</v>
      </c>
      <c r="C2379" s="20" t="s">
        <v>4961</v>
      </c>
      <c r="D2379" s="20" t="s">
        <v>331</v>
      </c>
      <c r="E2379" s="24" t="s">
        <v>4962</v>
      </c>
      <c r="F2379" s="21" t="n">
        <v>39211</v>
      </c>
      <c r="G2379" s="22" t="s">
        <v>471</v>
      </c>
      <c r="H2379" s="23" t="n">
        <f aca="false">COUNTIF(CAL!U:AF,B2379)</f>
        <v>1</v>
      </c>
      <c r="I2379" s="22" t="n">
        <v>12</v>
      </c>
      <c r="J2379" s="20"/>
    </row>
    <row r="2380" customFormat="false" ht="15.75" hidden="false" customHeight="true" outlineLevel="0" collapsed="false">
      <c r="B2380" s="19" t="n">
        <v>3596</v>
      </c>
      <c r="C2380" s="20" t="s">
        <v>4963</v>
      </c>
      <c r="D2380" s="20" t="s">
        <v>167</v>
      </c>
      <c r="E2380" s="21" t="s">
        <v>4964</v>
      </c>
      <c r="F2380" s="21" t="n">
        <v>34509</v>
      </c>
      <c r="G2380" s="22" t="s">
        <v>471</v>
      </c>
      <c r="H2380" s="23" t="n">
        <f aca="false">COUNTIF(CAL!U:AF,B2380)</f>
        <v>1</v>
      </c>
      <c r="I2380" s="22" t="n">
        <v>12</v>
      </c>
      <c r="J2380" s="20"/>
    </row>
    <row r="2381" customFormat="false" ht="15.75" hidden="false" customHeight="true" outlineLevel="0" collapsed="false">
      <c r="B2381" s="19" t="n">
        <v>2456</v>
      </c>
      <c r="C2381" s="20" t="s">
        <v>1167</v>
      </c>
      <c r="D2381" s="20" t="s">
        <v>339</v>
      </c>
      <c r="E2381" s="21" t="s">
        <v>4965</v>
      </c>
      <c r="F2381" s="21" t="n">
        <v>37818</v>
      </c>
      <c r="G2381" s="22" t="s">
        <v>471</v>
      </c>
      <c r="H2381" s="23" t="n">
        <f aca="false">COUNTIF(CAL!U:AF,B2381)</f>
        <v>1</v>
      </c>
      <c r="I2381" s="22" t="n">
        <v>12</v>
      </c>
      <c r="J2381" s="20"/>
    </row>
    <row r="2382" customFormat="false" ht="15.75" hidden="false" customHeight="true" outlineLevel="0" collapsed="false">
      <c r="B2382" s="19" t="n">
        <v>2954</v>
      </c>
      <c r="C2382" s="20" t="s">
        <v>4966</v>
      </c>
      <c r="D2382" s="20" t="s">
        <v>250</v>
      </c>
      <c r="E2382" s="21" t="s">
        <v>4967</v>
      </c>
      <c r="F2382" s="21" t="n">
        <v>36528</v>
      </c>
      <c r="G2382" s="22" t="s">
        <v>504</v>
      </c>
      <c r="H2382" s="23" t="n">
        <f aca="false">COUNTIF(CAL!U:AF,B2382)</f>
        <v>1</v>
      </c>
      <c r="I2382" s="22" t="n">
        <v>12</v>
      </c>
      <c r="J2382" s="20"/>
    </row>
    <row r="2383" customFormat="false" ht="15.75" hidden="false" customHeight="true" outlineLevel="0" collapsed="false">
      <c r="B2383" s="19" t="n">
        <v>3485</v>
      </c>
      <c r="C2383" s="20" t="s">
        <v>4596</v>
      </c>
      <c r="D2383" s="20" t="s">
        <v>155</v>
      </c>
      <c r="E2383" s="21" t="s">
        <v>4968</v>
      </c>
      <c r="F2383" s="21" t="n">
        <v>34934</v>
      </c>
      <c r="G2383" s="22" t="s">
        <v>471</v>
      </c>
      <c r="H2383" s="23" t="n">
        <f aca="false">COUNTIF(CAL!U:AF,B2383)</f>
        <v>1</v>
      </c>
      <c r="I2383" s="22" t="n">
        <v>12</v>
      </c>
      <c r="J2383" s="20"/>
    </row>
    <row r="2384" customFormat="false" ht="15.75" hidden="false" customHeight="true" outlineLevel="0" collapsed="false">
      <c r="B2384" s="19" t="n">
        <v>1159</v>
      </c>
      <c r="C2384" s="20" t="s">
        <v>925</v>
      </c>
      <c r="D2384" s="20" t="s">
        <v>187</v>
      </c>
      <c r="E2384" s="21" t="s">
        <v>4969</v>
      </c>
      <c r="F2384" s="21" t="n">
        <v>38069</v>
      </c>
      <c r="G2384" s="22" t="s">
        <v>471</v>
      </c>
      <c r="H2384" s="23" t="n">
        <f aca="false">COUNTIF(CAL!U:AF,B2384)</f>
        <v>1</v>
      </c>
      <c r="I2384" s="22" t="n">
        <v>12</v>
      </c>
      <c r="J2384" s="20"/>
    </row>
    <row r="2385" customFormat="false" ht="15.75" hidden="false" customHeight="true" outlineLevel="0" collapsed="false">
      <c r="B2385" s="19" t="n">
        <v>1506</v>
      </c>
      <c r="C2385" s="20" t="s">
        <v>1459</v>
      </c>
      <c r="D2385" s="20" t="s">
        <v>233</v>
      </c>
      <c r="E2385" s="21" t="s">
        <v>4970</v>
      </c>
      <c r="F2385" s="21" t="n">
        <v>34974</v>
      </c>
      <c r="G2385" s="22" t="s">
        <v>471</v>
      </c>
      <c r="H2385" s="23" t="n">
        <f aca="false">COUNTIF(CAL!U:AF,B2385)</f>
        <v>1</v>
      </c>
      <c r="I2385" s="22" t="n">
        <v>12</v>
      </c>
      <c r="J2385" s="20"/>
    </row>
    <row r="2386" customFormat="false" ht="15.75" hidden="false" customHeight="true" outlineLevel="0" collapsed="false">
      <c r="B2386" s="19" t="n">
        <v>1404</v>
      </c>
      <c r="C2386" s="20" t="s">
        <v>4971</v>
      </c>
      <c r="D2386" s="20" t="s">
        <v>246</v>
      </c>
      <c r="E2386" s="24" t="s">
        <v>4972</v>
      </c>
      <c r="F2386" s="21" t="n">
        <v>36165</v>
      </c>
      <c r="G2386" s="22" t="s">
        <v>471</v>
      </c>
      <c r="H2386" s="23" t="n">
        <f aca="false">COUNTIF(CAL!U:AF,B2386)</f>
        <v>1</v>
      </c>
      <c r="I2386" s="22" t="n">
        <v>12</v>
      </c>
      <c r="J2386" s="20"/>
    </row>
    <row r="2387" customFormat="false" ht="15.75" hidden="false" customHeight="true" outlineLevel="0" collapsed="false">
      <c r="B2387" s="19" t="n">
        <v>3236</v>
      </c>
      <c r="C2387" s="20" t="s">
        <v>2843</v>
      </c>
      <c r="D2387" s="20" t="s">
        <v>279</v>
      </c>
      <c r="E2387" s="21" t="s">
        <v>4973</v>
      </c>
      <c r="F2387" s="21" t="n">
        <v>34432</v>
      </c>
      <c r="G2387" s="22" t="s">
        <v>471</v>
      </c>
      <c r="H2387" s="23" t="n">
        <f aca="false">COUNTIF(CAL!U:AF,B2387)</f>
        <v>1</v>
      </c>
      <c r="I2387" s="22" t="n">
        <v>12</v>
      </c>
      <c r="J2387" s="20"/>
    </row>
    <row r="2388" customFormat="false" ht="15.75" hidden="false" customHeight="true" outlineLevel="0" collapsed="false">
      <c r="B2388" s="19" t="n">
        <v>1328</v>
      </c>
      <c r="C2388" s="20" t="s">
        <v>3375</v>
      </c>
      <c r="D2388" s="20" t="s">
        <v>251</v>
      </c>
      <c r="E2388" s="21" t="s">
        <v>4974</v>
      </c>
      <c r="F2388" s="21" t="n">
        <v>34252</v>
      </c>
      <c r="G2388" s="22" t="s">
        <v>471</v>
      </c>
      <c r="H2388" s="23" t="n">
        <f aca="false">COUNTIF(CAL!U:AF,B2388)</f>
        <v>1</v>
      </c>
      <c r="I2388" s="22" t="n">
        <v>12</v>
      </c>
      <c r="J2388" s="20"/>
    </row>
    <row r="2389" customFormat="false" ht="15.75" hidden="false" customHeight="true" outlineLevel="0" collapsed="false">
      <c r="B2389" s="19" t="n">
        <v>3285</v>
      </c>
      <c r="C2389" s="20" t="s">
        <v>4975</v>
      </c>
      <c r="D2389" s="20" t="s">
        <v>183</v>
      </c>
      <c r="E2389" s="21" t="s">
        <v>4976</v>
      </c>
      <c r="F2389" s="21" t="n">
        <v>33745</v>
      </c>
      <c r="G2389" s="22" t="s">
        <v>471</v>
      </c>
      <c r="H2389" s="23" t="n">
        <f aca="false">COUNTIF(CAL!U:AF,B2389)</f>
        <v>1</v>
      </c>
      <c r="I2389" s="22" t="n">
        <v>12</v>
      </c>
      <c r="J2389" s="20"/>
    </row>
    <row r="2390" customFormat="false" ht="15.75" hidden="false" customHeight="true" outlineLevel="0" collapsed="false">
      <c r="B2390" s="19" t="n">
        <v>2398</v>
      </c>
      <c r="C2390" s="20" t="s">
        <v>4977</v>
      </c>
      <c r="D2390" s="20" t="s">
        <v>104</v>
      </c>
      <c r="E2390" s="21" t="s">
        <v>4978</v>
      </c>
      <c r="F2390" s="21" t="n">
        <v>37334</v>
      </c>
      <c r="G2390" s="22" t="s">
        <v>471</v>
      </c>
      <c r="H2390" s="23" t="n">
        <f aca="false">COUNTIF(CAL!U:AF,B2390)</f>
        <v>1</v>
      </c>
      <c r="I2390" s="22" t="n">
        <v>12</v>
      </c>
      <c r="J2390" s="20"/>
    </row>
    <row r="2391" customFormat="false" ht="15.75" hidden="false" customHeight="true" outlineLevel="0" collapsed="false">
      <c r="B2391" s="19" t="n">
        <v>3128</v>
      </c>
      <c r="C2391" s="20" t="s">
        <v>4979</v>
      </c>
      <c r="D2391" s="20" t="s">
        <v>268</v>
      </c>
      <c r="E2391" s="21" t="s">
        <v>4980</v>
      </c>
      <c r="F2391" s="21" t="n">
        <v>37905</v>
      </c>
      <c r="G2391" s="22" t="s">
        <v>471</v>
      </c>
      <c r="H2391" s="23" t="n">
        <f aca="false">COUNTIF(CAL!U:AF,B2391)</f>
        <v>1</v>
      </c>
      <c r="I2391" s="22" t="n">
        <v>12</v>
      </c>
      <c r="J2391" s="20"/>
    </row>
    <row r="2392" customFormat="false" ht="15.75" hidden="false" customHeight="true" outlineLevel="0" collapsed="false">
      <c r="B2392" s="19" t="n">
        <v>3145</v>
      </c>
      <c r="C2392" s="20" t="s">
        <v>786</v>
      </c>
      <c r="D2392" s="20" t="s">
        <v>318</v>
      </c>
      <c r="E2392" s="21" t="s">
        <v>4981</v>
      </c>
      <c r="F2392" s="21" t="n">
        <v>36636</v>
      </c>
      <c r="G2392" s="22" t="s">
        <v>471</v>
      </c>
      <c r="H2392" s="23" t="n">
        <f aca="false">COUNTIF(CAL!U:AF,B2392)</f>
        <v>1</v>
      </c>
      <c r="I2392" s="22" t="n">
        <v>12</v>
      </c>
      <c r="J2392" s="20"/>
    </row>
    <row r="2393" customFormat="false" ht="15.75" hidden="false" customHeight="true" outlineLevel="0" collapsed="false">
      <c r="B2393" s="19" t="n">
        <v>2642</v>
      </c>
      <c r="C2393" s="20" t="s">
        <v>899</v>
      </c>
      <c r="D2393" s="20" t="s">
        <v>183</v>
      </c>
      <c r="E2393" s="24" t="s">
        <v>4982</v>
      </c>
      <c r="F2393" s="21" t="n">
        <v>34399</v>
      </c>
      <c r="G2393" s="22" t="s">
        <v>471</v>
      </c>
      <c r="H2393" s="23" t="n">
        <f aca="false">COUNTIF(CAL!U:AF,B2393)</f>
        <v>1</v>
      </c>
      <c r="I2393" s="22" t="n">
        <v>12</v>
      </c>
      <c r="J2393" s="20"/>
    </row>
    <row r="2394" customFormat="false" ht="15.75" hidden="false" customHeight="true" outlineLevel="0" collapsed="false">
      <c r="B2394" s="19" t="n">
        <v>2650</v>
      </c>
      <c r="C2394" s="20" t="s">
        <v>4983</v>
      </c>
      <c r="D2394" s="20" t="s">
        <v>101</v>
      </c>
      <c r="E2394" s="24" t="s">
        <v>4984</v>
      </c>
      <c r="F2394" s="21" t="n">
        <v>35130</v>
      </c>
      <c r="G2394" s="22" t="s">
        <v>471</v>
      </c>
      <c r="H2394" s="23" t="n">
        <f aca="false">COUNTIF(CAL!U:AF,B2394)</f>
        <v>1</v>
      </c>
      <c r="I2394" s="22" t="n">
        <v>12</v>
      </c>
      <c r="J2394" s="20"/>
    </row>
    <row r="2395" customFormat="false" ht="15.75" hidden="false" customHeight="true" outlineLevel="0" collapsed="false">
      <c r="B2395" s="19" t="n">
        <v>2825</v>
      </c>
      <c r="C2395" s="20" t="s">
        <v>4985</v>
      </c>
      <c r="D2395" s="20" t="s">
        <v>241</v>
      </c>
      <c r="E2395" s="21" t="s">
        <v>4986</v>
      </c>
      <c r="F2395" s="21" t="n">
        <v>37031</v>
      </c>
      <c r="G2395" s="22" t="s">
        <v>471</v>
      </c>
      <c r="H2395" s="23" t="n">
        <f aca="false">COUNTIF(CAL!U:AF,B2395)</f>
        <v>1</v>
      </c>
      <c r="I2395" s="22" t="n">
        <v>12</v>
      </c>
      <c r="J2395" s="20"/>
    </row>
    <row r="2396" customFormat="false" ht="15.75" hidden="false" customHeight="true" outlineLevel="0" collapsed="false">
      <c r="B2396" s="19" t="n">
        <v>2208</v>
      </c>
      <c r="C2396" s="20" t="s">
        <v>4987</v>
      </c>
      <c r="D2396" s="20" t="s">
        <v>193</v>
      </c>
      <c r="E2396" s="21" t="s">
        <v>4988</v>
      </c>
      <c r="F2396" s="21" t="n">
        <v>36051</v>
      </c>
      <c r="G2396" s="22" t="s">
        <v>471</v>
      </c>
      <c r="H2396" s="23" t="n">
        <f aca="false">COUNTIF(CAL!U:AF,B2396)</f>
        <v>1</v>
      </c>
      <c r="I2396" s="22" t="n">
        <v>12</v>
      </c>
      <c r="J2396" s="20"/>
    </row>
    <row r="2397" customFormat="false" ht="15.75" hidden="false" customHeight="true" outlineLevel="0" collapsed="false">
      <c r="B2397" s="19" t="n">
        <v>1904</v>
      </c>
      <c r="C2397" s="20" t="s">
        <v>1011</v>
      </c>
      <c r="D2397" s="20" t="s">
        <v>81</v>
      </c>
      <c r="E2397" s="21" t="s">
        <v>4989</v>
      </c>
      <c r="F2397" s="21" t="n">
        <v>36955</v>
      </c>
      <c r="G2397" s="22" t="s">
        <v>471</v>
      </c>
      <c r="H2397" s="23" t="n">
        <f aca="false">COUNTIF(CAL!U:AF,B2397)</f>
        <v>1</v>
      </c>
      <c r="I2397" s="22" t="n">
        <v>12</v>
      </c>
      <c r="J2397" s="20"/>
    </row>
    <row r="2398" customFormat="false" ht="15.75" hidden="false" customHeight="true" outlineLevel="0" collapsed="false">
      <c r="B2398" s="19" t="n">
        <v>3551</v>
      </c>
      <c r="C2398" s="20" t="s">
        <v>1091</v>
      </c>
      <c r="D2398" s="20" t="s">
        <v>328</v>
      </c>
      <c r="E2398" s="20" t="s">
        <v>4990</v>
      </c>
      <c r="F2398" s="21" t="n">
        <v>35623</v>
      </c>
      <c r="G2398" s="22" t="s">
        <v>471</v>
      </c>
      <c r="H2398" s="23" t="n">
        <f aca="false">COUNTIF(CAL!U:AF,B2398)</f>
        <v>1</v>
      </c>
      <c r="I2398" s="22" t="n">
        <v>12</v>
      </c>
      <c r="J2398" s="20"/>
    </row>
    <row r="2399" customFormat="false" ht="15.75" hidden="false" customHeight="true" outlineLevel="0" collapsed="false">
      <c r="B2399" s="19" t="n">
        <v>3350</v>
      </c>
      <c r="C2399" s="20" t="s">
        <v>4991</v>
      </c>
      <c r="D2399" s="20" t="s">
        <v>366</v>
      </c>
      <c r="E2399" s="21" t="s">
        <v>4992</v>
      </c>
      <c r="F2399" s="21" t="n">
        <v>37667</v>
      </c>
      <c r="G2399" s="22" t="s">
        <v>471</v>
      </c>
      <c r="H2399" s="23" t="n">
        <f aca="false">COUNTIF(CAL!U:AF,B2399)</f>
        <v>1</v>
      </c>
      <c r="I2399" s="22" t="n">
        <v>12</v>
      </c>
      <c r="J2399" s="20"/>
    </row>
    <row r="2400" customFormat="false" ht="15.75" hidden="false" customHeight="true" outlineLevel="0" collapsed="false">
      <c r="B2400" s="19" t="n">
        <v>1972</v>
      </c>
      <c r="C2400" s="20" t="s">
        <v>4993</v>
      </c>
      <c r="D2400" s="20" t="s">
        <v>201</v>
      </c>
      <c r="E2400" s="21" t="s">
        <v>4994</v>
      </c>
      <c r="F2400" s="21" t="n">
        <v>36127</v>
      </c>
      <c r="G2400" s="22" t="s">
        <v>471</v>
      </c>
      <c r="H2400" s="23" t="n">
        <f aca="false">COUNTIF(CAL!U:AF,B2400)</f>
        <v>1</v>
      </c>
      <c r="I2400" s="22" t="n">
        <v>12</v>
      </c>
      <c r="J2400" s="20"/>
    </row>
    <row r="2401" customFormat="false" ht="15.75" hidden="false" customHeight="true" outlineLevel="0" collapsed="false">
      <c r="B2401" s="19" t="n">
        <v>2940</v>
      </c>
      <c r="C2401" s="20" t="s">
        <v>4995</v>
      </c>
      <c r="D2401" s="20" t="s">
        <v>178</v>
      </c>
      <c r="E2401" s="24" t="s">
        <v>4996</v>
      </c>
      <c r="F2401" s="21" t="n">
        <v>34466</v>
      </c>
      <c r="G2401" s="22" t="s">
        <v>471</v>
      </c>
      <c r="H2401" s="23" t="n">
        <f aca="false">COUNTIF(CAL!U:AF,B2401)</f>
        <v>1</v>
      </c>
      <c r="I2401" s="22" t="n">
        <v>12</v>
      </c>
      <c r="J2401" s="20"/>
    </row>
    <row r="2402" customFormat="false" ht="15.75" hidden="false" customHeight="true" outlineLevel="0" collapsed="false">
      <c r="B2402" s="19" t="n">
        <v>2544</v>
      </c>
      <c r="C2402" s="20" t="s">
        <v>4997</v>
      </c>
      <c r="D2402" s="20" t="s">
        <v>92</v>
      </c>
      <c r="E2402" s="21" t="s">
        <v>4998</v>
      </c>
      <c r="F2402" s="21" t="n">
        <v>36482</v>
      </c>
      <c r="G2402" s="22" t="s">
        <v>471</v>
      </c>
      <c r="H2402" s="23" t="n">
        <f aca="false">COUNTIF(CAL!U:AF,B2402)</f>
        <v>1</v>
      </c>
      <c r="I2402" s="22" t="n">
        <v>13</v>
      </c>
      <c r="J2402" s="20"/>
    </row>
    <row r="2403" customFormat="false" ht="15.75" hidden="false" customHeight="true" outlineLevel="0" collapsed="false">
      <c r="B2403" s="19" t="n">
        <v>1058</v>
      </c>
      <c r="C2403" s="20" t="s">
        <v>4999</v>
      </c>
      <c r="D2403" s="20" t="s">
        <v>143</v>
      </c>
      <c r="E2403" s="21" t="s">
        <v>5000</v>
      </c>
      <c r="F2403" s="21" t="n">
        <v>34775</v>
      </c>
      <c r="G2403" s="22" t="s">
        <v>471</v>
      </c>
      <c r="H2403" s="23" t="n">
        <f aca="false">COUNTIF(CAL!U:AF,B2403)</f>
        <v>1</v>
      </c>
      <c r="I2403" s="22" t="n">
        <v>13</v>
      </c>
      <c r="J2403" s="20"/>
    </row>
    <row r="2404" customFormat="false" ht="15.75" hidden="false" customHeight="true" outlineLevel="0" collapsed="false">
      <c r="B2404" s="19" t="n">
        <v>2438</v>
      </c>
      <c r="C2404" s="20" t="s">
        <v>5001</v>
      </c>
      <c r="D2404" s="20" t="s">
        <v>261</v>
      </c>
      <c r="E2404" s="21" t="s">
        <v>5002</v>
      </c>
      <c r="F2404" s="21" t="n">
        <v>36871</v>
      </c>
      <c r="G2404" s="22" t="s">
        <v>471</v>
      </c>
      <c r="H2404" s="23" t="n">
        <f aca="false">COUNTIF(CAL!U:AF,B2404)</f>
        <v>1</v>
      </c>
      <c r="I2404" s="22" t="n">
        <v>13</v>
      </c>
      <c r="J2404" s="20"/>
    </row>
    <row r="2405" customFormat="false" ht="15.75" hidden="false" customHeight="true" outlineLevel="0" collapsed="false">
      <c r="B2405" s="19" t="n">
        <v>3255</v>
      </c>
      <c r="C2405" s="20" t="s">
        <v>2599</v>
      </c>
      <c r="D2405" s="20" t="s">
        <v>319</v>
      </c>
      <c r="E2405" s="21" t="s">
        <v>5003</v>
      </c>
      <c r="F2405" s="21" t="n">
        <v>38045</v>
      </c>
      <c r="G2405" s="22" t="s">
        <v>471</v>
      </c>
      <c r="H2405" s="23" t="n">
        <f aca="false">COUNTIF(CAL!U:AF,B2405)</f>
        <v>1</v>
      </c>
      <c r="I2405" s="22" t="n">
        <v>13</v>
      </c>
      <c r="J2405" s="20"/>
    </row>
    <row r="2406" customFormat="false" ht="15.75" hidden="false" customHeight="true" outlineLevel="0" collapsed="false">
      <c r="B2406" s="19" t="n">
        <v>1285</v>
      </c>
      <c r="C2406" s="20" t="s">
        <v>5004</v>
      </c>
      <c r="D2406" s="20" t="s">
        <v>57</v>
      </c>
      <c r="E2406" s="21" t="s">
        <v>5005</v>
      </c>
      <c r="F2406" s="21" t="n">
        <v>39161</v>
      </c>
      <c r="G2406" s="22" t="s">
        <v>471</v>
      </c>
      <c r="H2406" s="23" t="n">
        <f aca="false">COUNTIF(CAL!U:AF,B2406)</f>
        <v>1</v>
      </c>
      <c r="I2406" s="22" t="n">
        <v>13</v>
      </c>
      <c r="J2406" s="20"/>
    </row>
    <row r="2407" customFormat="false" ht="15.75" hidden="false" customHeight="true" outlineLevel="0" collapsed="false">
      <c r="B2407" s="19" t="n">
        <v>1415</v>
      </c>
      <c r="C2407" s="20" t="s">
        <v>5006</v>
      </c>
      <c r="D2407" s="20" t="s">
        <v>253</v>
      </c>
      <c r="E2407" s="21" t="s">
        <v>5007</v>
      </c>
      <c r="F2407" s="21" t="n">
        <v>31513</v>
      </c>
      <c r="G2407" s="22" t="s">
        <v>471</v>
      </c>
      <c r="H2407" s="23" t="n">
        <f aca="false">COUNTIF(CAL!U:AF,B2407)</f>
        <v>1</v>
      </c>
      <c r="I2407" s="22" t="n">
        <v>13</v>
      </c>
      <c r="J2407" s="20"/>
    </row>
    <row r="2408" customFormat="false" ht="15.75" hidden="false" customHeight="true" outlineLevel="0" collapsed="false">
      <c r="B2408" s="19" t="n">
        <v>3185</v>
      </c>
      <c r="C2408" s="20" t="s">
        <v>1257</v>
      </c>
      <c r="D2408" s="20" t="s">
        <v>59</v>
      </c>
      <c r="E2408" s="21" t="s">
        <v>5008</v>
      </c>
      <c r="F2408" s="21" t="n">
        <v>36175</v>
      </c>
      <c r="G2408" s="22" t="s">
        <v>471</v>
      </c>
      <c r="H2408" s="23" t="n">
        <f aca="false">COUNTIF(CAL!U:AF,B2408)</f>
        <v>1</v>
      </c>
      <c r="I2408" s="22" t="n">
        <v>13</v>
      </c>
      <c r="J2408" s="20" t="s">
        <v>5009</v>
      </c>
    </row>
    <row r="2409" customFormat="false" ht="15.75" hidden="false" customHeight="true" outlineLevel="0" collapsed="false">
      <c r="B2409" s="19" t="n">
        <v>3506</v>
      </c>
      <c r="C2409" s="20" t="s">
        <v>5010</v>
      </c>
      <c r="D2409" s="20" t="s">
        <v>365</v>
      </c>
      <c r="E2409" s="24" t="s">
        <v>5011</v>
      </c>
      <c r="F2409" s="21" t="n">
        <v>32628</v>
      </c>
      <c r="G2409" s="22" t="s">
        <v>471</v>
      </c>
      <c r="H2409" s="23" t="n">
        <f aca="false">COUNTIF(CAL!U:AF,B2409)</f>
        <v>1</v>
      </c>
      <c r="I2409" s="22" t="n">
        <v>13</v>
      </c>
      <c r="J2409" s="20"/>
    </row>
    <row r="2410" customFormat="false" ht="15.75" hidden="false" customHeight="true" outlineLevel="0" collapsed="false">
      <c r="B2410" s="19" t="n">
        <v>3067</v>
      </c>
      <c r="C2410" s="20" t="s">
        <v>2284</v>
      </c>
      <c r="D2410" s="20" t="s">
        <v>172</v>
      </c>
      <c r="E2410" s="21" t="s">
        <v>5012</v>
      </c>
      <c r="F2410" s="21" t="n">
        <v>37196</v>
      </c>
      <c r="G2410" s="22" t="s">
        <v>471</v>
      </c>
      <c r="H2410" s="23" t="n">
        <f aca="false">COUNTIF(CAL!U:AF,B2410)</f>
        <v>1</v>
      </c>
      <c r="I2410" s="22" t="n">
        <v>13</v>
      </c>
      <c r="J2410" s="20" t="s">
        <v>1651</v>
      </c>
    </row>
    <row r="2411" customFormat="false" ht="15.75" hidden="false" customHeight="true" outlineLevel="0" collapsed="false">
      <c r="B2411" s="19" t="n">
        <v>1646</v>
      </c>
      <c r="C2411" s="20" t="s">
        <v>5013</v>
      </c>
      <c r="D2411" s="20" t="s">
        <v>67</v>
      </c>
      <c r="E2411" s="21" t="s">
        <v>5014</v>
      </c>
      <c r="F2411" s="21" t="n">
        <v>38718</v>
      </c>
      <c r="G2411" s="22" t="s">
        <v>471</v>
      </c>
      <c r="H2411" s="23" t="n">
        <f aca="false">COUNTIF(CAL!U:AF,B2411)</f>
        <v>1</v>
      </c>
      <c r="I2411" s="22" t="n">
        <v>13</v>
      </c>
      <c r="J2411" s="20"/>
    </row>
    <row r="2412" customFormat="false" ht="15.75" hidden="false" customHeight="true" outlineLevel="0" collapsed="false">
      <c r="B2412" s="19" t="n">
        <v>1507</v>
      </c>
      <c r="C2412" s="20" t="s">
        <v>5015</v>
      </c>
      <c r="D2412" s="20" t="s">
        <v>233</v>
      </c>
      <c r="E2412" s="21" t="s">
        <v>5016</v>
      </c>
      <c r="F2412" s="21" t="n">
        <v>33658</v>
      </c>
      <c r="G2412" s="22" t="s">
        <v>471</v>
      </c>
      <c r="H2412" s="23" t="n">
        <f aca="false">COUNTIF(CAL!U:AF,B2412)</f>
        <v>1</v>
      </c>
      <c r="I2412" s="22" t="n">
        <v>13</v>
      </c>
      <c r="J2412" s="20"/>
    </row>
    <row r="2413" customFormat="false" ht="15.75" hidden="false" customHeight="true" outlineLevel="0" collapsed="false">
      <c r="B2413" s="19" t="n">
        <v>2419</v>
      </c>
      <c r="C2413" s="20" t="s">
        <v>5017</v>
      </c>
      <c r="D2413" s="20" t="s">
        <v>195</v>
      </c>
      <c r="E2413" s="21" t="s">
        <v>5018</v>
      </c>
      <c r="F2413" s="21" t="n">
        <v>32027</v>
      </c>
      <c r="G2413" s="22" t="s">
        <v>471</v>
      </c>
      <c r="H2413" s="23" t="n">
        <f aca="false">COUNTIF(CAL!U:AF,B2413)</f>
        <v>1</v>
      </c>
      <c r="I2413" s="22" t="n">
        <v>13</v>
      </c>
      <c r="J2413" s="20"/>
    </row>
    <row r="2414" customFormat="false" ht="15.75" hidden="false" customHeight="true" outlineLevel="0" collapsed="false">
      <c r="B2414" s="19" t="n">
        <v>3514</v>
      </c>
      <c r="C2414" s="20" t="s">
        <v>3459</v>
      </c>
      <c r="D2414" s="20" t="s">
        <v>377</v>
      </c>
      <c r="E2414" s="21" t="s">
        <v>5019</v>
      </c>
      <c r="F2414" s="21" t="n">
        <v>38016</v>
      </c>
      <c r="G2414" s="22" t="s">
        <v>471</v>
      </c>
      <c r="H2414" s="23" t="n">
        <f aca="false">COUNTIF(CAL!U:AF,B2414)</f>
        <v>1</v>
      </c>
      <c r="I2414" s="22" t="n">
        <v>13</v>
      </c>
      <c r="J2414" s="20"/>
    </row>
    <row r="2415" customFormat="false" ht="15.75" hidden="false" customHeight="true" outlineLevel="0" collapsed="false">
      <c r="B2415" s="19" t="n">
        <v>1551</v>
      </c>
      <c r="C2415" s="20" t="s">
        <v>5020</v>
      </c>
      <c r="D2415" s="20" t="s">
        <v>140</v>
      </c>
      <c r="E2415" s="21" t="s">
        <v>5021</v>
      </c>
      <c r="F2415" s="21" t="n">
        <v>35436</v>
      </c>
      <c r="G2415" s="22" t="s">
        <v>471</v>
      </c>
      <c r="H2415" s="23" t="n">
        <f aca="false">COUNTIF(CAL!U:AF,B2415)</f>
        <v>1</v>
      </c>
      <c r="I2415" s="22" t="n">
        <v>13</v>
      </c>
      <c r="J2415" s="20"/>
    </row>
    <row r="2416" customFormat="false" ht="15.75" hidden="false" customHeight="true" outlineLevel="0" collapsed="false">
      <c r="B2416" s="19" t="n">
        <v>2685</v>
      </c>
      <c r="C2416" s="20" t="s">
        <v>5022</v>
      </c>
      <c r="D2416" s="20" t="s">
        <v>83</v>
      </c>
      <c r="E2416" s="21" t="s">
        <v>5023</v>
      </c>
      <c r="F2416" s="21" t="n">
        <v>32567</v>
      </c>
      <c r="G2416" s="22" t="s">
        <v>471</v>
      </c>
      <c r="H2416" s="23" t="n">
        <f aca="false">COUNTIF(CAL!U:AF,B2416)</f>
        <v>1</v>
      </c>
      <c r="I2416" s="22" t="n">
        <v>13</v>
      </c>
      <c r="J2416" s="20"/>
    </row>
    <row r="2417" customFormat="false" ht="15.75" hidden="false" customHeight="true" outlineLevel="0" collapsed="false">
      <c r="B2417" s="19" t="n">
        <v>3584</v>
      </c>
      <c r="C2417" s="20" t="s">
        <v>5024</v>
      </c>
      <c r="D2417" s="20" t="s">
        <v>366</v>
      </c>
      <c r="E2417" s="21" t="s">
        <v>5025</v>
      </c>
      <c r="F2417" s="21" t="n">
        <v>38745</v>
      </c>
      <c r="G2417" s="22" t="s">
        <v>471</v>
      </c>
      <c r="H2417" s="23" t="n">
        <f aca="false">COUNTIF(CAL!U:AF,B2417)</f>
        <v>1</v>
      </c>
      <c r="I2417" s="22" t="n">
        <v>13</v>
      </c>
      <c r="J2417" s="20"/>
    </row>
    <row r="2418" customFormat="false" ht="15.75" hidden="false" customHeight="true" outlineLevel="0" collapsed="false">
      <c r="B2418" s="19" t="n">
        <v>3576</v>
      </c>
      <c r="C2418" s="20" t="s">
        <v>5026</v>
      </c>
      <c r="D2418" s="20" t="s">
        <v>230</v>
      </c>
      <c r="E2418" s="24" t="s">
        <v>5027</v>
      </c>
      <c r="F2418" s="21" t="n">
        <v>33933</v>
      </c>
      <c r="G2418" s="22" t="s">
        <v>471</v>
      </c>
      <c r="H2418" s="23" t="n">
        <f aca="false">COUNTIF(CAL!U:AF,B2418)</f>
        <v>1</v>
      </c>
      <c r="I2418" s="22" t="n">
        <v>13</v>
      </c>
      <c r="J2418" s="20"/>
    </row>
    <row r="2419" customFormat="false" ht="15.75" hidden="false" customHeight="true" outlineLevel="0" collapsed="false">
      <c r="B2419" s="19" t="n">
        <v>3412</v>
      </c>
      <c r="C2419" s="20" t="s">
        <v>1740</v>
      </c>
      <c r="D2419" s="20" t="s">
        <v>369</v>
      </c>
      <c r="E2419" s="21" t="s">
        <v>5028</v>
      </c>
      <c r="F2419" s="21" t="n">
        <v>37721</v>
      </c>
      <c r="G2419" s="22" t="s">
        <v>471</v>
      </c>
      <c r="H2419" s="23" t="n">
        <f aca="false">COUNTIF(CAL!U:AF,B2419)</f>
        <v>1</v>
      </c>
      <c r="I2419" s="22" t="n">
        <v>13</v>
      </c>
      <c r="J2419" s="20"/>
    </row>
    <row r="2420" customFormat="false" ht="15.75" hidden="false" customHeight="true" outlineLevel="0" collapsed="false">
      <c r="B2420" s="19" t="n">
        <v>2777</v>
      </c>
      <c r="C2420" s="20" t="s">
        <v>5029</v>
      </c>
      <c r="D2420" s="20" t="s">
        <v>321</v>
      </c>
      <c r="E2420" s="21" t="s">
        <v>5030</v>
      </c>
      <c r="F2420" s="21" t="n">
        <v>33578</v>
      </c>
      <c r="G2420" s="22" t="s">
        <v>471</v>
      </c>
      <c r="H2420" s="23" t="n">
        <f aca="false">COUNTIF(CAL!U:AF,B2420)</f>
        <v>1</v>
      </c>
      <c r="I2420" s="22" t="n">
        <v>13</v>
      </c>
      <c r="J2420" s="20"/>
    </row>
    <row r="2421" customFormat="false" ht="15.75" hidden="false" customHeight="true" outlineLevel="0" collapsed="false">
      <c r="B2421" s="19" t="n">
        <v>3111</v>
      </c>
      <c r="C2421" s="20" t="s">
        <v>5031</v>
      </c>
      <c r="D2421" s="20" t="s">
        <v>369</v>
      </c>
      <c r="E2421" s="21" t="s">
        <v>5032</v>
      </c>
      <c r="F2421" s="21" t="n">
        <v>34373</v>
      </c>
      <c r="G2421" s="22" t="s">
        <v>471</v>
      </c>
      <c r="H2421" s="23" t="n">
        <f aca="false">COUNTIF(CAL!U:AF,B2421)</f>
        <v>1</v>
      </c>
      <c r="I2421" s="22" t="n">
        <v>13</v>
      </c>
      <c r="J2421" s="20"/>
    </row>
    <row r="2422" customFormat="false" ht="15.75" hidden="false" customHeight="true" outlineLevel="0" collapsed="false">
      <c r="B2422" s="19" t="n">
        <v>3548</v>
      </c>
      <c r="C2422" s="20" t="s">
        <v>782</v>
      </c>
      <c r="D2422" s="20" t="s">
        <v>233</v>
      </c>
      <c r="E2422" s="21" t="s">
        <v>5033</v>
      </c>
      <c r="F2422" s="21" t="n">
        <v>33795</v>
      </c>
      <c r="G2422" s="22" t="s">
        <v>471</v>
      </c>
      <c r="H2422" s="23" t="n">
        <f aca="false">COUNTIF(CAL!U:AF,B2422)</f>
        <v>1</v>
      </c>
      <c r="I2422" s="22" t="n">
        <v>13</v>
      </c>
      <c r="J2422" s="20"/>
    </row>
    <row r="2423" customFormat="false" ht="15.75" hidden="false" customHeight="true" outlineLevel="0" collapsed="false">
      <c r="B2423" s="19" t="n">
        <v>3407</v>
      </c>
      <c r="C2423" s="20" t="s">
        <v>5034</v>
      </c>
      <c r="D2423" s="20" t="s">
        <v>78</v>
      </c>
      <c r="E2423" s="21" t="s">
        <v>5035</v>
      </c>
      <c r="F2423" s="21" t="n">
        <v>36939</v>
      </c>
      <c r="G2423" s="22" t="s">
        <v>471</v>
      </c>
      <c r="H2423" s="23" t="n">
        <f aca="false">COUNTIF(CAL!U:AF,B2423)</f>
        <v>1</v>
      </c>
      <c r="I2423" s="22" t="n">
        <v>13</v>
      </c>
      <c r="J2423" s="20"/>
    </row>
    <row r="2424" customFormat="false" ht="15.75" hidden="false" customHeight="true" outlineLevel="0" collapsed="false">
      <c r="B2424" s="19" t="n">
        <v>3021</v>
      </c>
      <c r="C2424" s="20" t="s">
        <v>5036</v>
      </c>
      <c r="D2424" s="20" t="s">
        <v>226</v>
      </c>
      <c r="E2424" s="21" t="s">
        <v>5037</v>
      </c>
      <c r="F2424" s="21" t="n">
        <v>37017</v>
      </c>
      <c r="G2424" s="22" t="s">
        <v>471</v>
      </c>
      <c r="H2424" s="23" t="n">
        <f aca="false">COUNTIF(CAL!U:AF,B2424)</f>
        <v>1</v>
      </c>
      <c r="I2424" s="22" t="n">
        <v>13</v>
      </c>
      <c r="J2424" s="20"/>
    </row>
    <row r="2425" customFormat="false" ht="15.75" hidden="false" customHeight="true" outlineLevel="0" collapsed="false">
      <c r="B2425" s="19" t="n">
        <v>3560</v>
      </c>
      <c r="C2425" s="20" t="s">
        <v>5038</v>
      </c>
      <c r="D2425" s="20" t="s">
        <v>195</v>
      </c>
      <c r="E2425" s="21" t="s">
        <v>5039</v>
      </c>
      <c r="F2425" s="21" t="n">
        <v>35880</v>
      </c>
      <c r="G2425" s="22" t="s">
        <v>471</v>
      </c>
      <c r="H2425" s="23" t="n">
        <f aca="false">COUNTIF(CAL!U:AF,B2425)</f>
        <v>1</v>
      </c>
      <c r="I2425" s="22" t="n">
        <v>13</v>
      </c>
      <c r="J2425" s="20"/>
    </row>
    <row r="2426" customFormat="false" ht="15.75" hidden="false" customHeight="true" outlineLevel="0" collapsed="false">
      <c r="B2426" s="19" t="n">
        <v>3012</v>
      </c>
      <c r="C2426" s="20" t="s">
        <v>3729</v>
      </c>
      <c r="D2426" s="20" t="s">
        <v>107</v>
      </c>
      <c r="E2426" s="21" t="s">
        <v>5040</v>
      </c>
      <c r="F2426" s="21" t="n">
        <v>36304</v>
      </c>
      <c r="G2426" s="22" t="s">
        <v>471</v>
      </c>
      <c r="H2426" s="23" t="n">
        <f aca="false">COUNTIF(CAL!U:AF,B2426)</f>
        <v>1</v>
      </c>
      <c r="I2426" s="22" t="n">
        <v>13</v>
      </c>
      <c r="J2426" s="20"/>
    </row>
    <row r="2427" customFormat="false" ht="15.75" hidden="false" customHeight="true" outlineLevel="0" collapsed="false">
      <c r="B2427" s="19" t="n">
        <v>3156</v>
      </c>
      <c r="C2427" s="20" t="s">
        <v>5041</v>
      </c>
      <c r="D2427" s="20" t="s">
        <v>239</v>
      </c>
      <c r="E2427" s="21" t="s">
        <v>5042</v>
      </c>
      <c r="F2427" s="21" t="n">
        <v>38120</v>
      </c>
      <c r="G2427" s="22" t="s">
        <v>471</v>
      </c>
      <c r="H2427" s="23" t="n">
        <f aca="false">COUNTIF(CAL!U:AF,B2427)</f>
        <v>1</v>
      </c>
      <c r="I2427" s="22" t="n">
        <v>13</v>
      </c>
      <c r="J2427" s="20"/>
    </row>
    <row r="2428" customFormat="false" ht="15.75" hidden="false" customHeight="true" outlineLevel="0" collapsed="false">
      <c r="B2428" s="19" t="n">
        <v>3643</v>
      </c>
      <c r="C2428" s="20" t="s">
        <v>5043</v>
      </c>
      <c r="D2428" s="20" t="s">
        <v>107</v>
      </c>
      <c r="E2428" s="21" t="s">
        <v>5044</v>
      </c>
      <c r="F2428" s="21" t="n">
        <v>35367</v>
      </c>
      <c r="G2428" s="22" t="s">
        <v>471</v>
      </c>
      <c r="H2428" s="23" t="n">
        <f aca="false">COUNTIF(CAL!U:AF,B2428)</f>
        <v>1</v>
      </c>
      <c r="I2428" s="22" t="n">
        <v>13</v>
      </c>
      <c r="J2428" s="20"/>
    </row>
    <row r="2429" customFormat="false" ht="15.75" hidden="false" customHeight="true" outlineLevel="0" collapsed="false">
      <c r="B2429" s="19" t="n">
        <v>1219</v>
      </c>
      <c r="C2429" s="20" t="s">
        <v>5045</v>
      </c>
      <c r="D2429" s="20" t="s">
        <v>239</v>
      </c>
      <c r="E2429" s="21" t="s">
        <v>5046</v>
      </c>
      <c r="F2429" s="21" t="n">
        <v>37339</v>
      </c>
      <c r="G2429" s="22" t="s">
        <v>471</v>
      </c>
      <c r="H2429" s="23" t="n">
        <f aca="false">COUNTIF(CAL!U:AF,B2429)</f>
        <v>1</v>
      </c>
      <c r="I2429" s="22" t="n">
        <v>13</v>
      </c>
      <c r="J2429" s="20"/>
    </row>
    <row r="2430" customFormat="false" ht="15.75" hidden="false" customHeight="true" outlineLevel="0" collapsed="false">
      <c r="B2430" s="19" t="n">
        <v>3382</v>
      </c>
      <c r="C2430" s="20" t="s">
        <v>5047</v>
      </c>
      <c r="D2430" s="20" t="s">
        <v>325</v>
      </c>
      <c r="E2430" s="21" t="s">
        <v>5048</v>
      </c>
      <c r="F2430" s="21" t="n">
        <v>35534</v>
      </c>
      <c r="G2430" s="22" t="s">
        <v>471</v>
      </c>
      <c r="H2430" s="23" t="n">
        <f aca="false">COUNTIF(CAL!U:AF,B2430)</f>
        <v>1</v>
      </c>
      <c r="I2430" s="22" t="n">
        <v>13</v>
      </c>
      <c r="J2430" s="20"/>
    </row>
    <row r="2431" customFormat="false" ht="15.75" hidden="false" customHeight="true" outlineLevel="0" collapsed="false">
      <c r="B2431" s="19" t="n">
        <v>3347</v>
      </c>
      <c r="C2431" s="20" t="s">
        <v>5049</v>
      </c>
      <c r="D2431" s="20" t="s">
        <v>331</v>
      </c>
      <c r="E2431" s="21" t="s">
        <v>5050</v>
      </c>
      <c r="F2431" s="21" t="n">
        <v>37690</v>
      </c>
      <c r="G2431" s="22" t="s">
        <v>471</v>
      </c>
      <c r="H2431" s="23" t="n">
        <f aca="false">COUNTIF(CAL!U:AF,B2431)</f>
        <v>1</v>
      </c>
      <c r="I2431" s="22" t="n">
        <v>13</v>
      </c>
      <c r="J2431" s="20"/>
    </row>
    <row r="2432" customFormat="false" ht="15.75" hidden="false" customHeight="true" outlineLevel="0" collapsed="false">
      <c r="B2432" s="19" t="n">
        <v>3462</v>
      </c>
      <c r="C2432" s="20" t="s">
        <v>2062</v>
      </c>
      <c r="D2432" s="20" t="s">
        <v>106</v>
      </c>
      <c r="E2432" s="21" t="s">
        <v>5051</v>
      </c>
      <c r="F2432" s="21" t="n">
        <v>38370</v>
      </c>
      <c r="G2432" s="22" t="s">
        <v>492</v>
      </c>
      <c r="H2432" s="23" t="n">
        <f aca="false">COUNTIF(CAL!U:AF,B2432)</f>
        <v>1</v>
      </c>
      <c r="I2432" s="22" t="n">
        <v>13</v>
      </c>
      <c r="J2432" s="20"/>
    </row>
    <row r="2433" customFormat="false" ht="15.75" hidden="false" customHeight="true" outlineLevel="0" collapsed="false">
      <c r="B2433" s="19" t="n">
        <v>3303</v>
      </c>
      <c r="C2433" s="20" t="s">
        <v>2066</v>
      </c>
      <c r="D2433" s="20" t="s">
        <v>377</v>
      </c>
      <c r="E2433" s="21" t="s">
        <v>5052</v>
      </c>
      <c r="F2433" s="21" t="n">
        <v>37027</v>
      </c>
      <c r="G2433" s="22" t="s">
        <v>471</v>
      </c>
      <c r="H2433" s="23" t="n">
        <f aca="false">COUNTIF(CAL!U:AF,B2433)</f>
        <v>1</v>
      </c>
      <c r="I2433" s="22" t="n">
        <v>13</v>
      </c>
      <c r="J2433" s="20"/>
    </row>
    <row r="2434" customFormat="false" ht="15.75" hidden="false" customHeight="true" outlineLevel="0" collapsed="false">
      <c r="B2434" s="19" t="n">
        <v>3101</v>
      </c>
      <c r="C2434" s="20" t="s">
        <v>5053</v>
      </c>
      <c r="D2434" s="20" t="s">
        <v>169</v>
      </c>
      <c r="E2434" s="21" t="s">
        <v>5054</v>
      </c>
      <c r="F2434" s="21" t="n">
        <v>36525</v>
      </c>
      <c r="G2434" s="22" t="s">
        <v>471</v>
      </c>
      <c r="H2434" s="23" t="n">
        <f aca="false">COUNTIF(CAL!U:AF,B2434)</f>
        <v>1</v>
      </c>
      <c r="I2434" s="22" t="n">
        <v>13</v>
      </c>
      <c r="J2434" s="20"/>
    </row>
    <row r="2435" customFormat="false" ht="15.75" hidden="false" customHeight="true" outlineLevel="0" collapsed="false">
      <c r="B2435" s="19" t="n">
        <v>1603</v>
      </c>
      <c r="C2435" s="20" t="s">
        <v>5055</v>
      </c>
      <c r="D2435" s="20" t="s">
        <v>116</v>
      </c>
      <c r="E2435" s="21" t="s">
        <v>5056</v>
      </c>
      <c r="F2435" s="21" t="n">
        <v>34442</v>
      </c>
      <c r="G2435" s="22" t="s">
        <v>481</v>
      </c>
      <c r="H2435" s="23" t="n">
        <f aca="false">COUNTIF(CAL!U:AF,B2435)</f>
        <v>1</v>
      </c>
      <c r="I2435" s="22" t="n">
        <v>13</v>
      </c>
      <c r="J2435" s="20"/>
    </row>
    <row r="2436" customFormat="false" ht="15.75" hidden="false" customHeight="true" outlineLevel="0" collapsed="false">
      <c r="B2436" s="19" t="n">
        <v>3327</v>
      </c>
      <c r="C2436" s="20" t="s">
        <v>3537</v>
      </c>
      <c r="D2436" s="20" t="s">
        <v>365</v>
      </c>
      <c r="E2436" s="21" t="s">
        <v>5057</v>
      </c>
      <c r="F2436" s="21" t="n">
        <v>37972</v>
      </c>
      <c r="G2436" s="22" t="s">
        <v>471</v>
      </c>
      <c r="H2436" s="23" t="n">
        <f aca="false">COUNTIF(CAL!U:AF,B2436)</f>
        <v>1</v>
      </c>
      <c r="I2436" s="22" t="n">
        <v>13</v>
      </c>
      <c r="J2436" s="20"/>
    </row>
    <row r="2437" customFormat="false" ht="15.75" hidden="false" customHeight="true" outlineLevel="0" collapsed="false">
      <c r="B2437" s="19" t="n">
        <v>1213</v>
      </c>
      <c r="C2437" s="20" t="s">
        <v>5058</v>
      </c>
      <c r="D2437" s="20" t="s">
        <v>237</v>
      </c>
      <c r="E2437" s="21" t="s">
        <v>5059</v>
      </c>
      <c r="F2437" s="21" t="n">
        <v>38065</v>
      </c>
      <c r="G2437" s="22" t="s">
        <v>471</v>
      </c>
      <c r="H2437" s="23" t="n">
        <f aca="false">COUNTIF(CAL!U:AF,B2437)</f>
        <v>1</v>
      </c>
      <c r="I2437" s="22" t="n">
        <v>13</v>
      </c>
      <c r="J2437" s="20"/>
    </row>
    <row r="2438" customFormat="false" ht="15.75" hidden="false" customHeight="true" outlineLevel="0" collapsed="false">
      <c r="B2438" s="19" t="n">
        <v>3201</v>
      </c>
      <c r="C2438" s="20" t="s">
        <v>598</v>
      </c>
      <c r="D2438" s="20" t="s">
        <v>334</v>
      </c>
      <c r="E2438" s="21" t="s">
        <v>5060</v>
      </c>
      <c r="F2438" s="21" t="n">
        <v>37265</v>
      </c>
      <c r="G2438" s="22" t="s">
        <v>471</v>
      </c>
      <c r="H2438" s="23" t="n">
        <f aca="false">COUNTIF(CAL!U:AF,B2438)</f>
        <v>1</v>
      </c>
      <c r="I2438" s="22" t="n">
        <v>13</v>
      </c>
      <c r="J2438" s="20"/>
    </row>
    <row r="2439" customFormat="false" ht="15.75" hidden="false" customHeight="true" outlineLevel="0" collapsed="false">
      <c r="B2439" s="19" t="n">
        <v>2585</v>
      </c>
      <c r="C2439" s="20" t="s">
        <v>917</v>
      </c>
      <c r="D2439" s="20" t="s">
        <v>315</v>
      </c>
      <c r="E2439" s="21" t="s">
        <v>5061</v>
      </c>
      <c r="F2439" s="21" t="n">
        <v>36528</v>
      </c>
      <c r="G2439" s="22" t="s">
        <v>471</v>
      </c>
      <c r="H2439" s="23" t="n">
        <f aca="false">COUNTIF(CAL!U:AF,B2439)</f>
        <v>1</v>
      </c>
      <c r="I2439" s="22" t="n">
        <v>13</v>
      </c>
      <c r="J2439" s="20"/>
    </row>
    <row r="2440" customFormat="false" ht="15.75" hidden="false" customHeight="true" outlineLevel="0" collapsed="false">
      <c r="B2440" s="19" t="n">
        <v>3242</v>
      </c>
      <c r="C2440" s="20" t="s">
        <v>1028</v>
      </c>
      <c r="D2440" s="20" t="s">
        <v>242</v>
      </c>
      <c r="E2440" s="21" t="s">
        <v>5062</v>
      </c>
      <c r="F2440" s="21" t="n">
        <v>36613</v>
      </c>
      <c r="G2440" s="22" t="s">
        <v>471</v>
      </c>
      <c r="H2440" s="23" t="n">
        <f aca="false">COUNTIF(CAL!U:AF,B2440)</f>
        <v>1</v>
      </c>
      <c r="I2440" s="22" t="n">
        <v>13</v>
      </c>
      <c r="J2440" s="20"/>
    </row>
    <row r="2441" customFormat="false" ht="15.75" hidden="false" customHeight="true" outlineLevel="0" collapsed="false">
      <c r="B2441" s="19" t="n">
        <v>1618</v>
      </c>
      <c r="C2441" s="20" t="s">
        <v>5063</v>
      </c>
      <c r="D2441" s="20" t="s">
        <v>274</v>
      </c>
      <c r="E2441" s="21" t="s">
        <v>5064</v>
      </c>
      <c r="F2441" s="21" t="n">
        <v>34863</v>
      </c>
      <c r="G2441" s="22" t="s">
        <v>471</v>
      </c>
      <c r="H2441" s="23" t="n">
        <f aca="false">COUNTIF(CAL!U:AF,B2441)</f>
        <v>1</v>
      </c>
      <c r="I2441" s="22" t="n">
        <v>13</v>
      </c>
      <c r="J2441" s="20" t="s">
        <v>2134</v>
      </c>
    </row>
    <row r="2442" customFormat="false" ht="15.75" hidden="false" customHeight="true" outlineLevel="0" collapsed="false">
      <c r="B2442" s="19" t="n">
        <v>3503</v>
      </c>
      <c r="C2442" s="20" t="s">
        <v>1293</v>
      </c>
      <c r="D2442" s="20" t="s">
        <v>332</v>
      </c>
      <c r="E2442" s="21" t="s">
        <v>5065</v>
      </c>
      <c r="F2442" s="21" t="n">
        <v>33876</v>
      </c>
      <c r="G2442" s="22" t="s">
        <v>471</v>
      </c>
      <c r="H2442" s="23" t="n">
        <f aca="false">COUNTIF(CAL!U:AF,B2442)</f>
        <v>1</v>
      </c>
      <c r="I2442" s="22" t="n">
        <v>13</v>
      </c>
      <c r="J2442" s="20"/>
    </row>
    <row r="2443" customFormat="false" ht="15.75" hidden="false" customHeight="true" outlineLevel="0" collapsed="false">
      <c r="B2443" s="19" t="n">
        <v>3508</v>
      </c>
      <c r="C2443" s="20" t="s">
        <v>2418</v>
      </c>
      <c r="D2443" s="20" t="s">
        <v>367</v>
      </c>
      <c r="E2443" s="21" t="s">
        <v>5066</v>
      </c>
      <c r="F2443" s="21" t="n">
        <v>38603</v>
      </c>
      <c r="G2443" s="22" t="s">
        <v>471</v>
      </c>
      <c r="H2443" s="23" t="n">
        <f aca="false">COUNTIF(CAL!U:AF,B2443)</f>
        <v>1</v>
      </c>
      <c r="I2443" s="22" t="n">
        <v>13</v>
      </c>
      <c r="J2443" s="20"/>
    </row>
    <row r="2444" customFormat="false" ht="15.75" hidden="false" customHeight="true" outlineLevel="0" collapsed="false">
      <c r="B2444" s="19" t="n">
        <v>1596</v>
      </c>
      <c r="C2444" s="20" t="s">
        <v>5067</v>
      </c>
      <c r="D2444" s="20" t="s">
        <v>239</v>
      </c>
      <c r="E2444" s="21" t="s">
        <v>5068</v>
      </c>
      <c r="F2444" s="21" t="n">
        <v>38684</v>
      </c>
      <c r="G2444" s="22" t="s">
        <v>471</v>
      </c>
      <c r="H2444" s="23" t="n">
        <f aca="false">COUNTIF(CAL!U:AF,B2444)</f>
        <v>1</v>
      </c>
      <c r="I2444" s="22" t="n">
        <v>13</v>
      </c>
      <c r="J2444" s="20"/>
    </row>
    <row r="2445" customFormat="false" ht="15.75" hidden="false" customHeight="true" outlineLevel="0" collapsed="false">
      <c r="B2445" s="19" t="n">
        <v>3268</v>
      </c>
      <c r="C2445" s="20" t="s">
        <v>486</v>
      </c>
      <c r="D2445" s="20" t="s">
        <v>366</v>
      </c>
      <c r="E2445" s="21" t="s">
        <v>5069</v>
      </c>
      <c r="F2445" s="21" t="n">
        <v>37969</v>
      </c>
      <c r="G2445" s="22" t="s">
        <v>471</v>
      </c>
      <c r="H2445" s="23" t="n">
        <f aca="false">COUNTIF(CAL!U:AF,B2445)</f>
        <v>1</v>
      </c>
      <c r="I2445" s="22" t="n">
        <v>13</v>
      </c>
      <c r="J2445" s="20"/>
    </row>
    <row r="2446" customFormat="false" ht="15.75" hidden="false" customHeight="true" outlineLevel="0" collapsed="false">
      <c r="B2446" s="19" t="n">
        <v>3441</v>
      </c>
      <c r="C2446" s="20" t="s">
        <v>602</v>
      </c>
      <c r="D2446" s="20" t="s">
        <v>367</v>
      </c>
      <c r="E2446" s="21" t="s">
        <v>5070</v>
      </c>
      <c r="F2446" s="21" t="n">
        <v>38121</v>
      </c>
      <c r="G2446" s="22" t="s">
        <v>471</v>
      </c>
      <c r="H2446" s="23" t="n">
        <f aca="false">COUNTIF(CAL!U:AF,B2446)</f>
        <v>1</v>
      </c>
      <c r="I2446" s="22" t="n">
        <v>13</v>
      </c>
      <c r="J2446" s="20"/>
    </row>
    <row r="2447" customFormat="false" ht="15.75" hidden="false" customHeight="true" outlineLevel="0" collapsed="false">
      <c r="B2447" s="19" t="n">
        <v>1607</v>
      </c>
      <c r="C2447" s="20" t="s">
        <v>5071</v>
      </c>
      <c r="D2447" s="20" t="s">
        <v>47</v>
      </c>
      <c r="E2447" s="21" t="s">
        <v>5072</v>
      </c>
      <c r="F2447" s="21" t="n">
        <v>34409</v>
      </c>
      <c r="G2447" s="22" t="s">
        <v>471</v>
      </c>
      <c r="H2447" s="23" t="n">
        <f aca="false">COUNTIF(CAL!U:AF,B2447)</f>
        <v>1</v>
      </c>
      <c r="I2447" s="22" t="n">
        <v>13</v>
      </c>
      <c r="J2447" s="20"/>
    </row>
    <row r="2448" customFormat="false" ht="15.75" hidden="false" customHeight="true" outlineLevel="0" collapsed="false">
      <c r="B2448" s="19" t="n">
        <v>3311</v>
      </c>
      <c r="C2448" s="20" t="s">
        <v>925</v>
      </c>
      <c r="D2448" s="20" t="s">
        <v>33</v>
      </c>
      <c r="E2448" s="21" t="s">
        <v>5073</v>
      </c>
      <c r="F2448" s="21" t="n">
        <v>37251</v>
      </c>
      <c r="G2448" s="22" t="s">
        <v>471</v>
      </c>
      <c r="H2448" s="23" t="n">
        <f aca="false">COUNTIF(CAL!U:AF,B2448)</f>
        <v>1</v>
      </c>
      <c r="I2448" s="22" t="n">
        <v>13</v>
      </c>
      <c r="J2448" s="20"/>
    </row>
    <row r="2449" customFormat="false" ht="15.75" hidden="false" customHeight="true" outlineLevel="0" collapsed="false">
      <c r="B2449" s="19" t="n">
        <v>2870</v>
      </c>
      <c r="C2449" s="20" t="s">
        <v>5074</v>
      </c>
      <c r="D2449" s="20" t="s">
        <v>131</v>
      </c>
      <c r="E2449" s="21" t="s">
        <v>5075</v>
      </c>
      <c r="F2449" s="21" t="n">
        <v>37900</v>
      </c>
      <c r="G2449" s="22" t="s">
        <v>471</v>
      </c>
      <c r="H2449" s="23" t="n">
        <f aca="false">COUNTIF(CAL!U:AF,B2449)</f>
        <v>1</v>
      </c>
      <c r="I2449" s="22" t="n">
        <v>13</v>
      </c>
      <c r="J2449" s="20"/>
    </row>
    <row r="2450" customFormat="false" ht="15.75" hidden="false" customHeight="true" outlineLevel="0" collapsed="false">
      <c r="B2450" s="19" t="n">
        <v>3028</v>
      </c>
      <c r="C2450" s="20" t="s">
        <v>1415</v>
      </c>
      <c r="D2450" s="20" t="s">
        <v>166</v>
      </c>
      <c r="E2450" s="21" t="s">
        <v>5076</v>
      </c>
      <c r="F2450" s="21" t="n">
        <v>36476</v>
      </c>
      <c r="G2450" s="22" t="s">
        <v>471</v>
      </c>
      <c r="H2450" s="23" t="n">
        <f aca="false">COUNTIF(CAL!U:AF,B2450)</f>
        <v>1</v>
      </c>
      <c r="I2450" s="22" t="n">
        <v>13</v>
      </c>
      <c r="J2450" s="20"/>
    </row>
    <row r="2451" customFormat="false" ht="15.75" hidden="false" customHeight="true" outlineLevel="0" collapsed="false">
      <c r="B2451" s="19" t="n">
        <v>3197</v>
      </c>
      <c r="C2451" s="20" t="s">
        <v>1415</v>
      </c>
      <c r="D2451" s="20" t="s">
        <v>314</v>
      </c>
      <c r="E2451" s="21" t="s">
        <v>5077</v>
      </c>
      <c r="F2451" s="21" t="n">
        <v>38518</v>
      </c>
      <c r="G2451" s="22" t="s">
        <v>471</v>
      </c>
      <c r="H2451" s="23" t="n">
        <f aca="false">COUNTIF(CAL!U:AF,B2451)</f>
        <v>1</v>
      </c>
      <c r="I2451" s="22" t="n">
        <v>13</v>
      </c>
      <c r="J2451" s="20"/>
    </row>
    <row r="2452" customFormat="false" ht="15.75" hidden="false" customHeight="true" outlineLevel="0" collapsed="false">
      <c r="B2452" s="19" t="n">
        <v>2934</v>
      </c>
      <c r="C2452" s="20" t="s">
        <v>5078</v>
      </c>
      <c r="D2452" s="20" t="s">
        <v>92</v>
      </c>
      <c r="E2452" s="21" t="s">
        <v>5079</v>
      </c>
      <c r="F2452" s="21" t="n">
        <v>34548</v>
      </c>
      <c r="G2452" s="22" t="s">
        <v>471</v>
      </c>
      <c r="H2452" s="23" t="n">
        <f aca="false">COUNTIF(CAL!U:AF,B2452)</f>
        <v>1</v>
      </c>
      <c r="I2452" s="22" t="n">
        <v>13</v>
      </c>
      <c r="J2452" s="20"/>
    </row>
    <row r="2453" customFormat="false" ht="15.75" hidden="false" customHeight="true" outlineLevel="0" collapsed="false">
      <c r="B2453" s="19" t="n">
        <v>2614</v>
      </c>
      <c r="C2453" s="20" t="s">
        <v>5080</v>
      </c>
      <c r="D2453" s="20" t="s">
        <v>41</v>
      </c>
      <c r="E2453" s="12" t="s">
        <v>5081</v>
      </c>
      <c r="F2453" s="21" t="n">
        <v>35525</v>
      </c>
      <c r="G2453" s="22" t="s">
        <v>471</v>
      </c>
      <c r="H2453" s="23" t="n">
        <f aca="false">COUNTIF(CAL!U:AF,B2453)</f>
        <v>1</v>
      </c>
      <c r="I2453" s="22" t="n">
        <v>13</v>
      </c>
      <c r="J2453" s="20"/>
    </row>
    <row r="2454" customFormat="false" ht="15.75" hidden="false" customHeight="true" outlineLevel="0" collapsed="false">
      <c r="B2454" s="19" t="n">
        <v>1437</v>
      </c>
      <c r="C2454" s="20" t="s">
        <v>5082</v>
      </c>
      <c r="D2454" s="20" t="s">
        <v>189</v>
      </c>
      <c r="E2454" s="21" t="s">
        <v>5083</v>
      </c>
      <c r="F2454" s="21" t="n">
        <v>35074</v>
      </c>
      <c r="G2454" s="22" t="s">
        <v>471</v>
      </c>
      <c r="H2454" s="23" t="n">
        <f aca="false">COUNTIF(CAL!U:AF,B2454)</f>
        <v>1</v>
      </c>
      <c r="I2454" s="22" t="n">
        <v>13</v>
      </c>
      <c r="J2454" s="20"/>
    </row>
    <row r="2455" customFormat="false" ht="15.75" hidden="false" customHeight="true" outlineLevel="0" collapsed="false">
      <c r="B2455" s="19" t="n">
        <v>3052</v>
      </c>
      <c r="C2455" s="20" t="s">
        <v>5084</v>
      </c>
      <c r="D2455" s="20" t="s">
        <v>131</v>
      </c>
      <c r="E2455" s="21" t="s">
        <v>5085</v>
      </c>
      <c r="F2455" s="21" t="n">
        <v>37271</v>
      </c>
      <c r="G2455" s="22" t="s">
        <v>471</v>
      </c>
      <c r="H2455" s="23" t="n">
        <f aca="false">COUNTIF(CAL!U:AF,B2455)</f>
        <v>1</v>
      </c>
      <c r="I2455" s="22" t="n">
        <v>13</v>
      </c>
      <c r="J2455" s="20"/>
    </row>
    <row r="2456" customFormat="false" ht="15.75" hidden="false" customHeight="true" outlineLevel="0" collapsed="false">
      <c r="B2456" s="19" t="n">
        <v>3544</v>
      </c>
      <c r="C2456" s="20" t="s">
        <v>5086</v>
      </c>
      <c r="D2456" s="20" t="s">
        <v>93</v>
      </c>
      <c r="E2456" s="24" t="s">
        <v>5087</v>
      </c>
      <c r="F2456" s="21" t="n">
        <v>34970</v>
      </c>
      <c r="G2456" s="22" t="s">
        <v>471</v>
      </c>
      <c r="H2456" s="23" t="n">
        <f aca="false">COUNTIF(CAL!U:AF,B2456)</f>
        <v>1</v>
      </c>
      <c r="I2456" s="22" t="n">
        <v>13</v>
      </c>
      <c r="J2456" s="20"/>
    </row>
    <row r="2457" customFormat="false" ht="15.75" hidden="false" customHeight="true" outlineLevel="0" collapsed="false">
      <c r="B2457" s="19" t="n">
        <v>3517</v>
      </c>
      <c r="C2457" s="20" t="s">
        <v>5088</v>
      </c>
      <c r="D2457" s="20" t="s">
        <v>234</v>
      </c>
      <c r="E2457" s="21" t="s">
        <v>5089</v>
      </c>
      <c r="F2457" s="21" t="n">
        <v>35547</v>
      </c>
      <c r="G2457" s="22" t="s">
        <v>471</v>
      </c>
      <c r="H2457" s="23" t="n">
        <f aca="false">COUNTIF(CAL!U:AF,B2457)</f>
        <v>1</v>
      </c>
      <c r="I2457" s="22" t="n">
        <v>13</v>
      </c>
      <c r="J2457" s="20"/>
    </row>
    <row r="2458" customFormat="false" ht="15.75" hidden="false" customHeight="true" outlineLevel="0" collapsed="false">
      <c r="B2458" s="19" t="n">
        <v>1148</v>
      </c>
      <c r="C2458" s="20" t="s">
        <v>5090</v>
      </c>
      <c r="D2458" s="20" t="s">
        <v>199</v>
      </c>
      <c r="E2458" s="21" t="s">
        <v>5091</v>
      </c>
      <c r="F2458" s="21" t="n">
        <v>38094</v>
      </c>
      <c r="G2458" s="22" t="s">
        <v>471</v>
      </c>
      <c r="H2458" s="23" t="n">
        <f aca="false">COUNTIF(CAL!U:AF,B2458)</f>
        <v>1</v>
      </c>
      <c r="I2458" s="22" t="n">
        <v>13</v>
      </c>
      <c r="J2458" s="20"/>
    </row>
    <row r="2459" customFormat="false" ht="15.75" hidden="false" customHeight="true" outlineLevel="0" collapsed="false">
      <c r="B2459" s="19" t="n">
        <v>3367</v>
      </c>
      <c r="C2459" s="20" t="s">
        <v>5092</v>
      </c>
      <c r="D2459" s="20" t="s">
        <v>59</v>
      </c>
      <c r="E2459" s="21" t="s">
        <v>5092</v>
      </c>
      <c r="F2459" s="21" t="n">
        <v>36833</v>
      </c>
      <c r="G2459" s="22" t="s">
        <v>471</v>
      </c>
      <c r="H2459" s="23" t="n">
        <f aca="false">COUNTIF(CAL!U:AF,B2459)</f>
        <v>1</v>
      </c>
      <c r="I2459" s="22" t="n">
        <v>13</v>
      </c>
      <c r="J2459" s="20"/>
    </row>
    <row r="2460" customFormat="false" ht="15.75" hidden="false" customHeight="true" outlineLevel="0" collapsed="false">
      <c r="B2460" s="19" t="n">
        <v>3326</v>
      </c>
      <c r="C2460" s="20" t="s">
        <v>5093</v>
      </c>
      <c r="D2460" s="20" t="s">
        <v>339</v>
      </c>
      <c r="E2460" s="21" t="s">
        <v>5094</v>
      </c>
      <c r="F2460" s="21" t="n">
        <v>36729</v>
      </c>
      <c r="G2460" s="22" t="s">
        <v>471</v>
      </c>
      <c r="H2460" s="23" t="n">
        <f aca="false">COUNTIF(CAL!U:AF,B2460)</f>
        <v>1</v>
      </c>
      <c r="I2460" s="22" t="n">
        <v>13</v>
      </c>
      <c r="J2460" s="20"/>
    </row>
    <row r="2461" customFormat="false" ht="15.75" hidden="false" customHeight="true" outlineLevel="0" collapsed="false">
      <c r="B2461" s="19" t="n">
        <v>2976</v>
      </c>
      <c r="C2461" s="20" t="s">
        <v>5095</v>
      </c>
      <c r="D2461" s="20" t="s">
        <v>92</v>
      </c>
      <c r="E2461" s="21" t="s">
        <v>5096</v>
      </c>
      <c r="F2461" s="21" t="n">
        <v>37194</v>
      </c>
      <c r="G2461" s="22" t="s">
        <v>471</v>
      </c>
      <c r="H2461" s="23" t="n">
        <f aca="false">COUNTIF(CAL!U:AF,B2461)</f>
        <v>1</v>
      </c>
      <c r="I2461" s="22" t="n">
        <v>13</v>
      </c>
      <c r="J2461" s="20"/>
    </row>
    <row r="2462" customFormat="false" ht="15.75" hidden="false" customHeight="true" outlineLevel="0" collapsed="false">
      <c r="B2462" s="19" t="n">
        <v>2867</v>
      </c>
      <c r="C2462" s="20" t="s">
        <v>5097</v>
      </c>
      <c r="D2462" s="20" t="s">
        <v>78</v>
      </c>
      <c r="E2462" s="21" t="s">
        <v>5098</v>
      </c>
      <c r="F2462" s="21" t="n">
        <v>36203</v>
      </c>
      <c r="G2462" s="22" t="s">
        <v>471</v>
      </c>
      <c r="H2462" s="23" t="n">
        <f aca="false">COUNTIF(CAL!U:AF,B2462)</f>
        <v>1</v>
      </c>
      <c r="I2462" s="22" t="n">
        <v>13</v>
      </c>
      <c r="J2462" s="20"/>
    </row>
    <row r="2463" customFormat="false" ht="15.75" hidden="false" customHeight="true" outlineLevel="0" collapsed="false">
      <c r="B2463" s="19" t="n">
        <v>3302</v>
      </c>
      <c r="C2463" s="20" t="s">
        <v>1091</v>
      </c>
      <c r="D2463" s="20" t="s">
        <v>377</v>
      </c>
      <c r="E2463" s="21" t="s">
        <v>5099</v>
      </c>
      <c r="F2463" s="21" t="n">
        <v>38563</v>
      </c>
      <c r="G2463" s="22" t="s">
        <v>471</v>
      </c>
      <c r="H2463" s="23" t="n">
        <f aca="false">COUNTIF(CAL!U:AF,B2463)</f>
        <v>1</v>
      </c>
      <c r="I2463" s="22" t="n">
        <v>13</v>
      </c>
      <c r="J2463" s="20"/>
    </row>
    <row r="2464" customFormat="false" ht="15.75" hidden="false" customHeight="true" outlineLevel="0" collapsed="false">
      <c r="B2464" s="19" t="n">
        <v>1087</v>
      </c>
      <c r="C2464" s="20" t="s">
        <v>2009</v>
      </c>
      <c r="D2464" s="20" t="s">
        <v>92</v>
      </c>
      <c r="E2464" s="21" t="s">
        <v>5100</v>
      </c>
      <c r="F2464" s="21" t="n">
        <v>37512</v>
      </c>
      <c r="G2464" s="22" t="s">
        <v>471</v>
      </c>
      <c r="H2464" s="23" t="n">
        <f aca="false">COUNTIF(CAL!U:AF,B2464)</f>
        <v>1</v>
      </c>
      <c r="I2464" s="22" t="n">
        <v>13</v>
      </c>
      <c r="J2464" s="20"/>
    </row>
    <row r="2465" customFormat="false" ht="15.75" hidden="false" customHeight="true" outlineLevel="0" collapsed="false">
      <c r="B2465" s="19" t="n">
        <v>1482</v>
      </c>
      <c r="C2465" s="20" t="s">
        <v>5101</v>
      </c>
      <c r="D2465" s="20" t="s">
        <v>183</v>
      </c>
      <c r="E2465" s="21" t="s">
        <v>5102</v>
      </c>
      <c r="F2465" s="21" t="n">
        <v>34717</v>
      </c>
      <c r="G2465" s="22" t="s">
        <v>471</v>
      </c>
      <c r="H2465" s="23" t="n">
        <f aca="false">COUNTIF(CAL!U:AF,B2465)</f>
        <v>1</v>
      </c>
      <c r="I2465" s="22" t="n">
        <v>13</v>
      </c>
      <c r="J2465" s="20" t="s">
        <v>5009</v>
      </c>
    </row>
    <row r="2466" customFormat="false" ht="15.75" hidden="false" customHeight="true" outlineLevel="0" collapsed="false">
      <c r="B2466" s="19" t="n">
        <v>3639</v>
      </c>
      <c r="C2466" s="20" t="s">
        <v>933</v>
      </c>
      <c r="D2466" s="20" t="s">
        <v>93</v>
      </c>
      <c r="E2466" s="21" t="s">
        <v>5103</v>
      </c>
      <c r="F2466" s="21" t="n">
        <v>34469</v>
      </c>
      <c r="G2466" s="22" t="s">
        <v>471</v>
      </c>
      <c r="H2466" s="23" t="n">
        <f aca="false">COUNTIF(CAL!U:AF,B2466)</f>
        <v>1</v>
      </c>
      <c r="I2466" s="22" t="n">
        <v>14</v>
      </c>
      <c r="J2466" s="20"/>
    </row>
    <row r="2467" customFormat="false" ht="15.75" hidden="false" customHeight="true" outlineLevel="0" collapsed="false">
      <c r="B2467" s="19" t="n">
        <v>3031</v>
      </c>
      <c r="C2467" s="20" t="s">
        <v>5104</v>
      </c>
      <c r="D2467" s="20" t="s">
        <v>164</v>
      </c>
      <c r="E2467" s="21" t="s">
        <v>5105</v>
      </c>
      <c r="F2467" s="21" t="n">
        <v>37371</v>
      </c>
      <c r="G2467" s="22" t="s">
        <v>471</v>
      </c>
      <c r="H2467" s="23" t="n">
        <f aca="false">COUNTIF(CAL!U:AF,B2467)</f>
        <v>1</v>
      </c>
      <c r="I2467" s="22" t="n">
        <v>14</v>
      </c>
      <c r="J2467" s="20"/>
    </row>
    <row r="2468" customFormat="false" ht="15.75" hidden="false" customHeight="true" outlineLevel="0" collapsed="false">
      <c r="B2468" s="19" t="n">
        <v>2686</v>
      </c>
      <c r="C2468" s="20" t="s">
        <v>5106</v>
      </c>
      <c r="D2468" s="20" t="s">
        <v>176</v>
      </c>
      <c r="E2468" s="21" t="s">
        <v>5107</v>
      </c>
      <c r="F2468" s="21" t="n">
        <v>36215</v>
      </c>
      <c r="G2468" s="22" t="s">
        <v>471</v>
      </c>
      <c r="H2468" s="23" t="n">
        <f aca="false">COUNTIF(CAL!U:AF,B2468)</f>
        <v>1</v>
      </c>
      <c r="I2468" s="22" t="n">
        <v>14</v>
      </c>
      <c r="J2468" s="20"/>
    </row>
    <row r="2469" customFormat="false" ht="15.75" hidden="false" customHeight="true" outlineLevel="0" collapsed="false">
      <c r="B2469" s="19" t="n">
        <v>3243</v>
      </c>
      <c r="C2469" s="20" t="s">
        <v>5108</v>
      </c>
      <c r="D2469" s="20" t="s">
        <v>243</v>
      </c>
      <c r="E2469" s="21" t="s">
        <v>5109</v>
      </c>
      <c r="F2469" s="21" t="n">
        <v>36756</v>
      </c>
      <c r="G2469" s="22" t="s">
        <v>471</v>
      </c>
      <c r="H2469" s="23" t="n">
        <f aca="false">COUNTIF(CAL!U:AF,B2469)</f>
        <v>1</v>
      </c>
      <c r="I2469" s="22" t="n">
        <v>14</v>
      </c>
      <c r="J2469" s="20"/>
    </row>
    <row r="2470" customFormat="false" ht="15.75" hidden="false" customHeight="true" outlineLevel="0" collapsed="false">
      <c r="B2470" s="19" t="n">
        <v>2823</v>
      </c>
      <c r="C2470" s="20" t="s">
        <v>5110</v>
      </c>
      <c r="D2470" s="20" t="s">
        <v>242</v>
      </c>
      <c r="E2470" s="21" t="s">
        <v>5111</v>
      </c>
      <c r="F2470" s="21" t="n">
        <v>36292</v>
      </c>
      <c r="G2470" s="22" t="s">
        <v>471</v>
      </c>
      <c r="H2470" s="23" t="n">
        <f aca="false">COUNTIF(CAL!U:AF,B2470)</f>
        <v>1</v>
      </c>
      <c r="I2470" s="22" t="n">
        <v>14</v>
      </c>
      <c r="J2470" s="20"/>
    </row>
    <row r="2471" customFormat="false" ht="15.75" hidden="false" customHeight="true" outlineLevel="0" collapsed="false">
      <c r="B2471" s="19" t="n">
        <v>3321</v>
      </c>
      <c r="C2471" s="20" t="s">
        <v>5112</v>
      </c>
      <c r="D2471" s="20" t="s">
        <v>167</v>
      </c>
      <c r="E2471" s="24" t="s">
        <v>5113</v>
      </c>
      <c r="F2471" s="21" t="n">
        <v>36235</v>
      </c>
      <c r="G2471" s="22" t="s">
        <v>471</v>
      </c>
      <c r="H2471" s="23" t="n">
        <f aca="false">COUNTIF(CAL!U:AF,B2471)</f>
        <v>1</v>
      </c>
      <c r="I2471" s="22" t="n">
        <v>14</v>
      </c>
      <c r="J2471" s="20"/>
    </row>
    <row r="2472" customFormat="false" ht="15.75" hidden="false" customHeight="true" outlineLevel="0" collapsed="false">
      <c r="B2472" s="19" t="n">
        <v>3086</v>
      </c>
      <c r="C2472" s="20" t="s">
        <v>5114</v>
      </c>
      <c r="D2472" s="20" t="s">
        <v>261</v>
      </c>
      <c r="E2472" s="21" t="s">
        <v>5115</v>
      </c>
      <c r="F2472" s="21" t="n">
        <v>33464</v>
      </c>
      <c r="G2472" s="22" t="s">
        <v>471</v>
      </c>
      <c r="H2472" s="23" t="n">
        <f aca="false">COUNTIF(CAL!U:AF,B2472)</f>
        <v>1</v>
      </c>
      <c r="I2472" s="22" t="n">
        <v>14</v>
      </c>
      <c r="J2472" s="20"/>
    </row>
    <row r="2473" customFormat="false" ht="15.75" hidden="false" customHeight="true" outlineLevel="0" collapsed="false">
      <c r="B2473" s="19" t="n">
        <v>2581</v>
      </c>
      <c r="C2473" s="20" t="s">
        <v>5116</v>
      </c>
      <c r="D2473" s="20" t="s">
        <v>302</v>
      </c>
      <c r="E2473" s="21" t="s">
        <v>5117</v>
      </c>
      <c r="F2473" s="21" t="n">
        <v>34037</v>
      </c>
      <c r="G2473" s="22" t="s">
        <v>471</v>
      </c>
      <c r="H2473" s="23" t="n">
        <f aca="false">COUNTIF(CAL!U:AF,B2473)</f>
        <v>1</v>
      </c>
      <c r="I2473" s="22" t="n">
        <v>14</v>
      </c>
      <c r="J2473" s="20"/>
    </row>
    <row r="2474" customFormat="false" ht="15.75" hidden="false" customHeight="true" outlineLevel="0" collapsed="false">
      <c r="B2474" s="19" t="n">
        <v>2800</v>
      </c>
      <c r="C2474" s="20" t="s">
        <v>5118</v>
      </c>
      <c r="D2474" s="20" t="s">
        <v>261</v>
      </c>
      <c r="E2474" s="21" t="s">
        <v>5119</v>
      </c>
      <c r="F2474" s="21" t="n">
        <v>35808</v>
      </c>
      <c r="G2474" s="22" t="s">
        <v>471</v>
      </c>
      <c r="H2474" s="23" t="n">
        <f aca="false">COUNTIF(CAL!U:AF,B2474)</f>
        <v>1</v>
      </c>
      <c r="I2474" s="22" t="n">
        <v>14</v>
      </c>
      <c r="J2474" s="20"/>
    </row>
    <row r="2475" customFormat="false" ht="15.75" hidden="false" customHeight="true" outlineLevel="0" collapsed="false">
      <c r="B2475" s="19" t="n">
        <v>3274</v>
      </c>
      <c r="C2475" s="20" t="s">
        <v>5120</v>
      </c>
      <c r="D2475" s="20" t="s">
        <v>134</v>
      </c>
      <c r="E2475" s="21" t="s">
        <v>5121</v>
      </c>
      <c r="F2475" s="21" t="n">
        <v>33674</v>
      </c>
      <c r="G2475" s="22" t="s">
        <v>1017</v>
      </c>
      <c r="H2475" s="23" t="n">
        <f aca="false">COUNTIF(CAL!U:AF,B2475)</f>
        <v>1</v>
      </c>
      <c r="I2475" s="22" t="n">
        <v>14</v>
      </c>
      <c r="J2475" s="20"/>
    </row>
    <row r="2476" customFormat="false" ht="15.75" hidden="false" customHeight="true" outlineLevel="0" collapsed="false">
      <c r="B2476" s="19" t="n">
        <v>1335</v>
      </c>
      <c r="C2476" s="20" t="s">
        <v>5122</v>
      </c>
      <c r="D2476" s="20" t="s">
        <v>237</v>
      </c>
      <c r="E2476" s="21" t="s">
        <v>5123</v>
      </c>
      <c r="F2476" s="21" t="n">
        <v>36951</v>
      </c>
      <c r="G2476" s="22" t="s">
        <v>471</v>
      </c>
      <c r="H2476" s="23" t="n">
        <f aca="false">COUNTIF(CAL!U:AF,B2476)</f>
        <v>1</v>
      </c>
      <c r="I2476" s="22" t="n">
        <v>14</v>
      </c>
      <c r="J2476" s="20"/>
    </row>
    <row r="2477" customFormat="false" ht="15.75" hidden="false" customHeight="true" outlineLevel="0" collapsed="false">
      <c r="B2477" s="19" t="n">
        <v>1217</v>
      </c>
      <c r="C2477" s="20" t="s">
        <v>5124</v>
      </c>
      <c r="D2477" s="20" t="s">
        <v>239</v>
      </c>
      <c r="E2477" s="21" t="s">
        <v>5125</v>
      </c>
      <c r="F2477" s="21" t="n">
        <v>35110</v>
      </c>
      <c r="G2477" s="22" t="s">
        <v>471</v>
      </c>
      <c r="H2477" s="23" t="n">
        <f aca="false">COUNTIF(CAL!U:AF,B2477)</f>
        <v>1</v>
      </c>
      <c r="I2477" s="22" t="n">
        <v>14</v>
      </c>
      <c r="J2477" s="20"/>
    </row>
    <row r="2478" customFormat="false" ht="15.75" hidden="false" customHeight="true" outlineLevel="0" collapsed="false">
      <c r="B2478" s="19" t="n">
        <v>2906</v>
      </c>
      <c r="C2478" s="20" t="s">
        <v>5126</v>
      </c>
      <c r="D2478" s="20" t="s">
        <v>366</v>
      </c>
      <c r="E2478" s="21" t="s">
        <v>5127</v>
      </c>
      <c r="F2478" s="21" t="n">
        <v>38316</v>
      </c>
      <c r="G2478" s="22" t="s">
        <v>471</v>
      </c>
      <c r="H2478" s="23" t="n">
        <f aca="false">COUNTIF(CAL!U:AF,B2478)</f>
        <v>1</v>
      </c>
      <c r="I2478" s="22" t="n">
        <v>14</v>
      </c>
      <c r="J2478" s="20"/>
    </row>
    <row r="2479" customFormat="false" ht="15.75" hidden="false" customHeight="true" outlineLevel="0" collapsed="false">
      <c r="B2479" s="19" t="n">
        <v>3379</v>
      </c>
      <c r="C2479" s="20" t="s">
        <v>5128</v>
      </c>
      <c r="D2479" s="20" t="s">
        <v>243</v>
      </c>
      <c r="E2479" s="21" t="s">
        <v>5129</v>
      </c>
      <c r="F2479" s="21" t="n">
        <v>35209</v>
      </c>
      <c r="G2479" s="22" t="s">
        <v>471</v>
      </c>
      <c r="H2479" s="23" t="n">
        <f aca="false">COUNTIF(CAL!U:AF,B2479)</f>
        <v>1</v>
      </c>
      <c r="I2479" s="22" t="n">
        <v>14</v>
      </c>
      <c r="J2479" s="20"/>
    </row>
    <row r="2480" customFormat="false" ht="15.75" hidden="false" customHeight="true" outlineLevel="0" collapsed="false">
      <c r="B2480" s="19" t="n">
        <v>3098</v>
      </c>
      <c r="C2480" s="20" t="s">
        <v>5130</v>
      </c>
      <c r="D2480" s="20" t="s">
        <v>242</v>
      </c>
      <c r="E2480" s="21" t="s">
        <v>5131</v>
      </c>
      <c r="F2480" s="21" t="n">
        <v>30622</v>
      </c>
      <c r="G2480" s="22" t="s">
        <v>471</v>
      </c>
      <c r="H2480" s="23" t="n">
        <f aca="false">COUNTIF(CAL!U:AF,B2480)</f>
        <v>1</v>
      </c>
      <c r="I2480" s="22" t="n">
        <v>14</v>
      </c>
      <c r="J2480" s="20"/>
    </row>
    <row r="2481" customFormat="false" ht="15.75" hidden="false" customHeight="true" outlineLevel="0" collapsed="false">
      <c r="B2481" s="19" t="n">
        <v>1668</v>
      </c>
      <c r="C2481" s="20" t="s">
        <v>2175</v>
      </c>
      <c r="D2481" s="20" t="s">
        <v>134</v>
      </c>
      <c r="E2481" s="24" t="s">
        <v>5132</v>
      </c>
      <c r="F2481" s="21" t="n">
        <v>35443</v>
      </c>
      <c r="G2481" s="22" t="s">
        <v>471</v>
      </c>
      <c r="H2481" s="23" t="n">
        <f aca="false">COUNTIF(CAL!U:AF,B2481)</f>
        <v>1</v>
      </c>
      <c r="I2481" s="22" t="n">
        <v>14</v>
      </c>
      <c r="J2481" s="20"/>
    </row>
    <row r="2482" customFormat="false" ht="15.75" hidden="false" customHeight="true" outlineLevel="0" collapsed="false">
      <c r="B2482" s="19" t="n">
        <v>2869</v>
      </c>
      <c r="C2482" s="20" t="s">
        <v>5133</v>
      </c>
      <c r="D2482" s="20" t="s">
        <v>127</v>
      </c>
      <c r="E2482" s="21" t="s">
        <v>5134</v>
      </c>
      <c r="F2482" s="21" t="n">
        <v>37472</v>
      </c>
      <c r="G2482" s="22" t="s">
        <v>471</v>
      </c>
      <c r="H2482" s="23" t="n">
        <f aca="false">COUNTIF(CAL!U:AF,B2482)</f>
        <v>1</v>
      </c>
      <c r="I2482" s="22" t="n">
        <v>14</v>
      </c>
      <c r="J2482" s="20"/>
    </row>
    <row r="2483" customFormat="false" ht="15.75" hidden="false" customHeight="true" outlineLevel="0" collapsed="false">
      <c r="B2483" s="19" t="n">
        <v>3267</v>
      </c>
      <c r="C2483" s="20" t="s">
        <v>5135</v>
      </c>
      <c r="D2483" s="20" t="s">
        <v>366</v>
      </c>
      <c r="E2483" s="21" t="s">
        <v>5136</v>
      </c>
      <c r="F2483" s="21" t="n">
        <v>37313</v>
      </c>
      <c r="G2483" s="22" t="s">
        <v>471</v>
      </c>
      <c r="H2483" s="23" t="n">
        <f aca="false">COUNTIF(CAL!U:AF,B2483)</f>
        <v>1</v>
      </c>
      <c r="I2483" s="22" t="n">
        <v>14</v>
      </c>
      <c r="J2483" s="20"/>
    </row>
    <row r="2484" customFormat="false" ht="15.75" hidden="false" customHeight="true" outlineLevel="0" collapsed="false">
      <c r="B2484" s="19" t="n">
        <v>2218</v>
      </c>
      <c r="C2484" s="20" t="s">
        <v>5137</v>
      </c>
      <c r="D2484" s="20" t="s">
        <v>279</v>
      </c>
      <c r="E2484" s="21" t="s">
        <v>5138</v>
      </c>
      <c r="F2484" s="21" t="n">
        <v>32804</v>
      </c>
      <c r="G2484" s="22" t="s">
        <v>471</v>
      </c>
      <c r="H2484" s="23" t="n">
        <f aca="false">COUNTIF(CAL!U:AF,B2484)</f>
        <v>1</v>
      </c>
      <c r="I2484" s="22" t="n">
        <v>14</v>
      </c>
      <c r="J2484" s="20"/>
    </row>
    <row r="2485" customFormat="false" ht="15.75" hidden="false" customHeight="true" outlineLevel="0" collapsed="false">
      <c r="B2485" s="19" t="n">
        <v>2678</v>
      </c>
      <c r="C2485" s="20" t="s">
        <v>5139</v>
      </c>
      <c r="D2485" s="20" t="s">
        <v>48</v>
      </c>
      <c r="E2485" s="21" t="s">
        <v>5140</v>
      </c>
      <c r="F2485" s="21" t="n">
        <v>37098</v>
      </c>
      <c r="G2485" s="22" t="s">
        <v>471</v>
      </c>
      <c r="H2485" s="23" t="n">
        <f aca="false">COUNTIF(CAL!U:AF,B2485)</f>
        <v>1</v>
      </c>
      <c r="I2485" s="22" t="n">
        <v>14</v>
      </c>
      <c r="J2485" s="20"/>
    </row>
    <row r="2486" customFormat="false" ht="15.75" hidden="false" customHeight="true" outlineLevel="0" collapsed="false">
      <c r="B2486" s="19" t="n">
        <v>3023</v>
      </c>
      <c r="C2486" s="20" t="s">
        <v>5141</v>
      </c>
      <c r="D2486" s="20" t="s">
        <v>282</v>
      </c>
      <c r="E2486" s="24" t="s">
        <v>5142</v>
      </c>
      <c r="F2486" s="21" t="n">
        <v>39028</v>
      </c>
      <c r="G2486" s="22" t="s">
        <v>471</v>
      </c>
      <c r="H2486" s="23" t="n">
        <f aca="false">COUNTIF(CAL!U:AF,B2486)</f>
        <v>1</v>
      </c>
      <c r="I2486" s="22" t="n">
        <v>14</v>
      </c>
      <c r="J2486" s="20"/>
    </row>
    <row r="2487" customFormat="false" ht="15.75" hidden="false" customHeight="true" outlineLevel="0" collapsed="false">
      <c r="B2487" s="19" t="n">
        <v>3029</v>
      </c>
      <c r="C2487" s="20" t="s">
        <v>5143</v>
      </c>
      <c r="D2487" s="20" t="s">
        <v>242</v>
      </c>
      <c r="E2487" s="21" t="s">
        <v>5144</v>
      </c>
      <c r="F2487" s="21" t="n">
        <v>38464</v>
      </c>
      <c r="G2487" s="22" t="s">
        <v>471</v>
      </c>
      <c r="H2487" s="23" t="n">
        <f aca="false">COUNTIF(CAL!U:AF,B2487)</f>
        <v>1</v>
      </c>
      <c r="I2487" s="22" t="n">
        <v>14</v>
      </c>
      <c r="J2487" s="20"/>
    </row>
    <row r="2488" customFormat="false" ht="15.75" hidden="false" customHeight="true" outlineLevel="0" collapsed="false">
      <c r="B2488" s="19" t="n">
        <v>3030</v>
      </c>
      <c r="C2488" s="20" t="s">
        <v>5145</v>
      </c>
      <c r="D2488" s="20" t="s">
        <v>243</v>
      </c>
      <c r="E2488" s="21" t="s">
        <v>5146</v>
      </c>
      <c r="F2488" s="21" t="n">
        <v>36055</v>
      </c>
      <c r="G2488" s="22" t="s">
        <v>471</v>
      </c>
      <c r="H2488" s="23" t="n">
        <f aca="false">COUNTIF(CAL!U:AF,B2488)</f>
        <v>1</v>
      </c>
      <c r="I2488" s="22" t="n">
        <v>14</v>
      </c>
      <c r="J2488" s="20"/>
    </row>
    <row r="2489" customFormat="false" ht="15.75" hidden="false" customHeight="true" outlineLevel="0" collapsed="false">
      <c r="B2489" s="19" t="n">
        <v>3577</v>
      </c>
      <c r="C2489" s="20" t="s">
        <v>4748</v>
      </c>
      <c r="D2489" s="20" t="s">
        <v>442</v>
      </c>
      <c r="E2489" s="21" t="s">
        <v>5147</v>
      </c>
      <c r="F2489" s="21" t="n">
        <v>36295</v>
      </c>
      <c r="G2489" s="22" t="s">
        <v>471</v>
      </c>
      <c r="H2489" s="23" t="n">
        <f aca="false">COUNTIF(CAL!U:AF,B2489)</f>
        <v>1</v>
      </c>
      <c r="I2489" s="22" t="n">
        <v>14</v>
      </c>
      <c r="J2489" s="20"/>
    </row>
    <row r="2490" customFormat="false" ht="15.75" hidden="false" customHeight="true" outlineLevel="0" collapsed="false">
      <c r="B2490" s="19" t="n">
        <v>1026</v>
      </c>
      <c r="C2490" s="20" t="s">
        <v>5148</v>
      </c>
      <c r="D2490" s="20" t="s">
        <v>108</v>
      </c>
      <c r="E2490" s="24" t="s">
        <v>5149</v>
      </c>
      <c r="F2490" s="21" t="n">
        <v>34758</v>
      </c>
      <c r="G2490" s="22" t="s">
        <v>471</v>
      </c>
      <c r="H2490" s="23" t="n">
        <f aca="false">COUNTIF(CAL!U:AF,B2490)</f>
        <v>1</v>
      </c>
      <c r="I2490" s="22" t="n">
        <v>14</v>
      </c>
      <c r="J2490" s="20" t="s">
        <v>5150</v>
      </c>
    </row>
    <row r="2491" customFormat="false" ht="15.75" hidden="false" customHeight="true" outlineLevel="0" collapsed="false">
      <c r="B2491" s="19" t="n">
        <v>3644</v>
      </c>
      <c r="C2491" s="20" t="s">
        <v>526</v>
      </c>
      <c r="D2491" s="20" t="s">
        <v>107</v>
      </c>
      <c r="E2491" s="21" t="s">
        <v>5151</v>
      </c>
      <c r="F2491" s="21" t="n">
        <v>36193</v>
      </c>
      <c r="G2491" s="22" t="s">
        <v>471</v>
      </c>
      <c r="H2491" s="23" t="n">
        <f aca="false">COUNTIF(CAL!U:AF,B2491)</f>
        <v>1</v>
      </c>
      <c r="I2491" s="22" t="n">
        <v>14</v>
      </c>
      <c r="J2491" s="20"/>
    </row>
    <row r="2492" customFormat="false" ht="15.75" hidden="false" customHeight="true" outlineLevel="0" collapsed="false">
      <c r="B2492" s="19" t="n">
        <v>1027</v>
      </c>
      <c r="C2492" s="20" t="s">
        <v>5152</v>
      </c>
      <c r="D2492" s="20" t="s">
        <v>55</v>
      </c>
      <c r="E2492" s="24" t="s">
        <v>5153</v>
      </c>
      <c r="F2492" s="21" t="n">
        <v>34983</v>
      </c>
      <c r="G2492" s="22" t="s">
        <v>471</v>
      </c>
      <c r="H2492" s="23" t="n">
        <f aca="false">COUNTIF(CAL!U:AF,B2492)</f>
        <v>1</v>
      </c>
      <c r="I2492" s="22" t="n">
        <v>14</v>
      </c>
      <c r="J2492" s="20"/>
    </row>
    <row r="2493" customFormat="false" ht="15.75" hidden="false" customHeight="true" outlineLevel="0" collapsed="false">
      <c r="B2493" s="19" t="n">
        <v>3320</v>
      </c>
      <c r="C2493" s="20" t="s">
        <v>4767</v>
      </c>
      <c r="D2493" s="20" t="s">
        <v>165</v>
      </c>
      <c r="E2493" s="21" t="s">
        <v>5154</v>
      </c>
      <c r="F2493" s="21" t="n">
        <v>35815</v>
      </c>
      <c r="G2493" s="22" t="s">
        <v>471</v>
      </c>
      <c r="H2493" s="23" t="n">
        <f aca="false">COUNTIF(CAL!U:AF,B2493)</f>
        <v>1</v>
      </c>
      <c r="I2493" s="22" t="n">
        <v>14</v>
      </c>
      <c r="J2493" s="20"/>
    </row>
    <row r="2494" customFormat="false" ht="15.75" hidden="false" customHeight="true" outlineLevel="0" collapsed="false">
      <c r="B2494" s="19" t="n">
        <v>2852</v>
      </c>
      <c r="C2494" s="20" t="s">
        <v>5155</v>
      </c>
      <c r="D2494" s="20" t="s">
        <v>182</v>
      </c>
      <c r="E2494" s="21" t="s">
        <v>5156</v>
      </c>
      <c r="F2494" s="21" t="n">
        <v>32933</v>
      </c>
      <c r="G2494" s="22" t="s">
        <v>471</v>
      </c>
      <c r="H2494" s="23" t="n">
        <f aca="false">COUNTIF(CAL!U:AF,B2494)</f>
        <v>1</v>
      </c>
      <c r="I2494" s="22" t="n">
        <v>14</v>
      </c>
      <c r="J2494" s="20"/>
    </row>
    <row r="2495" customFormat="false" ht="15.75" hidden="false" customHeight="true" outlineLevel="0" collapsed="false">
      <c r="B2495" s="19" t="n">
        <v>2849</v>
      </c>
      <c r="C2495" s="20" t="s">
        <v>3528</v>
      </c>
      <c r="D2495" s="20" t="s">
        <v>116</v>
      </c>
      <c r="E2495" s="21" t="s">
        <v>5157</v>
      </c>
      <c r="F2495" s="21" t="n">
        <v>34016</v>
      </c>
      <c r="G2495" s="22" t="s">
        <v>471</v>
      </c>
      <c r="H2495" s="23" t="n">
        <f aca="false">COUNTIF(CAL!U:AF,B2495)</f>
        <v>1</v>
      </c>
      <c r="I2495" s="22" t="n">
        <v>14</v>
      </c>
      <c r="J2495" s="20"/>
    </row>
    <row r="2496" customFormat="false" ht="15.75" hidden="false" customHeight="true" outlineLevel="0" collapsed="false">
      <c r="B2496" s="19" t="n">
        <v>3153</v>
      </c>
      <c r="C2496" s="20" t="s">
        <v>921</v>
      </c>
      <c r="D2496" s="20" t="s">
        <v>238</v>
      </c>
      <c r="E2496" s="21" t="s">
        <v>5158</v>
      </c>
      <c r="F2496" s="21" t="n">
        <v>32883</v>
      </c>
      <c r="G2496" s="22" t="s">
        <v>471</v>
      </c>
      <c r="H2496" s="23" t="n">
        <f aca="false">COUNTIF(CAL!U:AF,B2496)</f>
        <v>1</v>
      </c>
      <c r="I2496" s="22" t="n">
        <v>14</v>
      </c>
      <c r="J2496" s="20"/>
    </row>
    <row r="2497" customFormat="false" ht="15.75" hidden="false" customHeight="true" outlineLevel="0" collapsed="false">
      <c r="B2497" s="19" t="n">
        <v>3460</v>
      </c>
      <c r="C2497" s="20" t="s">
        <v>5159</v>
      </c>
      <c r="D2497" s="20" t="s">
        <v>274</v>
      </c>
      <c r="E2497" s="21" t="s">
        <v>5160</v>
      </c>
      <c r="F2497" s="21" t="n">
        <v>36205</v>
      </c>
      <c r="G2497" s="22" t="s">
        <v>471</v>
      </c>
      <c r="H2497" s="23" t="n">
        <f aca="false">COUNTIF(CAL!U:AF,B2497)</f>
        <v>1</v>
      </c>
      <c r="I2497" s="22" t="n">
        <v>14</v>
      </c>
      <c r="J2497" s="20"/>
    </row>
    <row r="2498" customFormat="false" ht="15.75" hidden="false" customHeight="true" outlineLevel="0" collapsed="false">
      <c r="B2498" s="19" t="n">
        <v>3348</v>
      </c>
      <c r="C2498" s="20" t="s">
        <v>5161</v>
      </c>
      <c r="D2498" s="20" t="s">
        <v>336</v>
      </c>
      <c r="E2498" s="21" t="s">
        <v>5162</v>
      </c>
      <c r="F2498" s="21" t="n">
        <v>35779</v>
      </c>
      <c r="G2498" s="22" t="s">
        <v>471</v>
      </c>
      <c r="H2498" s="23" t="n">
        <f aca="false">COUNTIF(CAL!U:AF,B2498)</f>
        <v>1</v>
      </c>
      <c r="I2498" s="22" t="n">
        <v>14</v>
      </c>
      <c r="J2498" s="20"/>
    </row>
    <row r="2499" customFormat="false" ht="15.75" hidden="false" customHeight="true" outlineLevel="0" collapsed="false">
      <c r="B2499" s="19" t="n">
        <v>2215</v>
      </c>
      <c r="C2499" s="20" t="s">
        <v>5163</v>
      </c>
      <c r="D2499" s="20" t="s">
        <v>136</v>
      </c>
      <c r="E2499" s="21" t="s">
        <v>5164</v>
      </c>
      <c r="F2499" s="21" t="n">
        <v>36387</v>
      </c>
      <c r="G2499" s="22" t="s">
        <v>471</v>
      </c>
      <c r="H2499" s="23" t="n">
        <f aca="false">COUNTIF(CAL!U:AF,B2499)</f>
        <v>1</v>
      </c>
      <c r="I2499" s="22" t="n">
        <v>14</v>
      </c>
      <c r="J2499" s="20"/>
    </row>
    <row r="2500" customFormat="false" ht="15.75" hidden="false" customHeight="true" outlineLevel="0" collapsed="false">
      <c r="B2500" s="19" t="n">
        <v>2931</v>
      </c>
      <c r="C2500" s="20" t="s">
        <v>5165</v>
      </c>
      <c r="D2500" s="20" t="s">
        <v>106</v>
      </c>
      <c r="E2500" s="21" t="s">
        <v>5166</v>
      </c>
      <c r="F2500" s="21" t="n">
        <v>37047</v>
      </c>
      <c r="G2500" s="22" t="s">
        <v>471</v>
      </c>
      <c r="H2500" s="23" t="n">
        <f aca="false">COUNTIF(CAL!U:AF,B2500)</f>
        <v>1</v>
      </c>
      <c r="I2500" s="22" t="n">
        <v>14</v>
      </c>
      <c r="J2500" s="20"/>
    </row>
    <row r="2501" customFormat="false" ht="15.75" hidden="false" customHeight="true" outlineLevel="0" collapsed="false">
      <c r="B2501" s="19" t="n">
        <v>3149</v>
      </c>
      <c r="C2501" s="20" t="s">
        <v>5167</v>
      </c>
      <c r="D2501" s="20" t="s">
        <v>268</v>
      </c>
      <c r="E2501" s="21" t="s">
        <v>5168</v>
      </c>
      <c r="F2501" s="21" t="n">
        <v>36327</v>
      </c>
      <c r="G2501" s="22" t="s">
        <v>492</v>
      </c>
      <c r="H2501" s="23" t="n">
        <f aca="false">COUNTIF(CAL!U:AF,B2501)</f>
        <v>1</v>
      </c>
      <c r="I2501" s="22" t="n">
        <v>14</v>
      </c>
      <c r="J2501" s="20"/>
    </row>
    <row r="2502" customFormat="false" ht="15.75" hidden="false" customHeight="true" outlineLevel="0" collapsed="false">
      <c r="B2502" s="19" t="n">
        <v>3279</v>
      </c>
      <c r="C2502" s="20" t="s">
        <v>5169</v>
      </c>
      <c r="D2502" s="20" t="s">
        <v>70</v>
      </c>
      <c r="E2502" s="21" t="s">
        <v>5170</v>
      </c>
      <c r="F2502" s="21" t="n">
        <v>34761</v>
      </c>
      <c r="G2502" s="22" t="s">
        <v>471</v>
      </c>
      <c r="H2502" s="23" t="n">
        <f aca="false">COUNTIF(CAL!U:AF,B2502)</f>
        <v>1</v>
      </c>
      <c r="I2502" s="22" t="n">
        <v>14</v>
      </c>
      <c r="J2502" s="20"/>
    </row>
    <row r="2503" customFormat="false" ht="15.75" hidden="false" customHeight="true" outlineLevel="0" collapsed="false">
      <c r="B2503" s="19" t="n">
        <v>2323</v>
      </c>
      <c r="C2503" s="20" t="s">
        <v>5171</v>
      </c>
      <c r="D2503" s="20" t="s">
        <v>279</v>
      </c>
      <c r="E2503" s="21" t="s">
        <v>5172</v>
      </c>
      <c r="F2503" s="21" t="n">
        <v>35224</v>
      </c>
      <c r="G2503" s="22" t="s">
        <v>471</v>
      </c>
      <c r="H2503" s="23" t="n">
        <f aca="false">COUNTIF(CAL!U:AF,B2503)</f>
        <v>1</v>
      </c>
      <c r="I2503" s="22" t="n">
        <v>14</v>
      </c>
      <c r="J2503" s="20"/>
    </row>
    <row r="2504" customFormat="false" ht="15.75" hidden="false" customHeight="true" outlineLevel="0" collapsed="false">
      <c r="B2504" s="19" t="n">
        <v>3203</v>
      </c>
      <c r="C2504" s="20" t="s">
        <v>3377</v>
      </c>
      <c r="D2504" s="20" t="s">
        <v>336</v>
      </c>
      <c r="E2504" s="21" t="s">
        <v>5173</v>
      </c>
      <c r="F2504" s="21" t="n">
        <v>35473</v>
      </c>
      <c r="G2504" s="22" t="s">
        <v>471</v>
      </c>
      <c r="H2504" s="23" t="n">
        <f aca="false">COUNTIF(CAL!U:AF,B2504)</f>
        <v>1</v>
      </c>
      <c r="I2504" s="22" t="n">
        <v>14</v>
      </c>
      <c r="J2504" s="20"/>
    </row>
    <row r="2505" customFormat="false" ht="15.75" hidden="false" customHeight="true" outlineLevel="0" collapsed="false">
      <c r="B2505" s="19" t="n">
        <v>2689</v>
      </c>
      <c r="C2505" s="20" t="s">
        <v>5174</v>
      </c>
      <c r="D2505" s="20" t="s">
        <v>127</v>
      </c>
      <c r="E2505" s="21" t="s">
        <v>5175</v>
      </c>
      <c r="F2505" s="21" t="n">
        <v>33660</v>
      </c>
      <c r="G2505" s="22" t="s">
        <v>471</v>
      </c>
      <c r="H2505" s="23" t="n">
        <f aca="false">COUNTIF(CAL!U:AF,B2505)</f>
        <v>1</v>
      </c>
      <c r="I2505" s="22" t="n">
        <v>14</v>
      </c>
      <c r="J2505" s="20"/>
    </row>
    <row r="2506" customFormat="false" ht="15.75" hidden="false" customHeight="true" outlineLevel="0" collapsed="false">
      <c r="B2506" s="19" t="n">
        <v>3404</v>
      </c>
      <c r="C2506" s="20" t="s">
        <v>5176</v>
      </c>
      <c r="D2506" s="20" t="s">
        <v>292</v>
      </c>
      <c r="E2506" s="21" t="s">
        <v>5177</v>
      </c>
      <c r="F2506" s="21" t="n">
        <v>37693</v>
      </c>
      <c r="G2506" s="22" t="s">
        <v>471</v>
      </c>
      <c r="H2506" s="23" t="n">
        <f aca="false">COUNTIF(CAL!U:AF,B2506)</f>
        <v>1</v>
      </c>
      <c r="I2506" s="22" t="n">
        <v>14</v>
      </c>
      <c r="J2506" s="20"/>
    </row>
    <row r="2507" customFormat="false" ht="15.75" hidden="false" customHeight="true" outlineLevel="0" collapsed="false">
      <c r="B2507" s="19" t="n">
        <v>1310</v>
      </c>
      <c r="C2507" s="20" t="s">
        <v>5178</v>
      </c>
      <c r="D2507" s="20" t="s">
        <v>366</v>
      </c>
      <c r="E2507" s="21" t="s">
        <v>5179</v>
      </c>
      <c r="F2507" s="21" t="n">
        <v>35874</v>
      </c>
      <c r="G2507" s="22" t="s">
        <v>471</v>
      </c>
      <c r="H2507" s="23" t="n">
        <f aca="false">COUNTIF(CAL!U:AF,B2507)</f>
        <v>1</v>
      </c>
      <c r="I2507" s="22" t="n">
        <v>14</v>
      </c>
      <c r="J2507" s="20" t="s">
        <v>5180</v>
      </c>
    </row>
    <row r="2508" customFormat="false" ht="15.75" hidden="false" customHeight="true" outlineLevel="0" collapsed="false">
      <c r="B2508" s="19" t="n">
        <v>2727</v>
      </c>
      <c r="C2508" s="20" t="s">
        <v>3599</v>
      </c>
      <c r="D2508" s="20" t="s">
        <v>331</v>
      </c>
      <c r="E2508" s="21" t="s">
        <v>5181</v>
      </c>
      <c r="F2508" s="21" t="n">
        <v>38365</v>
      </c>
      <c r="G2508" s="22" t="s">
        <v>471</v>
      </c>
      <c r="H2508" s="23" t="n">
        <f aca="false">COUNTIF(CAL!U:AF,B2508)</f>
        <v>1</v>
      </c>
      <c r="I2508" s="22" t="n">
        <v>14</v>
      </c>
      <c r="J2508" s="20"/>
    </row>
    <row r="2509" customFormat="false" ht="15.75" hidden="false" customHeight="true" outlineLevel="0" collapsed="false">
      <c r="B2509" s="19" t="n">
        <v>3305</v>
      </c>
      <c r="C2509" s="20" t="s">
        <v>2721</v>
      </c>
      <c r="D2509" s="20" t="s">
        <v>432</v>
      </c>
      <c r="E2509" s="21" t="s">
        <v>5182</v>
      </c>
      <c r="F2509" s="21" t="n">
        <v>33937</v>
      </c>
      <c r="G2509" s="22" t="s">
        <v>471</v>
      </c>
      <c r="H2509" s="23" t="n">
        <f aca="false">COUNTIF(CAL!U:AF,B2509)</f>
        <v>1</v>
      </c>
      <c r="I2509" s="22" t="n">
        <v>14</v>
      </c>
      <c r="J2509" s="20"/>
    </row>
    <row r="2510" customFormat="false" ht="15.75" hidden="false" customHeight="true" outlineLevel="0" collapsed="false">
      <c r="B2510" s="19" t="n">
        <v>2320</v>
      </c>
      <c r="C2510" s="20" t="s">
        <v>5183</v>
      </c>
      <c r="D2510" s="20" t="s">
        <v>60</v>
      </c>
      <c r="E2510" s="21" t="s">
        <v>5184</v>
      </c>
      <c r="F2510" s="21" t="n">
        <v>35242</v>
      </c>
      <c r="G2510" s="22" t="s">
        <v>471</v>
      </c>
      <c r="H2510" s="23" t="n">
        <f aca="false">COUNTIF(CAL!U:AF,B2510)</f>
        <v>1</v>
      </c>
      <c r="I2510" s="22" t="n">
        <v>14</v>
      </c>
      <c r="J2510" s="20"/>
    </row>
    <row r="2511" customFormat="false" ht="15.75" hidden="false" customHeight="true" outlineLevel="0" collapsed="false">
      <c r="B2511" s="19" t="n">
        <v>2975</v>
      </c>
      <c r="C2511" s="20" t="s">
        <v>5185</v>
      </c>
      <c r="D2511" s="20" t="s">
        <v>92</v>
      </c>
      <c r="E2511" s="21" t="s">
        <v>5186</v>
      </c>
      <c r="F2511" s="21" t="n">
        <v>37311</v>
      </c>
      <c r="G2511" s="22" t="s">
        <v>471</v>
      </c>
      <c r="H2511" s="23" t="n">
        <f aca="false">COUNTIF(CAL!U:AF,B2511)</f>
        <v>1</v>
      </c>
      <c r="I2511" s="22" t="n">
        <v>14</v>
      </c>
      <c r="J2511" s="20"/>
    </row>
    <row r="2512" customFormat="false" ht="15.75" hidden="false" customHeight="true" outlineLevel="0" collapsed="false">
      <c r="B2512" s="19" t="n">
        <v>2198</v>
      </c>
      <c r="C2512" s="20" t="s">
        <v>5187</v>
      </c>
      <c r="D2512" s="20" t="s">
        <v>304</v>
      </c>
      <c r="E2512" s="21" t="s">
        <v>5188</v>
      </c>
      <c r="F2512" s="21" t="n">
        <v>34493</v>
      </c>
      <c r="G2512" s="22" t="s">
        <v>471</v>
      </c>
      <c r="H2512" s="23" t="n">
        <f aca="false">COUNTIF(CAL!U:AF,B2512)</f>
        <v>1</v>
      </c>
      <c r="I2512" s="22" t="n">
        <v>14</v>
      </c>
      <c r="J2512" s="20"/>
    </row>
    <row r="2513" customFormat="false" ht="15.75" hidden="false" customHeight="true" outlineLevel="0" collapsed="false">
      <c r="B2513" s="19" t="n">
        <v>3652</v>
      </c>
      <c r="C2513" s="20" t="s">
        <v>5189</v>
      </c>
      <c r="D2513" s="20" t="s">
        <v>164</v>
      </c>
      <c r="E2513" s="21" t="s">
        <v>5190</v>
      </c>
      <c r="F2513" s="21" t="n">
        <v>36633</v>
      </c>
      <c r="G2513" s="22" t="s">
        <v>471</v>
      </c>
      <c r="H2513" s="23" t="n">
        <f aca="false">COUNTIF(CAL!U:AF,B2513)</f>
        <v>1</v>
      </c>
      <c r="I2513" s="22" t="n">
        <v>14</v>
      </c>
      <c r="J2513" s="20"/>
    </row>
    <row r="2514" customFormat="false" ht="15.75" hidden="false" customHeight="true" outlineLevel="0" collapsed="false">
      <c r="B2514" s="19" t="n">
        <v>2919</v>
      </c>
      <c r="C2514" s="20" t="s">
        <v>1091</v>
      </c>
      <c r="D2514" s="20" t="s">
        <v>228</v>
      </c>
      <c r="E2514" s="24" t="s">
        <v>5191</v>
      </c>
      <c r="F2514" s="21" t="n">
        <v>34251</v>
      </c>
      <c r="G2514" s="22" t="s">
        <v>471</v>
      </c>
      <c r="H2514" s="23" t="n">
        <f aca="false">COUNTIF(CAL!U:AF,B2514)</f>
        <v>1</v>
      </c>
      <c r="I2514" s="22" t="n">
        <v>14</v>
      </c>
      <c r="J2514" s="20"/>
    </row>
    <row r="2515" customFormat="false" ht="15.75" hidden="false" customHeight="true" outlineLevel="0" collapsed="false">
      <c r="B2515" s="19" t="n">
        <v>2453</v>
      </c>
      <c r="C2515" s="20" t="s">
        <v>5192</v>
      </c>
      <c r="D2515" s="20" t="s">
        <v>237</v>
      </c>
      <c r="E2515" s="21" t="s">
        <v>5193</v>
      </c>
      <c r="F2515" s="21" t="n">
        <v>36910</v>
      </c>
      <c r="G2515" s="22" t="s">
        <v>471</v>
      </c>
      <c r="H2515" s="23" t="n">
        <f aca="false">COUNTIF(CAL!U:AF,B2515)</f>
        <v>1</v>
      </c>
      <c r="I2515" s="22" t="n">
        <v>14</v>
      </c>
      <c r="J2515" s="20"/>
    </row>
    <row r="2516" customFormat="false" ht="15.75" hidden="false" customHeight="true" outlineLevel="0" collapsed="false">
      <c r="B2516" s="19" t="n">
        <v>2820</v>
      </c>
      <c r="C2516" s="20" t="s">
        <v>5194</v>
      </c>
      <c r="D2516" s="20" t="s">
        <v>236</v>
      </c>
      <c r="E2516" s="21" t="s">
        <v>5195</v>
      </c>
      <c r="F2516" s="21" t="n">
        <v>38380</v>
      </c>
      <c r="G2516" s="22" t="s">
        <v>471</v>
      </c>
      <c r="H2516" s="23" t="n">
        <f aca="false">COUNTIF(CAL!U:AF,B2516)</f>
        <v>1</v>
      </c>
      <c r="I2516" s="22" t="n">
        <v>14</v>
      </c>
      <c r="J2516" s="20"/>
    </row>
    <row r="2517" customFormat="false" ht="15.75" hidden="false" customHeight="true" outlineLevel="0" collapsed="false">
      <c r="B2517" s="19" t="n">
        <v>1533</v>
      </c>
      <c r="C2517" s="20" t="s">
        <v>5196</v>
      </c>
      <c r="D2517" s="20" t="s">
        <v>57</v>
      </c>
      <c r="E2517" s="21" t="s">
        <v>5197</v>
      </c>
      <c r="F2517" s="21" t="n">
        <v>37096</v>
      </c>
      <c r="G2517" s="22" t="s">
        <v>471</v>
      </c>
      <c r="H2517" s="23" t="n">
        <f aca="false">COUNTIF(CAL!U:AF,B2517)</f>
        <v>1</v>
      </c>
      <c r="I2517" s="22" t="n">
        <v>14</v>
      </c>
      <c r="J2517" s="20"/>
    </row>
    <row r="2518" customFormat="false" ht="15.75" hidden="false" customHeight="true" outlineLevel="0" collapsed="false">
      <c r="B2518" s="19" t="n">
        <v>2033</v>
      </c>
      <c r="C2518" s="20" t="s">
        <v>2697</v>
      </c>
      <c r="D2518" s="20" t="s">
        <v>236</v>
      </c>
      <c r="E2518" s="21" t="s">
        <v>5198</v>
      </c>
      <c r="F2518" s="21" t="n">
        <v>37537</v>
      </c>
      <c r="G2518" s="22" t="s">
        <v>471</v>
      </c>
      <c r="H2518" s="23" t="n">
        <f aca="false">COUNTIF(CAL!U:AF,B2518)</f>
        <v>1</v>
      </c>
      <c r="I2518" s="22" t="n">
        <v>14</v>
      </c>
      <c r="J2518" s="20"/>
    </row>
    <row r="2519" customFormat="false" ht="15.75" hidden="false" customHeight="true" outlineLevel="0" collapsed="false">
      <c r="B2519" s="19" t="n">
        <v>1669</v>
      </c>
      <c r="C2519" s="20" t="s">
        <v>5199</v>
      </c>
      <c r="D2519" s="20" t="s">
        <v>134</v>
      </c>
      <c r="E2519" s="21" t="s">
        <v>5200</v>
      </c>
      <c r="F2519" s="21" t="n">
        <v>34226</v>
      </c>
      <c r="G2519" s="22" t="s">
        <v>471</v>
      </c>
      <c r="H2519" s="23" t="n">
        <f aca="false">COUNTIF(CAL!U:AF,B2519)</f>
        <v>1</v>
      </c>
      <c r="I2519" s="22" t="n">
        <v>14</v>
      </c>
      <c r="J2519" s="20"/>
    </row>
    <row r="2520" customFormat="false" ht="15.75" hidden="false" customHeight="true" outlineLevel="0" collapsed="false">
      <c r="B2520" s="19" t="n">
        <v>2723</v>
      </c>
      <c r="C2520" s="20" t="s">
        <v>4850</v>
      </c>
      <c r="D2520" s="20" t="s">
        <v>76</v>
      </c>
      <c r="E2520" s="21" t="s">
        <v>5201</v>
      </c>
      <c r="F2520" s="21" t="n">
        <v>37417</v>
      </c>
      <c r="G2520" s="22" t="s">
        <v>471</v>
      </c>
      <c r="H2520" s="23" t="n">
        <f aca="false">COUNTIF(CAL!U:AF,B2520)</f>
        <v>1</v>
      </c>
      <c r="I2520" s="22" t="n">
        <v>14</v>
      </c>
      <c r="J2520" s="20"/>
    </row>
    <row r="2521" customFormat="false" ht="15.75" hidden="false" customHeight="true" outlineLevel="0" collapsed="false">
      <c r="B2521" s="19" t="n">
        <v>2937</v>
      </c>
      <c r="C2521" s="20" t="s">
        <v>5202</v>
      </c>
      <c r="D2521" s="20" t="s">
        <v>88</v>
      </c>
      <c r="E2521" s="21" t="s">
        <v>5203</v>
      </c>
      <c r="F2521" s="21" t="n">
        <v>35105</v>
      </c>
      <c r="G2521" s="22" t="s">
        <v>5204</v>
      </c>
      <c r="H2521" s="23" t="n">
        <f aca="false">COUNTIF(CAL!U:AF,B2521)</f>
        <v>1</v>
      </c>
      <c r="I2521" s="22" t="n">
        <v>15</v>
      </c>
      <c r="J2521" s="20"/>
    </row>
    <row r="2522" customFormat="false" ht="15.75" hidden="false" customHeight="true" outlineLevel="0" collapsed="false">
      <c r="B2522" s="19" t="n">
        <v>1137</v>
      </c>
      <c r="C2522" s="20" t="s">
        <v>5205</v>
      </c>
      <c r="D2522" s="20" t="s">
        <v>234</v>
      </c>
      <c r="E2522" s="21" t="s">
        <v>5206</v>
      </c>
      <c r="F2522" s="21" t="n">
        <v>36207</v>
      </c>
      <c r="G2522" s="22" t="s">
        <v>471</v>
      </c>
      <c r="H2522" s="23" t="n">
        <f aca="false">COUNTIF(CAL!U:AF,B2522)</f>
        <v>1</v>
      </c>
      <c r="I2522" s="22" t="n">
        <v>15</v>
      </c>
      <c r="J2522" s="20"/>
    </row>
    <row r="2523" customFormat="false" ht="15.75" hidden="false" customHeight="true" outlineLevel="0" collapsed="false">
      <c r="B2523" s="19" t="n">
        <v>1735</v>
      </c>
      <c r="C2523" s="20" t="s">
        <v>4172</v>
      </c>
      <c r="D2523" s="20" t="s">
        <v>109</v>
      </c>
      <c r="E2523" s="21" t="s">
        <v>5207</v>
      </c>
      <c r="F2523" s="21" t="n">
        <v>35541</v>
      </c>
      <c r="G2523" s="22" t="s">
        <v>471</v>
      </c>
      <c r="H2523" s="23" t="n">
        <f aca="false">COUNTIF(CAL!U:AF,B2523)</f>
        <v>1</v>
      </c>
      <c r="I2523" s="22" t="n">
        <v>15</v>
      </c>
      <c r="J2523" s="20"/>
    </row>
    <row r="2524" customFormat="false" ht="15.75" hidden="false" customHeight="true" outlineLevel="0" collapsed="false">
      <c r="B2524" s="19" t="n">
        <v>2754</v>
      </c>
      <c r="C2524" s="20" t="s">
        <v>978</v>
      </c>
      <c r="D2524" s="20" t="s">
        <v>233</v>
      </c>
      <c r="E2524" s="21" t="s">
        <v>5208</v>
      </c>
      <c r="F2524" s="21" t="n">
        <v>35661</v>
      </c>
      <c r="G2524" s="22" t="s">
        <v>471</v>
      </c>
      <c r="H2524" s="23" t="n">
        <f aca="false">COUNTIF(CAL!U:AF,B2524)</f>
        <v>1</v>
      </c>
      <c r="I2524" s="22" t="n">
        <v>15</v>
      </c>
      <c r="J2524" s="20"/>
    </row>
    <row r="2525" customFormat="false" ht="15.75" hidden="false" customHeight="true" outlineLevel="0" collapsed="false">
      <c r="B2525" s="19" t="n">
        <v>2494</v>
      </c>
      <c r="C2525" s="20" t="s">
        <v>5209</v>
      </c>
      <c r="D2525" s="20" t="s">
        <v>140</v>
      </c>
      <c r="E2525" s="21" t="s">
        <v>5210</v>
      </c>
      <c r="F2525" s="21" t="n">
        <v>34523</v>
      </c>
      <c r="G2525" s="22" t="s">
        <v>471</v>
      </c>
      <c r="H2525" s="23" t="n">
        <f aca="false">COUNTIF(CAL!U:AF,B2525)</f>
        <v>1</v>
      </c>
      <c r="I2525" s="22" t="n">
        <v>15</v>
      </c>
      <c r="J2525" s="20"/>
    </row>
    <row r="2526" customFormat="false" ht="15.75" hidden="false" customHeight="true" outlineLevel="0" collapsed="false">
      <c r="B2526" s="19" t="n">
        <v>2511</v>
      </c>
      <c r="C2526" s="20" t="s">
        <v>5211</v>
      </c>
      <c r="D2526" s="20" t="s">
        <v>292</v>
      </c>
      <c r="E2526" s="21" t="s">
        <v>5212</v>
      </c>
      <c r="F2526" s="21" t="n">
        <v>37753</v>
      </c>
      <c r="G2526" s="22" t="s">
        <v>471</v>
      </c>
      <c r="H2526" s="23" t="n">
        <f aca="false">COUNTIF(CAL!U:AF,B2526)</f>
        <v>1</v>
      </c>
      <c r="I2526" s="22" t="n">
        <v>15</v>
      </c>
      <c r="J2526" s="20"/>
    </row>
    <row r="2527" customFormat="false" ht="15.75" hidden="false" customHeight="true" outlineLevel="0" collapsed="false">
      <c r="B2527" s="19" t="n">
        <v>3467</v>
      </c>
      <c r="C2527" s="20" t="s">
        <v>980</v>
      </c>
      <c r="D2527" s="20" t="s">
        <v>109</v>
      </c>
      <c r="E2527" s="21" t="s">
        <v>5213</v>
      </c>
      <c r="F2527" s="21" t="n">
        <v>37228</v>
      </c>
      <c r="G2527" s="22" t="s">
        <v>471</v>
      </c>
      <c r="H2527" s="23" t="n">
        <f aca="false">COUNTIF(CAL!U:AF,B2527)</f>
        <v>1</v>
      </c>
      <c r="I2527" s="22" t="n">
        <v>15</v>
      </c>
      <c r="J2527" s="20"/>
    </row>
    <row r="2528" customFormat="false" ht="15.75" hidden="false" customHeight="true" outlineLevel="0" collapsed="false">
      <c r="B2528" s="19" t="n">
        <v>2183</v>
      </c>
      <c r="C2528" s="20" t="s">
        <v>5214</v>
      </c>
      <c r="D2528" s="20" t="s">
        <v>114</v>
      </c>
      <c r="E2528" s="21" t="s">
        <v>5215</v>
      </c>
      <c r="F2528" s="21" t="n">
        <v>37623</v>
      </c>
      <c r="G2528" s="22" t="s">
        <v>471</v>
      </c>
      <c r="H2528" s="23" t="n">
        <f aca="false">COUNTIF(CAL!U:AF,B2528)</f>
        <v>1</v>
      </c>
      <c r="I2528" s="22" t="n">
        <v>15</v>
      </c>
      <c r="J2528" s="20"/>
    </row>
    <row r="2529" customFormat="false" ht="15.75" hidden="false" customHeight="true" outlineLevel="0" collapsed="false">
      <c r="B2529" s="19" t="n">
        <v>1699</v>
      </c>
      <c r="C2529" s="20" t="s">
        <v>1571</v>
      </c>
      <c r="D2529" s="20" t="s">
        <v>238</v>
      </c>
      <c r="E2529" s="21" t="s">
        <v>1544</v>
      </c>
      <c r="F2529" s="21" t="n">
        <v>34019</v>
      </c>
      <c r="G2529" s="22" t="s">
        <v>471</v>
      </c>
      <c r="H2529" s="23" t="n">
        <f aca="false">COUNTIF(CAL!U:AF,B2529)</f>
        <v>1</v>
      </c>
      <c r="I2529" s="22" t="n">
        <v>15</v>
      </c>
      <c r="J2529" s="20"/>
    </row>
    <row r="2530" customFormat="false" ht="15.75" hidden="false" customHeight="true" outlineLevel="0" collapsed="false">
      <c r="B2530" s="19" t="n">
        <v>3308</v>
      </c>
      <c r="C2530" s="20" t="s">
        <v>5216</v>
      </c>
      <c r="D2530" s="20" t="s">
        <v>384</v>
      </c>
      <c r="E2530" s="21" t="s">
        <v>5217</v>
      </c>
      <c r="F2530" s="21" t="n">
        <v>34786</v>
      </c>
      <c r="G2530" s="22" t="s">
        <v>471</v>
      </c>
      <c r="H2530" s="23" t="n">
        <f aca="false">COUNTIF(CAL!U:AF,B2530)</f>
        <v>1</v>
      </c>
      <c r="I2530" s="22" t="n">
        <v>15</v>
      </c>
      <c r="J2530" s="20"/>
    </row>
    <row r="2531" customFormat="false" ht="15.75" hidden="false" customHeight="true" outlineLevel="0" collapsed="false">
      <c r="B2531" s="19" t="n">
        <v>2847</v>
      </c>
      <c r="C2531" s="20" t="s">
        <v>3475</v>
      </c>
      <c r="D2531" s="20" t="s">
        <v>267</v>
      </c>
      <c r="E2531" s="24" t="s">
        <v>5218</v>
      </c>
      <c r="F2531" s="21" t="n">
        <v>38823</v>
      </c>
      <c r="G2531" s="22" t="s">
        <v>471</v>
      </c>
      <c r="H2531" s="23" t="n">
        <f aca="false">COUNTIF(CAL!U:AF,B2531)</f>
        <v>1</v>
      </c>
      <c r="I2531" s="22" t="n">
        <v>15</v>
      </c>
      <c r="J2531" s="20"/>
    </row>
    <row r="2532" customFormat="false" ht="15.75" hidden="false" customHeight="true" outlineLevel="0" collapsed="false">
      <c r="B2532" s="19" t="n">
        <v>2063</v>
      </c>
      <c r="C2532" s="20" t="s">
        <v>1661</v>
      </c>
      <c r="D2532" s="20" t="s">
        <v>107</v>
      </c>
      <c r="E2532" s="21" t="s">
        <v>5219</v>
      </c>
      <c r="F2532" s="21" t="n">
        <v>36503</v>
      </c>
      <c r="G2532" s="22" t="s">
        <v>471</v>
      </c>
      <c r="H2532" s="23" t="n">
        <f aca="false">COUNTIF(CAL!U:AF,B2532)</f>
        <v>1</v>
      </c>
      <c r="I2532" s="22" t="n">
        <v>15</v>
      </c>
      <c r="J2532" s="20"/>
    </row>
    <row r="2533" customFormat="false" ht="15.75" hidden="false" customHeight="true" outlineLevel="0" collapsed="false">
      <c r="B2533" s="19" t="n">
        <v>2268</v>
      </c>
      <c r="C2533" s="20" t="s">
        <v>5220</v>
      </c>
      <c r="D2533" s="20" t="s">
        <v>233</v>
      </c>
      <c r="E2533" s="21" t="s">
        <v>5221</v>
      </c>
      <c r="F2533" s="21" t="n">
        <v>38100</v>
      </c>
      <c r="G2533" s="22" t="s">
        <v>471</v>
      </c>
      <c r="H2533" s="23" t="n">
        <f aca="false">COUNTIF(CAL!U:AF,B2533)</f>
        <v>1</v>
      </c>
      <c r="I2533" s="22" t="n">
        <v>15</v>
      </c>
      <c r="J2533" s="20"/>
    </row>
    <row r="2534" customFormat="false" ht="15.75" hidden="false" customHeight="true" outlineLevel="0" collapsed="false">
      <c r="B2534" s="19" t="n">
        <v>3027</v>
      </c>
      <c r="C2534" s="20" t="s">
        <v>5222</v>
      </c>
      <c r="D2534" s="20" t="s">
        <v>166</v>
      </c>
      <c r="E2534" s="21" t="s">
        <v>5223</v>
      </c>
      <c r="F2534" s="21" t="n">
        <v>36101</v>
      </c>
      <c r="G2534" s="22" t="s">
        <v>471</v>
      </c>
      <c r="H2534" s="23" t="n">
        <f aca="false">COUNTIF(CAL!U:AF,B2534)</f>
        <v>1</v>
      </c>
      <c r="I2534" s="22" t="n">
        <v>15</v>
      </c>
      <c r="J2534" s="20"/>
    </row>
    <row r="2535" customFormat="false" ht="15.75" hidden="false" customHeight="true" outlineLevel="0" collapsed="false">
      <c r="B2535" s="19" t="n">
        <v>2541</v>
      </c>
      <c r="C2535" s="20" t="s">
        <v>5224</v>
      </c>
      <c r="D2535" s="20" t="s">
        <v>163</v>
      </c>
      <c r="E2535" s="21" t="s">
        <v>5225</v>
      </c>
      <c r="F2535" s="21" t="n">
        <v>36947</v>
      </c>
      <c r="G2535" s="22" t="s">
        <v>471</v>
      </c>
      <c r="H2535" s="23" t="n">
        <f aca="false">COUNTIF(CAL!U:AF,B2535)</f>
        <v>1</v>
      </c>
      <c r="I2535" s="22" t="n">
        <v>15</v>
      </c>
      <c r="J2535" s="20"/>
    </row>
    <row r="2536" customFormat="false" ht="15.75" hidden="false" customHeight="true" outlineLevel="0" collapsed="false">
      <c r="B2536" s="19" t="n">
        <v>3565</v>
      </c>
      <c r="C2536" s="20" t="s">
        <v>996</v>
      </c>
      <c r="D2536" s="20" t="s">
        <v>140</v>
      </c>
      <c r="E2536" s="21" t="s">
        <v>5226</v>
      </c>
      <c r="F2536" s="21" t="n">
        <v>37312</v>
      </c>
      <c r="G2536" s="22" t="s">
        <v>471</v>
      </c>
      <c r="H2536" s="23" t="n">
        <f aca="false">COUNTIF(CAL!U:AF,B2536)</f>
        <v>1</v>
      </c>
      <c r="I2536" s="22" t="n">
        <v>15</v>
      </c>
      <c r="J2536" s="20"/>
    </row>
    <row r="2537" customFormat="false" ht="15.75" hidden="false" customHeight="true" outlineLevel="0" collapsed="false">
      <c r="B2537" s="19" t="n">
        <v>2994</v>
      </c>
      <c r="C2537" s="20" t="s">
        <v>1600</v>
      </c>
      <c r="D2537" s="20" t="s">
        <v>182</v>
      </c>
      <c r="E2537" s="21" t="s">
        <v>5227</v>
      </c>
      <c r="F2537" s="21" t="n">
        <v>38029</v>
      </c>
      <c r="G2537" s="22" t="s">
        <v>471</v>
      </c>
      <c r="H2537" s="23" t="n">
        <f aca="false">COUNTIF(CAL!U:AF,B2537)</f>
        <v>1</v>
      </c>
      <c r="I2537" s="22" t="n">
        <v>15</v>
      </c>
      <c r="J2537" s="20"/>
    </row>
    <row r="2538" customFormat="false" ht="15.75" hidden="false" customHeight="true" outlineLevel="0" collapsed="false">
      <c r="B2538" s="19" t="n">
        <v>1847</v>
      </c>
      <c r="C2538" s="20" t="s">
        <v>5228</v>
      </c>
      <c r="D2538" s="20" t="s">
        <v>238</v>
      </c>
      <c r="E2538" s="24" t="s">
        <v>5229</v>
      </c>
      <c r="F2538" s="21" t="n">
        <v>35984</v>
      </c>
      <c r="G2538" s="22" t="s">
        <v>471</v>
      </c>
      <c r="H2538" s="23" t="n">
        <f aca="false">COUNTIF(CAL!U:AF,B2538)</f>
        <v>1</v>
      </c>
      <c r="I2538" s="22" t="n">
        <v>15</v>
      </c>
      <c r="J2538" s="20"/>
    </row>
    <row r="2539" customFormat="false" ht="15.75" hidden="false" customHeight="true" outlineLevel="0" collapsed="false">
      <c r="B2539" s="19" t="n">
        <v>2359</v>
      </c>
      <c r="C2539" s="20" t="s">
        <v>5230</v>
      </c>
      <c r="D2539" s="20" t="s">
        <v>151</v>
      </c>
      <c r="E2539" s="21" t="s">
        <v>5231</v>
      </c>
      <c r="F2539" s="21" t="n">
        <v>34103</v>
      </c>
      <c r="G2539" s="22" t="s">
        <v>471</v>
      </c>
      <c r="H2539" s="23" t="n">
        <f aca="false">COUNTIF(CAL!U:AF,B2539)</f>
        <v>1</v>
      </c>
      <c r="I2539" s="22" t="n">
        <v>15</v>
      </c>
      <c r="J2539" s="20"/>
    </row>
    <row r="2540" customFormat="false" ht="15.75" hidden="false" customHeight="true" outlineLevel="0" collapsed="false">
      <c r="B2540" s="19" t="n">
        <v>1417</v>
      </c>
      <c r="C2540" s="20" t="s">
        <v>5232</v>
      </c>
      <c r="D2540" s="20" t="s">
        <v>143</v>
      </c>
      <c r="E2540" s="21" t="s">
        <v>5233</v>
      </c>
      <c r="F2540" s="21" t="n">
        <v>34969</v>
      </c>
      <c r="G2540" s="22" t="s">
        <v>1017</v>
      </c>
      <c r="H2540" s="23" t="n">
        <f aca="false">COUNTIF(CAL!U:AF,B2540)</f>
        <v>1</v>
      </c>
      <c r="I2540" s="22" t="n">
        <v>15</v>
      </c>
      <c r="J2540" s="20"/>
    </row>
    <row r="2541" customFormat="false" ht="15.75" hidden="false" customHeight="true" outlineLevel="0" collapsed="false">
      <c r="B2541" s="19" t="n">
        <v>1761</v>
      </c>
      <c r="C2541" s="20" t="s">
        <v>5234</v>
      </c>
      <c r="D2541" s="20" t="s">
        <v>261</v>
      </c>
      <c r="E2541" s="21" t="s">
        <v>5235</v>
      </c>
      <c r="F2541" s="21" t="n">
        <v>36554</v>
      </c>
      <c r="G2541" s="22" t="s">
        <v>471</v>
      </c>
      <c r="H2541" s="23" t="n">
        <f aca="false">COUNTIF(CAL!U:AF,B2541)</f>
        <v>1</v>
      </c>
      <c r="I2541" s="22" t="n">
        <v>15</v>
      </c>
      <c r="J2541" s="20"/>
    </row>
    <row r="2542" customFormat="false" ht="15.75" hidden="false" customHeight="true" outlineLevel="0" collapsed="false">
      <c r="B2542" s="19" t="n">
        <v>3498</v>
      </c>
      <c r="C2542" s="20" t="s">
        <v>5236</v>
      </c>
      <c r="D2542" s="20" t="s">
        <v>313</v>
      </c>
      <c r="E2542" s="21" t="s">
        <v>5237</v>
      </c>
      <c r="F2542" s="21" t="n">
        <v>34034</v>
      </c>
      <c r="G2542" s="22" t="s">
        <v>471</v>
      </c>
      <c r="H2542" s="23" t="n">
        <f aca="false">COUNTIF(CAL!U:AF,B2542)</f>
        <v>1</v>
      </c>
      <c r="I2542" s="22" t="n">
        <v>15</v>
      </c>
      <c r="J2542" s="20"/>
    </row>
    <row r="2543" customFormat="false" ht="15.75" hidden="false" customHeight="true" outlineLevel="0" collapsed="false">
      <c r="B2543" s="19" t="n">
        <v>3473</v>
      </c>
      <c r="C2543" s="20" t="s">
        <v>5238</v>
      </c>
      <c r="D2543" s="20" t="s">
        <v>303</v>
      </c>
      <c r="E2543" s="24" t="s">
        <v>5239</v>
      </c>
      <c r="F2543" s="21" t="n">
        <v>36403</v>
      </c>
      <c r="G2543" s="22" t="s">
        <v>471</v>
      </c>
      <c r="H2543" s="23" t="n">
        <f aca="false">COUNTIF(CAL!U:AF,B2543)</f>
        <v>1</v>
      </c>
      <c r="I2543" s="22" t="n">
        <v>15</v>
      </c>
      <c r="J2543" s="20" t="s">
        <v>5240</v>
      </c>
    </row>
    <row r="2544" customFormat="false" ht="15.75" hidden="false" customHeight="true" outlineLevel="0" collapsed="false">
      <c r="B2544" s="19" t="n">
        <v>3433</v>
      </c>
      <c r="C2544" s="20" t="s">
        <v>5241</v>
      </c>
      <c r="D2544" s="20" t="s">
        <v>164</v>
      </c>
      <c r="E2544" s="21" t="s">
        <v>5242</v>
      </c>
      <c r="F2544" s="21" t="n">
        <v>35891</v>
      </c>
      <c r="G2544" s="22" t="s">
        <v>471</v>
      </c>
      <c r="H2544" s="23" t="n">
        <f aca="false">COUNTIF(CAL!U:AF,B2544)</f>
        <v>1</v>
      </c>
      <c r="I2544" s="22" t="n">
        <v>15</v>
      </c>
      <c r="J2544" s="20"/>
    </row>
    <row r="2545" customFormat="false" ht="15.75" hidden="false" customHeight="true" outlineLevel="0" collapsed="false">
      <c r="B2545" s="19" t="n">
        <v>2862</v>
      </c>
      <c r="C2545" s="20" t="s">
        <v>5243</v>
      </c>
      <c r="D2545" s="20" t="s">
        <v>176</v>
      </c>
      <c r="E2545" s="24" t="s">
        <v>5244</v>
      </c>
      <c r="F2545" s="21" t="n">
        <v>36747</v>
      </c>
      <c r="G2545" s="22" t="s">
        <v>471</v>
      </c>
      <c r="H2545" s="23" t="n">
        <f aca="false">COUNTIF(CAL!U:AF,B2545)</f>
        <v>1</v>
      </c>
      <c r="I2545" s="22" t="n">
        <v>15</v>
      </c>
      <c r="J2545" s="20"/>
    </row>
    <row r="2546" customFormat="false" ht="15.75" hidden="false" customHeight="true" outlineLevel="0" collapsed="false">
      <c r="B2546" s="19" t="n">
        <v>3454</v>
      </c>
      <c r="C2546" s="20" t="s">
        <v>5245</v>
      </c>
      <c r="D2546" s="20" t="s">
        <v>235</v>
      </c>
      <c r="E2546" s="21" t="s">
        <v>5246</v>
      </c>
      <c r="F2546" s="21" t="n">
        <v>35363</v>
      </c>
      <c r="G2546" s="22" t="s">
        <v>471</v>
      </c>
      <c r="H2546" s="23" t="n">
        <f aca="false">COUNTIF(CAL!U:AF,B2546)</f>
        <v>1</v>
      </c>
      <c r="I2546" s="22" t="n">
        <v>15</v>
      </c>
      <c r="J2546" s="20"/>
    </row>
    <row r="2547" customFormat="false" ht="15.75" hidden="false" customHeight="true" outlineLevel="0" collapsed="false">
      <c r="B2547" s="19" t="n">
        <v>3504</v>
      </c>
      <c r="C2547" s="20" t="s">
        <v>5247</v>
      </c>
      <c r="D2547" s="20" t="s">
        <v>332</v>
      </c>
      <c r="E2547" s="21" t="s">
        <v>5248</v>
      </c>
      <c r="F2547" s="21" t="n">
        <v>35233</v>
      </c>
      <c r="G2547" s="22" t="s">
        <v>471</v>
      </c>
      <c r="H2547" s="23" t="n">
        <f aca="false">COUNTIF(CAL!U:AF,B2547)</f>
        <v>1</v>
      </c>
      <c r="I2547" s="22" t="n">
        <v>15</v>
      </c>
      <c r="J2547" s="20"/>
    </row>
    <row r="2548" customFormat="false" ht="15.75" hidden="false" customHeight="true" outlineLevel="0" collapsed="false">
      <c r="B2548" s="19" t="n">
        <v>3005</v>
      </c>
      <c r="C2548" s="20" t="s">
        <v>5249</v>
      </c>
      <c r="D2548" s="20" t="s">
        <v>159</v>
      </c>
      <c r="E2548" s="21" t="s">
        <v>5250</v>
      </c>
      <c r="F2548" s="21" t="n">
        <v>36951</v>
      </c>
      <c r="G2548" s="22" t="s">
        <v>471</v>
      </c>
      <c r="H2548" s="23" t="n">
        <f aca="false">COUNTIF(CAL!U:AF,B2548)</f>
        <v>1</v>
      </c>
      <c r="I2548" s="22" t="n">
        <v>15</v>
      </c>
      <c r="J2548" s="20"/>
    </row>
    <row r="2549" customFormat="false" ht="15.75" hidden="false" customHeight="true" outlineLevel="0" collapsed="false">
      <c r="B2549" s="19" t="n">
        <v>3632</v>
      </c>
      <c r="C2549" s="20" t="s">
        <v>5251</v>
      </c>
      <c r="D2549" s="20" t="s">
        <v>279</v>
      </c>
      <c r="E2549" s="21" t="s">
        <v>5252</v>
      </c>
      <c r="F2549" s="21" t="n">
        <v>37560</v>
      </c>
      <c r="G2549" s="22" t="s">
        <v>471</v>
      </c>
      <c r="H2549" s="23" t="n">
        <f aca="false">COUNTIF(CAL!U:AF,B2549)</f>
        <v>1</v>
      </c>
      <c r="I2549" s="22" t="n">
        <v>15</v>
      </c>
      <c r="J2549" s="20"/>
    </row>
    <row r="2550" customFormat="false" ht="15.75" hidden="false" customHeight="true" outlineLevel="0" collapsed="false">
      <c r="B2550" s="19" t="n">
        <v>3131</v>
      </c>
      <c r="C2550" s="20" t="s">
        <v>5253</v>
      </c>
      <c r="D2550" s="20" t="s">
        <v>134</v>
      </c>
      <c r="E2550" s="21" t="s">
        <v>5254</v>
      </c>
      <c r="F2550" s="21" t="n">
        <v>34733</v>
      </c>
      <c r="G2550" s="22" t="s">
        <v>471</v>
      </c>
      <c r="H2550" s="23" t="n">
        <f aca="false">COUNTIF(CAL!U:AF,B2550)</f>
        <v>1</v>
      </c>
      <c r="I2550" s="22" t="n">
        <v>15</v>
      </c>
      <c r="J2550" s="20"/>
    </row>
    <row r="2551" customFormat="false" ht="15.75" hidden="false" customHeight="true" outlineLevel="0" collapsed="false">
      <c r="B2551" s="19" t="n">
        <v>3032</v>
      </c>
      <c r="C2551" s="20" t="s">
        <v>5255</v>
      </c>
      <c r="D2551" s="20" t="s">
        <v>76</v>
      </c>
      <c r="E2551" s="21" t="s">
        <v>5256</v>
      </c>
      <c r="F2551" s="21" t="n">
        <v>37475</v>
      </c>
      <c r="G2551" s="22" t="s">
        <v>471</v>
      </c>
      <c r="H2551" s="23" t="n">
        <f aca="false">COUNTIF(CAL!U:AF,B2551)</f>
        <v>1</v>
      </c>
      <c r="I2551" s="22" t="n">
        <v>16</v>
      </c>
      <c r="J2551" s="20"/>
    </row>
    <row r="2552" customFormat="false" ht="15.75" hidden="false" customHeight="true" outlineLevel="0" collapsed="false">
      <c r="B2552" s="19" t="n">
        <v>2677</v>
      </c>
      <c r="C2552" s="20" t="s">
        <v>5257</v>
      </c>
      <c r="D2552" s="20" t="s">
        <v>116</v>
      </c>
      <c r="E2552" s="21" t="s">
        <v>5258</v>
      </c>
      <c r="F2552" s="21" t="n">
        <v>38762</v>
      </c>
      <c r="G2552" s="22" t="s">
        <v>661</v>
      </c>
      <c r="H2552" s="23" t="n">
        <f aca="false">COUNTIF(CAL!U:AF,B2552)</f>
        <v>1</v>
      </c>
      <c r="I2552" s="22" t="n">
        <v>16</v>
      </c>
      <c r="J2552" s="20"/>
    </row>
    <row r="2553" customFormat="false" ht="15.75" hidden="false" customHeight="true" outlineLevel="0" collapsed="false">
      <c r="B2553" s="19" t="n">
        <v>2711</v>
      </c>
      <c r="C2553" s="20" t="s">
        <v>5259</v>
      </c>
      <c r="D2553" s="20" t="s">
        <v>302</v>
      </c>
      <c r="E2553" s="21" t="s">
        <v>5260</v>
      </c>
      <c r="F2553" s="21" t="n">
        <v>34377</v>
      </c>
      <c r="G2553" s="22" t="s">
        <v>504</v>
      </c>
      <c r="H2553" s="23" t="n">
        <f aca="false">COUNTIF(CAL!U:AF,B2553)</f>
        <v>1</v>
      </c>
      <c r="I2553" s="22" t="n">
        <v>16</v>
      </c>
      <c r="J2553" s="20"/>
    </row>
    <row r="2554" customFormat="false" ht="15.75" hidden="false" customHeight="true" outlineLevel="0" collapsed="false">
      <c r="B2554" s="19" t="n">
        <v>3330</v>
      </c>
      <c r="C2554" s="20" t="s">
        <v>5261</v>
      </c>
      <c r="D2554" s="20" t="s">
        <v>373</v>
      </c>
      <c r="E2554" s="21" t="s">
        <v>5262</v>
      </c>
      <c r="F2554" s="21" t="n">
        <v>37675</v>
      </c>
      <c r="G2554" s="22" t="s">
        <v>471</v>
      </c>
      <c r="H2554" s="23" t="n">
        <f aca="false">COUNTIF(CAL!U:AF,B2554)</f>
        <v>1</v>
      </c>
      <c r="I2554" s="22" t="n">
        <v>16</v>
      </c>
      <c r="J2554" s="20"/>
    </row>
    <row r="2555" customFormat="false" ht="15.75" hidden="false" customHeight="true" outlineLevel="0" collapsed="false">
      <c r="B2555" s="19" t="n">
        <v>3408</v>
      </c>
      <c r="C2555" s="20" t="s">
        <v>5263</v>
      </c>
      <c r="D2555" s="20" t="s">
        <v>159</v>
      </c>
      <c r="E2555" s="21" t="s">
        <v>5264</v>
      </c>
      <c r="F2555" s="21" t="n">
        <v>38193</v>
      </c>
      <c r="G2555" s="22" t="s">
        <v>471</v>
      </c>
      <c r="H2555" s="23" t="n">
        <f aca="false">COUNTIF(CAL!U:AF,B2555)</f>
        <v>1</v>
      </c>
      <c r="I2555" s="22" t="n">
        <v>16</v>
      </c>
      <c r="J2555" s="20"/>
    </row>
    <row r="2556" customFormat="false" ht="15.75" hidden="false" customHeight="true" outlineLevel="0" collapsed="false">
      <c r="B2556" s="19" t="n">
        <v>2648</v>
      </c>
      <c r="C2556" s="20" t="s">
        <v>5265</v>
      </c>
      <c r="D2556" s="20" t="s">
        <v>60</v>
      </c>
      <c r="E2556" s="21" t="s">
        <v>5266</v>
      </c>
      <c r="F2556" s="21" t="n">
        <v>37390</v>
      </c>
      <c r="G2556" s="22" t="s">
        <v>471</v>
      </c>
      <c r="H2556" s="23" t="n">
        <f aca="false">COUNTIF(CAL!U:AF,B2556)</f>
        <v>1</v>
      </c>
      <c r="I2556" s="22" t="n">
        <v>16</v>
      </c>
      <c r="J2556" s="20"/>
    </row>
    <row r="2557" customFormat="false" ht="15.75" hidden="false" customHeight="true" outlineLevel="0" collapsed="false">
      <c r="B2557" s="19" t="n">
        <v>3068</v>
      </c>
      <c r="C2557" s="20" t="s">
        <v>5267</v>
      </c>
      <c r="D2557" s="20" t="s">
        <v>176</v>
      </c>
      <c r="E2557" s="21" t="s">
        <v>5268</v>
      </c>
      <c r="F2557" s="21" t="n">
        <v>36801</v>
      </c>
      <c r="G2557" s="22" t="s">
        <v>471</v>
      </c>
      <c r="H2557" s="23" t="n">
        <f aca="false">COUNTIF(CAL!U:AF,B2557)</f>
        <v>1</v>
      </c>
      <c r="I2557" s="22" t="n">
        <v>16</v>
      </c>
      <c r="J2557" s="20"/>
    </row>
    <row r="2558" customFormat="false" ht="15.75" hidden="false" customHeight="true" outlineLevel="0" collapsed="false">
      <c r="B2558" s="19" t="n">
        <v>2190</v>
      </c>
      <c r="C2558" s="20" t="s">
        <v>4220</v>
      </c>
      <c r="D2558" s="20" t="s">
        <v>38</v>
      </c>
      <c r="E2558" s="24" t="s">
        <v>5269</v>
      </c>
      <c r="F2558" s="21" t="n">
        <v>34799</v>
      </c>
      <c r="G2558" s="22" t="s">
        <v>471</v>
      </c>
      <c r="H2558" s="23" t="n">
        <f aca="false">COUNTIF(CAL!U:AF,B2558)</f>
        <v>1</v>
      </c>
      <c r="I2558" s="22" t="n">
        <v>16</v>
      </c>
      <c r="J2558" s="20"/>
    </row>
    <row r="2559" customFormat="false" ht="15.75" hidden="false" customHeight="true" outlineLevel="0" collapsed="false">
      <c r="B2559" s="19" t="n">
        <v>1509</v>
      </c>
      <c r="C2559" s="20" t="s">
        <v>5270</v>
      </c>
      <c r="D2559" s="20" t="s">
        <v>233</v>
      </c>
      <c r="E2559" s="21" t="s">
        <v>5271</v>
      </c>
      <c r="F2559" s="21" t="n">
        <v>37864</v>
      </c>
      <c r="G2559" s="22" t="s">
        <v>1017</v>
      </c>
      <c r="H2559" s="23" t="n">
        <f aca="false">COUNTIF(CAL!U:AF,B2559)</f>
        <v>1</v>
      </c>
      <c r="I2559" s="22" t="n">
        <v>16</v>
      </c>
      <c r="J2559" s="20"/>
    </row>
    <row r="2560" customFormat="false" ht="15.75" hidden="false" customHeight="true" outlineLevel="0" collapsed="false">
      <c r="B2560" s="19" t="n">
        <v>3635</v>
      </c>
      <c r="C2560" s="20" t="s">
        <v>5145</v>
      </c>
      <c r="D2560" s="20" t="s">
        <v>234</v>
      </c>
      <c r="E2560" s="21" t="s">
        <v>5272</v>
      </c>
      <c r="F2560" s="21" t="n">
        <v>35675</v>
      </c>
      <c r="G2560" s="22" t="s">
        <v>471</v>
      </c>
      <c r="H2560" s="23" t="n">
        <f aca="false">COUNTIF(CAL!U:AF,B2560)</f>
        <v>1</v>
      </c>
      <c r="I2560" s="22" t="n">
        <v>16</v>
      </c>
      <c r="J2560" s="20"/>
    </row>
    <row r="2561" customFormat="false" ht="15.75" hidden="false" customHeight="true" outlineLevel="0" collapsed="false">
      <c r="B2561" s="19" t="n">
        <v>1138</v>
      </c>
      <c r="C2561" s="20" t="s">
        <v>5273</v>
      </c>
      <c r="D2561" s="20" t="s">
        <v>234</v>
      </c>
      <c r="E2561" s="21" t="s">
        <v>5274</v>
      </c>
      <c r="F2561" s="21" t="n">
        <v>36001</v>
      </c>
      <c r="G2561" s="22" t="s">
        <v>471</v>
      </c>
      <c r="H2561" s="23" t="n">
        <f aca="false">COUNTIF(CAL!U:AF,B2561)</f>
        <v>1</v>
      </c>
      <c r="I2561" s="22" t="n">
        <v>16</v>
      </c>
      <c r="J2561" s="20"/>
    </row>
    <row r="2562" customFormat="false" ht="15.75" hidden="false" customHeight="true" outlineLevel="0" collapsed="false">
      <c r="B2562" s="19" t="n">
        <v>1911</v>
      </c>
      <c r="C2562" s="20" t="s">
        <v>5275</v>
      </c>
      <c r="D2562" s="20" t="s">
        <v>304</v>
      </c>
      <c r="E2562" s="21" t="s">
        <v>5276</v>
      </c>
      <c r="F2562" s="21" t="n">
        <v>39179</v>
      </c>
      <c r="G2562" s="22" t="s">
        <v>471</v>
      </c>
      <c r="H2562" s="23" t="n">
        <f aca="false">COUNTIF(CAL!U:AF,B2562)</f>
        <v>1</v>
      </c>
      <c r="I2562" s="22" t="n">
        <v>16</v>
      </c>
      <c r="J2562" s="20"/>
    </row>
    <row r="2563" customFormat="false" ht="15.75" hidden="false" customHeight="true" outlineLevel="0" collapsed="false">
      <c r="B2563" s="19" t="n">
        <v>2916</v>
      </c>
      <c r="C2563" s="20" t="s">
        <v>5277</v>
      </c>
      <c r="D2563" s="20" t="s">
        <v>159</v>
      </c>
      <c r="E2563" s="21" t="s">
        <v>5278</v>
      </c>
      <c r="F2563" s="21" t="n">
        <v>37121</v>
      </c>
      <c r="G2563" s="22" t="s">
        <v>471</v>
      </c>
      <c r="H2563" s="23" t="n">
        <f aca="false">COUNTIF(CAL!U:AF,B2563)</f>
        <v>1</v>
      </c>
      <c r="I2563" s="22" t="n">
        <v>16</v>
      </c>
      <c r="J2563" s="20"/>
    </row>
    <row r="2564" customFormat="false" ht="15.75" hidden="false" customHeight="true" outlineLevel="0" collapsed="false">
      <c r="B2564" s="19" t="n">
        <v>1627</v>
      </c>
      <c r="C2564" s="20" t="s">
        <v>5279</v>
      </c>
      <c r="D2564" s="20" t="s">
        <v>267</v>
      </c>
      <c r="E2564" s="21" t="s">
        <v>5280</v>
      </c>
      <c r="F2564" s="21" t="n">
        <v>39189</v>
      </c>
      <c r="G2564" s="22" t="s">
        <v>481</v>
      </c>
      <c r="H2564" s="23" t="n">
        <f aca="false">COUNTIF(CAL!U:AF,B2564)</f>
        <v>1</v>
      </c>
      <c r="I2564" s="22" t="n">
        <v>16</v>
      </c>
      <c r="J2564" s="20"/>
    </row>
    <row r="2565" customFormat="false" ht="15.75" hidden="false" customHeight="true" outlineLevel="0" collapsed="false">
      <c r="B2565" s="19" t="n">
        <v>2187</v>
      </c>
      <c r="C2565" s="20" t="s">
        <v>5281</v>
      </c>
      <c r="D2565" s="20" t="s">
        <v>48</v>
      </c>
      <c r="E2565" s="21" t="s">
        <v>5282</v>
      </c>
      <c r="F2565" s="21" t="n">
        <v>35706</v>
      </c>
      <c r="G2565" s="22" t="s">
        <v>471</v>
      </c>
      <c r="H2565" s="23" t="n">
        <f aca="false">COUNTIF(CAL!U:AF,B2565)</f>
        <v>1</v>
      </c>
      <c r="I2565" s="22" t="n">
        <v>16</v>
      </c>
      <c r="J2565" s="20"/>
    </row>
    <row r="2566" customFormat="false" ht="15.75" hidden="false" customHeight="true" outlineLevel="0" collapsed="false">
      <c r="B2566" s="19" t="n">
        <v>1358</v>
      </c>
      <c r="C2566" s="20" t="s">
        <v>1163</v>
      </c>
      <c r="D2566" s="20" t="s">
        <v>233</v>
      </c>
      <c r="E2566" s="21" t="s">
        <v>5283</v>
      </c>
      <c r="F2566" s="21" t="n">
        <v>37210</v>
      </c>
      <c r="G2566" s="22" t="s">
        <v>504</v>
      </c>
      <c r="H2566" s="23" t="n">
        <f aca="false">COUNTIF(CAL!U:AF,B2566)</f>
        <v>1</v>
      </c>
      <c r="I2566" s="22" t="n">
        <v>16</v>
      </c>
      <c r="J2566" s="20"/>
    </row>
    <row r="2567" customFormat="false" ht="15.75" hidden="false" customHeight="true" outlineLevel="0" collapsed="false">
      <c r="B2567" s="19" t="n">
        <v>2762</v>
      </c>
      <c r="C2567" s="20" t="s">
        <v>5284</v>
      </c>
      <c r="D2567" s="20" t="s">
        <v>93</v>
      </c>
      <c r="E2567" s="21" t="s">
        <v>5285</v>
      </c>
      <c r="F2567" s="21" t="n">
        <v>34708</v>
      </c>
      <c r="G2567" s="22" t="s">
        <v>492</v>
      </c>
      <c r="H2567" s="23" t="n">
        <f aca="false">COUNTIF(CAL!U:AF,B2567)</f>
        <v>1</v>
      </c>
      <c r="I2567" s="22" t="n">
        <v>16</v>
      </c>
      <c r="J2567" s="20"/>
    </row>
    <row r="2568" customFormat="false" ht="15.75" hidden="false" customHeight="true" outlineLevel="0" collapsed="false">
      <c r="B2568" s="19" t="n">
        <v>3020</v>
      </c>
      <c r="C2568" s="20" t="s">
        <v>5286</v>
      </c>
      <c r="D2568" s="20" t="s">
        <v>151</v>
      </c>
      <c r="E2568" s="21" t="s">
        <v>5287</v>
      </c>
      <c r="F2568" s="21" t="n">
        <v>34345</v>
      </c>
      <c r="G2568" s="22" t="s">
        <v>471</v>
      </c>
      <c r="H2568" s="23" t="n">
        <f aca="false">COUNTIF(CAL!U:AF,B2568)</f>
        <v>1</v>
      </c>
      <c r="I2568" s="22" t="n">
        <v>16</v>
      </c>
      <c r="J2568" s="20"/>
    </row>
    <row r="2569" customFormat="false" ht="15.75" hidden="false" customHeight="true" outlineLevel="0" collapsed="false">
      <c r="B2569" s="19" t="n">
        <v>1912</v>
      </c>
      <c r="C2569" s="20" t="s">
        <v>5288</v>
      </c>
      <c r="D2569" s="20" t="s">
        <v>304</v>
      </c>
      <c r="E2569" s="24" t="s">
        <v>5289</v>
      </c>
      <c r="F2569" s="21" t="n">
        <v>33776</v>
      </c>
      <c r="G2569" s="22" t="s">
        <v>471</v>
      </c>
      <c r="H2569" s="23" t="n">
        <f aca="false">COUNTIF(CAL!U:AF,B2569)</f>
        <v>1</v>
      </c>
      <c r="I2569" s="22" t="n">
        <v>16</v>
      </c>
      <c r="J2569" s="20"/>
    </row>
    <row r="2570" customFormat="false" ht="15.75" hidden="false" customHeight="true" outlineLevel="0" collapsed="false">
      <c r="B2570" s="19" t="n">
        <v>1527</v>
      </c>
      <c r="C2570" s="20" t="s">
        <v>5290</v>
      </c>
      <c r="D2570" s="20" t="s">
        <v>106</v>
      </c>
      <c r="E2570" s="21" t="s">
        <v>5291</v>
      </c>
      <c r="F2570" s="21" t="n">
        <v>35521</v>
      </c>
      <c r="G2570" s="22" t="s">
        <v>471</v>
      </c>
      <c r="H2570" s="23" t="n">
        <f aca="false">COUNTIF(CAL!U:AF,B2570)</f>
        <v>1</v>
      </c>
      <c r="I2570" s="22" t="n">
        <v>17</v>
      </c>
      <c r="J2570" s="20"/>
    </row>
    <row r="2571" customFormat="false" ht="15.75" hidden="false" customHeight="true" outlineLevel="0" collapsed="false">
      <c r="B2571" s="19" t="n">
        <v>3322</v>
      </c>
      <c r="C2571" s="20" t="s">
        <v>4997</v>
      </c>
      <c r="D2571" s="20" t="s">
        <v>164</v>
      </c>
      <c r="E2571" s="24" t="s">
        <v>5292</v>
      </c>
      <c r="F2571" s="21" t="n">
        <v>35464</v>
      </c>
      <c r="G2571" s="22" t="s">
        <v>471</v>
      </c>
      <c r="H2571" s="23" t="n">
        <f aca="false">COUNTIF(CAL!U:AF,B2571)</f>
        <v>1</v>
      </c>
      <c r="I2571" s="22" t="n">
        <v>17</v>
      </c>
      <c r="J2571" s="20"/>
    </row>
    <row r="2572" customFormat="false" ht="15.75" hidden="false" customHeight="true" outlineLevel="0" collapsed="false">
      <c r="B2572" s="19" t="n">
        <v>3634</v>
      </c>
      <c r="C2572" s="20" t="s">
        <v>2775</v>
      </c>
      <c r="D2572" s="20" t="s">
        <v>106</v>
      </c>
      <c r="E2572" s="21" t="s">
        <v>5293</v>
      </c>
      <c r="F2572" s="21" t="n">
        <v>35980</v>
      </c>
      <c r="G2572" s="22" t="s">
        <v>471</v>
      </c>
      <c r="H2572" s="23" t="n">
        <f aca="false">COUNTIF(CAL!U:AF,B2572)</f>
        <v>1</v>
      </c>
      <c r="I2572" s="22" t="n">
        <v>17</v>
      </c>
      <c r="J2572" s="20"/>
    </row>
    <row r="2573" customFormat="false" ht="15.75" hidden="false" customHeight="true" outlineLevel="0" collapsed="false">
      <c r="B2573" s="19" t="n">
        <v>3364</v>
      </c>
      <c r="C2573" s="20" t="s">
        <v>5294</v>
      </c>
      <c r="D2573" s="20" t="s">
        <v>134</v>
      </c>
      <c r="E2573" s="21" t="s">
        <v>5295</v>
      </c>
      <c r="F2573" s="21" t="n">
        <v>39389</v>
      </c>
      <c r="G2573" s="22" t="s">
        <v>471</v>
      </c>
      <c r="H2573" s="23" t="n">
        <f aca="false">COUNTIF(CAL!U:AF,B2573)</f>
        <v>1</v>
      </c>
      <c r="I2573" s="22" t="n">
        <v>17</v>
      </c>
      <c r="J2573" s="20"/>
    </row>
    <row r="2574" customFormat="false" ht="15.75" hidden="false" customHeight="true" outlineLevel="0" collapsed="false">
      <c r="B2574" s="19" t="n">
        <v>3593</v>
      </c>
      <c r="C2574" s="20" t="s">
        <v>5296</v>
      </c>
      <c r="D2574" s="20" t="s">
        <v>78</v>
      </c>
      <c r="E2574" s="21" t="s">
        <v>5297</v>
      </c>
      <c r="F2574" s="21" t="n">
        <v>35469</v>
      </c>
      <c r="G2574" s="22" t="s">
        <v>471</v>
      </c>
      <c r="H2574" s="23" t="n">
        <f aca="false">COUNTIF(CAL!U:AF,B2574)</f>
        <v>1</v>
      </c>
      <c r="I2574" s="22" t="n">
        <v>17</v>
      </c>
      <c r="J2574" s="20"/>
    </row>
    <row r="2575" customFormat="false" ht="15.75" hidden="false" customHeight="true" outlineLevel="0" collapsed="false">
      <c r="B2575" s="19" t="n">
        <v>1965</v>
      </c>
      <c r="C2575" s="20" t="s">
        <v>1433</v>
      </c>
      <c r="D2575" s="20" t="s">
        <v>235</v>
      </c>
      <c r="E2575" s="21" t="s">
        <v>5298</v>
      </c>
      <c r="F2575" s="21" t="n">
        <v>34642</v>
      </c>
      <c r="G2575" s="22" t="s">
        <v>471</v>
      </c>
      <c r="H2575" s="23" t="n">
        <f aca="false">COUNTIF(CAL!U:AF,B2575)</f>
        <v>1</v>
      </c>
      <c r="I2575" s="22" t="n">
        <v>17</v>
      </c>
      <c r="J2575" s="20"/>
    </row>
    <row r="2576" customFormat="false" ht="15.75" hidden="false" customHeight="true" outlineLevel="0" collapsed="false">
      <c r="B2576" s="19" t="n">
        <v>2632</v>
      </c>
      <c r="C2576" s="20" t="s">
        <v>3935</v>
      </c>
      <c r="D2576" s="20" t="s">
        <v>304</v>
      </c>
      <c r="E2576" s="21" t="s">
        <v>5299</v>
      </c>
      <c r="F2576" s="21" t="n">
        <v>34851</v>
      </c>
      <c r="G2576" s="22" t="s">
        <v>471</v>
      </c>
      <c r="H2576" s="23" t="n">
        <f aca="false">COUNTIF(CAL!U:AF,B2576)</f>
        <v>1</v>
      </c>
      <c r="I2576" s="22" t="n">
        <v>17</v>
      </c>
      <c r="J2576" s="20"/>
    </row>
    <row r="2577" customFormat="false" ht="15.75" hidden="false" customHeight="true" outlineLevel="0" collapsed="false">
      <c r="B2577" s="19" t="n">
        <v>3306</v>
      </c>
      <c r="C2577" s="20" t="s">
        <v>5300</v>
      </c>
      <c r="D2577" s="20" t="s">
        <v>151</v>
      </c>
      <c r="E2577" s="24" t="s">
        <v>5301</v>
      </c>
      <c r="F2577" s="21" t="n">
        <v>34064</v>
      </c>
      <c r="G2577" s="22" t="s">
        <v>471</v>
      </c>
      <c r="H2577" s="23" t="n">
        <f aca="false">COUNTIF(CAL!U:AF,B2577)</f>
        <v>1</v>
      </c>
      <c r="I2577" s="22" t="n">
        <v>17</v>
      </c>
      <c r="J2577" s="20"/>
    </row>
    <row r="2578" customFormat="false" ht="15.75" hidden="false" customHeight="true" outlineLevel="0" collapsed="false">
      <c r="B2578" s="19" t="n">
        <v>3336</v>
      </c>
      <c r="C2578" s="20" t="s">
        <v>5302</v>
      </c>
      <c r="D2578" s="20" t="s">
        <v>151</v>
      </c>
      <c r="E2578" s="21" t="s">
        <v>5303</v>
      </c>
      <c r="F2578" s="21" t="n">
        <v>36364</v>
      </c>
      <c r="G2578" s="22" t="s">
        <v>471</v>
      </c>
      <c r="H2578" s="23" t="n">
        <f aca="false">COUNTIF(CAL!U:AF,B2578)</f>
        <v>1</v>
      </c>
      <c r="I2578" s="22" t="n">
        <v>17</v>
      </c>
      <c r="J2578" s="20"/>
    </row>
    <row r="2579" customFormat="false" ht="15.75" hidden="false" customHeight="true" outlineLevel="0" collapsed="false">
      <c r="B2579" s="19" t="n">
        <v>3581</v>
      </c>
      <c r="C2579" s="20" t="s">
        <v>5304</v>
      </c>
      <c r="D2579" s="20" t="s">
        <v>93</v>
      </c>
      <c r="E2579" s="21" t="s">
        <v>5305</v>
      </c>
      <c r="F2579" s="21" t="n">
        <v>36417</v>
      </c>
      <c r="G2579" s="22" t="s">
        <v>471</v>
      </c>
      <c r="H2579" s="23" t="n">
        <f aca="false">COUNTIF(CAL!U:AF,B2579)</f>
        <v>1</v>
      </c>
      <c r="I2579" s="22" t="n">
        <v>17</v>
      </c>
      <c r="J2579" s="20"/>
    </row>
    <row r="2580" customFormat="false" ht="15.75" hidden="false" customHeight="true" outlineLevel="0" collapsed="false">
      <c r="B2580" s="19" t="n">
        <v>3619</v>
      </c>
      <c r="C2580" s="20" t="s">
        <v>3706</v>
      </c>
      <c r="D2580" s="20" t="s">
        <v>279</v>
      </c>
      <c r="E2580" s="21" t="s">
        <v>5306</v>
      </c>
      <c r="F2580" s="21" t="n">
        <v>33349</v>
      </c>
      <c r="G2580" s="22" t="s">
        <v>471</v>
      </c>
      <c r="H2580" s="23" t="n">
        <f aca="false">COUNTIF(CAL!U:AF,B2580)</f>
        <v>1</v>
      </c>
      <c r="I2580" s="22" t="n">
        <v>17</v>
      </c>
      <c r="J2580" s="20"/>
    </row>
    <row r="2581" customFormat="false" ht="15.75" hidden="false" customHeight="true" outlineLevel="0" collapsed="false">
      <c r="B2581" s="19" t="n">
        <v>3066</v>
      </c>
      <c r="C2581" s="20" t="s">
        <v>5307</v>
      </c>
      <c r="D2581" s="20" t="s">
        <v>107</v>
      </c>
      <c r="E2581" s="21" t="s">
        <v>5308</v>
      </c>
      <c r="F2581" s="21" t="n">
        <v>36290</v>
      </c>
      <c r="G2581" s="22" t="s">
        <v>471</v>
      </c>
      <c r="H2581" s="23" t="n">
        <f aca="false">COUNTIF(CAL!U:AF,B2581)</f>
        <v>1</v>
      </c>
      <c r="I2581" s="22" t="n">
        <v>17</v>
      </c>
      <c r="J2581" s="20"/>
    </row>
    <row r="2582" customFormat="false" ht="15.75" hidden="false" customHeight="true" outlineLevel="0" collapsed="false">
      <c r="B2582" s="19" t="n">
        <v>1377</v>
      </c>
      <c r="C2582" s="20" t="s">
        <v>5309</v>
      </c>
      <c r="D2582" s="20" t="s">
        <v>106</v>
      </c>
      <c r="E2582" s="21" t="s">
        <v>5310</v>
      </c>
      <c r="F2582" s="21" t="n">
        <v>33592</v>
      </c>
      <c r="G2582" s="22" t="s">
        <v>471</v>
      </c>
      <c r="H2582" s="23" t="n">
        <f aca="false">COUNTIF(CAL!U:AF,B2582)</f>
        <v>1</v>
      </c>
      <c r="I2582" s="22" t="n">
        <v>17</v>
      </c>
      <c r="J2582" s="20"/>
    </row>
    <row r="2583" customFormat="false" ht="15.75" hidden="false" customHeight="true" outlineLevel="0" collapsed="false">
      <c r="B2583" s="19" t="n">
        <v>3051</v>
      </c>
      <c r="C2583" s="20" t="s">
        <v>495</v>
      </c>
      <c r="D2583" s="20" t="s">
        <v>93</v>
      </c>
      <c r="E2583" s="21" t="s">
        <v>5311</v>
      </c>
      <c r="F2583" s="21" t="n">
        <v>36711</v>
      </c>
      <c r="G2583" s="22" t="s">
        <v>471</v>
      </c>
      <c r="H2583" s="23" t="n">
        <f aca="false">COUNTIF(CAL!U:AF,B2583)</f>
        <v>1</v>
      </c>
      <c r="I2583" s="22" t="n">
        <v>17</v>
      </c>
      <c r="J2583" s="20"/>
    </row>
    <row r="2584" customFormat="false" ht="15.75" hidden="false" customHeight="true" outlineLevel="0" collapsed="false">
      <c r="B2584" s="19" t="n">
        <v>2962</v>
      </c>
      <c r="C2584" s="20" t="s">
        <v>1007</v>
      </c>
      <c r="D2584" s="20" t="s">
        <v>88</v>
      </c>
      <c r="E2584" s="21" t="s">
        <v>5312</v>
      </c>
      <c r="F2584" s="21" t="n">
        <v>36963</v>
      </c>
      <c r="G2584" s="22" t="s">
        <v>471</v>
      </c>
      <c r="H2584" s="23" t="n">
        <f aca="false">COUNTIF(CAL!U:AF,B2584)</f>
        <v>1</v>
      </c>
      <c r="I2584" s="22" t="n">
        <v>17</v>
      </c>
      <c r="J2584" s="20"/>
    </row>
    <row r="2585" customFormat="false" ht="15.75" hidden="false" customHeight="true" outlineLevel="0" collapsed="false">
      <c r="B2585" s="19" t="n">
        <v>3299</v>
      </c>
      <c r="C2585" s="20" t="s">
        <v>5313</v>
      </c>
      <c r="D2585" s="20" t="s">
        <v>167</v>
      </c>
      <c r="E2585" s="24" t="s">
        <v>5314</v>
      </c>
      <c r="F2585" s="21" t="n">
        <v>36809</v>
      </c>
      <c r="G2585" s="22" t="s">
        <v>471</v>
      </c>
      <c r="H2585" s="23" t="n">
        <f aca="false">COUNTIF(CAL!U:AF,B2585)</f>
        <v>1</v>
      </c>
      <c r="I2585" s="22" t="n">
        <v>17</v>
      </c>
      <c r="J2585" s="20"/>
    </row>
    <row r="2586" customFormat="false" ht="15.75" hidden="false" customHeight="true" outlineLevel="0" collapsed="false">
      <c r="B2586" s="19" t="n">
        <v>1004</v>
      </c>
      <c r="C2586" s="20" t="s">
        <v>5315</v>
      </c>
      <c r="D2586" s="20" t="s">
        <v>38</v>
      </c>
      <c r="E2586" s="24" t="s">
        <v>5316</v>
      </c>
      <c r="F2586" s="21" t="n">
        <v>35722</v>
      </c>
      <c r="G2586" s="22" t="s">
        <v>471</v>
      </c>
      <c r="H2586" s="23" t="n">
        <f aca="false">COUNTIF(CAL!U:AF,B2586)</f>
        <v>1</v>
      </c>
      <c r="I2586" s="22" t="n">
        <v>17</v>
      </c>
      <c r="J2586" s="20"/>
    </row>
    <row r="2587" customFormat="false" ht="15.75" hidden="false" customHeight="true" outlineLevel="0" collapsed="false">
      <c r="B2587" s="19" t="n">
        <v>3432</v>
      </c>
      <c r="C2587" s="20" t="s">
        <v>5317</v>
      </c>
      <c r="D2587" s="20" t="s">
        <v>164</v>
      </c>
      <c r="E2587" s="21" t="s">
        <v>5318</v>
      </c>
      <c r="F2587" s="21" t="n">
        <v>35134</v>
      </c>
      <c r="G2587" s="22" t="s">
        <v>471</v>
      </c>
      <c r="H2587" s="23" t="n">
        <f aca="false">COUNTIF(CAL!U:AF,B2587)</f>
        <v>1</v>
      </c>
      <c r="I2587" s="22" t="n">
        <v>17</v>
      </c>
      <c r="J2587" s="20"/>
    </row>
    <row r="2588" customFormat="false" ht="15.75" hidden="false" customHeight="true" outlineLevel="0" collapsed="false">
      <c r="B2588" s="19" t="n">
        <v>2197</v>
      </c>
      <c r="C2588" s="20" t="s">
        <v>5319</v>
      </c>
      <c r="D2588" s="20" t="s">
        <v>304</v>
      </c>
      <c r="E2588" s="21" t="s">
        <v>5320</v>
      </c>
      <c r="F2588" s="21" t="n">
        <v>37306</v>
      </c>
      <c r="G2588" s="22" t="s">
        <v>471</v>
      </c>
      <c r="H2588" s="23" t="n">
        <f aca="false">COUNTIF(CAL!U:AF,B2588)</f>
        <v>1</v>
      </c>
      <c r="I2588" s="22" t="n">
        <v>17</v>
      </c>
      <c r="J2588" s="20"/>
    </row>
    <row r="2589" customFormat="false" ht="15.75" hidden="false" customHeight="true" outlineLevel="0" collapsed="false">
      <c r="B2589" s="19" t="n">
        <v>3244</v>
      </c>
      <c r="C2589" s="20" t="s">
        <v>2879</v>
      </c>
      <c r="D2589" s="20" t="s">
        <v>164</v>
      </c>
      <c r="E2589" s="24" t="s">
        <v>5321</v>
      </c>
      <c r="F2589" s="21" t="n">
        <v>35198</v>
      </c>
      <c r="G2589" s="22" t="s">
        <v>471</v>
      </c>
      <c r="H2589" s="23" t="n">
        <f aca="false">COUNTIF(CAL!U:AF,B2589)</f>
        <v>1</v>
      </c>
      <c r="I2589" s="22" t="n">
        <v>18</v>
      </c>
      <c r="J2589" s="20"/>
    </row>
    <row r="2590" customFormat="false" ht="15.75" hidden="false" customHeight="true" outlineLevel="0" collapsed="false">
      <c r="B2590" s="19" t="n">
        <v>1873</v>
      </c>
      <c r="C2590" s="20" t="s">
        <v>889</v>
      </c>
      <c r="D2590" s="20" t="s">
        <v>93</v>
      </c>
      <c r="E2590" s="21" t="s">
        <v>5322</v>
      </c>
      <c r="F2590" s="21" t="n">
        <v>35630</v>
      </c>
      <c r="G2590" s="22" t="s">
        <v>471</v>
      </c>
      <c r="H2590" s="23" t="n">
        <f aca="false">COUNTIF(CAL!U:AF,B2590)</f>
        <v>1</v>
      </c>
      <c r="I2590" s="22" t="n">
        <v>18</v>
      </c>
      <c r="J2590" s="20"/>
    </row>
    <row r="2591" customFormat="false" ht="15.75" hidden="false" customHeight="true" outlineLevel="0" collapsed="false">
      <c r="B2591" s="19" t="n">
        <v>1350</v>
      </c>
      <c r="C2591" s="20" t="s">
        <v>996</v>
      </c>
      <c r="D2591" s="20" t="s">
        <v>76</v>
      </c>
      <c r="E2591" s="24" t="s">
        <v>5323</v>
      </c>
      <c r="F2591" s="21" t="n">
        <v>36345</v>
      </c>
      <c r="G2591" s="22" t="s">
        <v>471</v>
      </c>
      <c r="H2591" s="23" t="n">
        <f aca="false">COUNTIF(CAL!U:AF,B2591)</f>
        <v>1</v>
      </c>
      <c r="I2591" s="22" t="n">
        <v>18</v>
      </c>
      <c r="J2591" s="20"/>
    </row>
    <row r="2592" customFormat="false" ht="15.75" hidden="false" customHeight="true" outlineLevel="0" collapsed="false">
      <c r="B2592" s="19" t="n">
        <v>3064</v>
      </c>
      <c r="C2592" s="20" t="s">
        <v>602</v>
      </c>
      <c r="D2592" s="20" t="s">
        <v>187</v>
      </c>
      <c r="E2592" s="21" t="s">
        <v>5324</v>
      </c>
      <c r="F2592" s="21" t="n">
        <v>35485</v>
      </c>
      <c r="G2592" s="22" t="s">
        <v>471</v>
      </c>
      <c r="H2592" s="23" t="n">
        <f aca="false">COUNTIF(CAL!U:AF,B2592)</f>
        <v>1</v>
      </c>
      <c r="I2592" s="22" t="n">
        <v>18</v>
      </c>
      <c r="J2592" s="20"/>
    </row>
    <row r="2593" customFormat="false" ht="15.75" hidden="false" customHeight="true" outlineLevel="0" collapsed="false">
      <c r="B2593" s="19" t="n">
        <v>3656</v>
      </c>
      <c r="C2593" s="20" t="s">
        <v>5325</v>
      </c>
      <c r="D2593" s="20" t="s">
        <v>172</v>
      </c>
      <c r="E2593" s="21" t="s">
        <v>5326</v>
      </c>
      <c r="F2593" s="21" t="n">
        <v>37288</v>
      </c>
      <c r="G2593" s="22" t="s">
        <v>471</v>
      </c>
      <c r="H2593" s="23" t="n">
        <f aca="false">COUNTIF(CAL!U:AF,B2593)</f>
        <v>1</v>
      </c>
      <c r="I2593" s="22" t="n">
        <v>18</v>
      </c>
      <c r="J2593" s="20"/>
    </row>
    <row r="2594" customFormat="false" ht="15.75" hidden="false" customHeight="true" outlineLevel="0" collapsed="false">
      <c r="B2594" s="19" t="n">
        <v>2815</v>
      </c>
      <c r="C2594" s="20" t="s">
        <v>5327</v>
      </c>
      <c r="D2594" s="20" t="s">
        <v>151</v>
      </c>
      <c r="E2594" s="21" t="s">
        <v>5328</v>
      </c>
      <c r="F2594" s="21" t="n">
        <v>36668</v>
      </c>
      <c r="G2594" s="22" t="s">
        <v>471</v>
      </c>
      <c r="H2594" s="23" t="n">
        <f aca="false">COUNTIF(CAL!U:AF,B2594)</f>
        <v>1</v>
      </c>
      <c r="I2594" s="22" t="n">
        <v>18</v>
      </c>
      <c r="J2594" s="20"/>
    </row>
    <row r="2595" customFormat="false" ht="15.75" hidden="false" customHeight="true" outlineLevel="0" collapsed="false">
      <c r="B2595" s="19" t="n">
        <v>1131</v>
      </c>
      <c r="C2595" s="20" t="s">
        <v>5329</v>
      </c>
      <c r="D2595" s="20" t="s">
        <v>167</v>
      </c>
      <c r="E2595" s="21" t="s">
        <v>5330</v>
      </c>
      <c r="F2595" s="21" t="n">
        <v>34681</v>
      </c>
      <c r="G2595" s="22" t="s">
        <v>471</v>
      </c>
      <c r="H2595" s="23" t="n">
        <f aca="false">COUNTIF(CAL!U:AF,B2595)</f>
        <v>1</v>
      </c>
      <c r="I2595" s="22" t="n">
        <v>18</v>
      </c>
      <c r="J2595" s="20"/>
    </row>
    <row r="2596" customFormat="false" ht="15.75" hidden="false" customHeight="true" outlineLevel="0" collapsed="false">
      <c r="B2596" s="19" t="n">
        <v>1112</v>
      </c>
      <c r="C2596" s="20" t="s">
        <v>1433</v>
      </c>
      <c r="D2596" s="20" t="s">
        <v>151</v>
      </c>
      <c r="E2596" s="21" t="s">
        <v>5331</v>
      </c>
      <c r="F2596" s="21" t="n">
        <v>36462</v>
      </c>
      <c r="G2596" s="22" t="s">
        <v>471</v>
      </c>
      <c r="H2596" s="23" t="n">
        <f aca="false">COUNTIF(CAL!U:AF,B2596)</f>
        <v>1</v>
      </c>
      <c r="I2596" s="22" t="n">
        <v>19</v>
      </c>
      <c r="J2596" s="20"/>
    </row>
    <row r="2597" customFormat="false" ht="15.75" hidden="false" customHeight="true" outlineLevel="0" collapsed="false">
      <c r="B2597" s="19" t="n">
        <v>2395</v>
      </c>
      <c r="C2597" s="20" t="s">
        <v>5332</v>
      </c>
      <c r="D2597" s="20" t="s">
        <v>187</v>
      </c>
      <c r="E2597" s="21" t="s">
        <v>5333</v>
      </c>
      <c r="F2597" s="21" t="n">
        <v>39332</v>
      </c>
      <c r="G2597" s="22" t="s">
        <v>471</v>
      </c>
      <c r="H2597" s="23" t="n">
        <f aca="false">COUNTIF(CAL!U:AF,B2597)</f>
        <v>1</v>
      </c>
      <c r="I2597" s="22" t="n">
        <v>19</v>
      </c>
      <c r="J2597" s="20"/>
    </row>
    <row r="2598" customFormat="false" ht="15.75" hidden="false" customHeight="true" outlineLevel="0" collapsed="false">
      <c r="B2598" s="19" t="n">
        <v>1865</v>
      </c>
      <c r="C2598" s="20" t="s">
        <v>5334</v>
      </c>
      <c r="D2598" s="20" t="s">
        <v>38</v>
      </c>
      <c r="E2598" s="24" t="s">
        <v>5335</v>
      </c>
      <c r="F2598" s="21" t="n">
        <v>36036</v>
      </c>
      <c r="G2598" s="22" t="s">
        <v>471</v>
      </c>
      <c r="H2598" s="23" t="n">
        <f aca="false">COUNTIF(CAL!U:AF,B2598)</f>
        <v>1</v>
      </c>
      <c r="I2598" s="22" t="n">
        <v>21</v>
      </c>
      <c r="J2598" s="20"/>
    </row>
    <row r="2599" customFormat="false" ht="15.75" hidden="false" customHeight="true" outlineLevel="0" collapsed="false">
      <c r="B2599" s="19" t="n">
        <v>1283</v>
      </c>
      <c r="C2599" s="20" t="s">
        <v>516</v>
      </c>
      <c r="D2599" s="20" t="s">
        <v>38</v>
      </c>
      <c r="E2599" s="21" t="s">
        <v>5336</v>
      </c>
      <c r="F2599" s="21" t="n">
        <v>37542</v>
      </c>
      <c r="G2599" s="22" t="s">
        <v>471</v>
      </c>
      <c r="H2599" s="23" t="n">
        <f aca="false">COUNTIF(CAL!U:AF,B2599)</f>
        <v>1</v>
      </c>
      <c r="I2599" s="22" t="n">
        <v>21</v>
      </c>
      <c r="J2599" s="20"/>
    </row>
    <row r="2600" customFormat="false" ht="15.75" hidden="false" customHeight="true" outlineLevel="0" collapsed="false">
      <c r="B2600" s="19" t="n">
        <v>3661</v>
      </c>
      <c r="C2600" s="20" t="s">
        <v>1820</v>
      </c>
      <c r="D2600" s="20" t="s">
        <v>418</v>
      </c>
      <c r="E2600" s="24"/>
      <c r="F2600" s="21"/>
      <c r="G2600" s="22"/>
      <c r="H2600" s="23" t="n">
        <f aca="false">COUNTIF(CAL!U:AF,B2600)</f>
        <v>1</v>
      </c>
      <c r="I2600" s="22"/>
      <c r="J2600" s="20"/>
    </row>
    <row r="2601" customFormat="false" ht="15.75" hidden="false" customHeight="true" outlineLevel="0" collapsed="false">
      <c r="B2601" s="19" t="n">
        <v>3648</v>
      </c>
      <c r="C2601" s="20" t="s">
        <v>5337</v>
      </c>
      <c r="D2601" s="20" t="s">
        <v>57</v>
      </c>
      <c r="E2601" s="24"/>
      <c r="F2601" s="21"/>
      <c r="G2601" s="22"/>
      <c r="H2601" s="23" t="n">
        <f aca="false">COUNTIF(CAL!U:AF,B2601)</f>
        <v>1</v>
      </c>
      <c r="I2601" s="22"/>
      <c r="J2601" s="20"/>
    </row>
    <row r="2602" customFormat="false" ht="15.75" hidden="false" customHeight="true" outlineLevel="0" collapsed="false">
      <c r="B2602" s="19" t="n">
        <v>3603</v>
      </c>
      <c r="C2602" s="20" t="s">
        <v>5338</v>
      </c>
      <c r="D2602" s="20" t="s">
        <v>214</v>
      </c>
      <c r="E2602" s="21"/>
      <c r="F2602" s="21"/>
      <c r="G2602" s="22"/>
      <c r="H2602" s="23" t="n">
        <f aca="false">COUNTIF(CAL!U:AF,B2602)</f>
        <v>1</v>
      </c>
      <c r="I2602" s="22"/>
      <c r="J2602" s="20"/>
    </row>
    <row r="2603" customFormat="false" ht="15.75" hidden="false" customHeight="true" outlineLevel="0" collapsed="false">
      <c r="B2603" s="19" t="n">
        <v>3558</v>
      </c>
      <c r="C2603" s="20" t="s">
        <v>3298</v>
      </c>
      <c r="D2603" s="20" t="s">
        <v>217</v>
      </c>
      <c r="E2603" s="21"/>
      <c r="F2603" s="21"/>
      <c r="G2603" s="22"/>
      <c r="H2603" s="23" t="n">
        <f aca="false">COUNTIF(CAL!U:AF,B2603)</f>
        <v>1</v>
      </c>
      <c r="I2603" s="22"/>
      <c r="J2603" s="20"/>
    </row>
    <row r="2604" customFormat="false" ht="15.75" hidden="false" customHeight="true" outlineLevel="0" collapsed="false">
      <c r="B2604" s="19" t="n">
        <v>3614</v>
      </c>
      <c r="C2604" s="20" t="s">
        <v>5339</v>
      </c>
      <c r="D2604" s="20" t="s">
        <v>194</v>
      </c>
      <c r="E2604" s="21"/>
      <c r="F2604" s="21"/>
      <c r="G2604" s="22"/>
      <c r="H2604" s="23" t="n">
        <f aca="false">COUNTIF(CAL!U:AF,B2604)</f>
        <v>1</v>
      </c>
      <c r="I2604" s="22"/>
      <c r="J2604" s="20"/>
    </row>
    <row r="2605" customFormat="false" ht="15.75" hidden="false" customHeight="true" outlineLevel="0" collapsed="false">
      <c r="B2605" s="19" t="n">
        <v>3617</v>
      </c>
      <c r="C2605" s="20" t="s">
        <v>5340</v>
      </c>
      <c r="D2605" s="20" t="s">
        <v>198</v>
      </c>
      <c r="E2605" s="21"/>
      <c r="F2605" s="21"/>
      <c r="G2605" s="22"/>
      <c r="H2605" s="23" t="n">
        <f aca="false">COUNTIF(CAL!U:AF,B2605)</f>
        <v>1</v>
      </c>
      <c r="I2605" s="22"/>
      <c r="J2605" s="20"/>
    </row>
    <row r="2606" customFormat="false" ht="15.75" hidden="false" customHeight="true" outlineLevel="0" collapsed="false">
      <c r="B2606" s="19" t="n">
        <v>3608</v>
      </c>
      <c r="C2606" s="20" t="s">
        <v>5341</v>
      </c>
      <c r="D2606" s="20" t="s">
        <v>170</v>
      </c>
      <c r="E2606" s="21"/>
      <c r="F2606" s="21"/>
      <c r="G2606" s="22"/>
      <c r="H2606" s="23" t="n">
        <f aca="false">COUNTIF(CAL!U:AF,B2606)</f>
        <v>1</v>
      </c>
      <c r="I2606" s="22"/>
      <c r="J2606" s="20"/>
    </row>
    <row r="2607" customFormat="false" ht="15.75" hidden="false" customHeight="true" outlineLevel="0" collapsed="false">
      <c r="B2607" s="19" t="n">
        <v>3585</v>
      </c>
      <c r="C2607" s="20" t="s">
        <v>1967</v>
      </c>
      <c r="D2607" s="20" t="s">
        <v>369</v>
      </c>
      <c r="E2607" s="21"/>
      <c r="F2607" s="21"/>
      <c r="G2607" s="22"/>
      <c r="H2607" s="23" t="n">
        <f aca="false">COUNTIF(CAL!U:AF,B2607)</f>
        <v>1</v>
      </c>
      <c r="I2607" s="22"/>
      <c r="J2607" s="20"/>
    </row>
    <row r="2608" customFormat="false" ht="15.75" hidden="false" customHeight="true" outlineLevel="0" collapsed="false">
      <c r="B2608" s="19" t="n">
        <v>3582</v>
      </c>
      <c r="C2608" s="20" t="s">
        <v>5342</v>
      </c>
      <c r="D2608" s="20" t="s">
        <v>333</v>
      </c>
      <c r="E2608" s="21"/>
      <c r="F2608" s="21"/>
      <c r="G2608" s="22"/>
      <c r="H2608" s="23" t="n">
        <f aca="false">COUNTIF(CAL!U:AF,B2608)</f>
        <v>1</v>
      </c>
      <c r="I2608" s="22"/>
      <c r="J2608" s="20"/>
    </row>
    <row r="2609" customFormat="false" ht="15.75" hidden="false" customHeight="true" outlineLevel="0" collapsed="false">
      <c r="B2609" s="19" t="n">
        <v>3338</v>
      </c>
      <c r="C2609" s="20" t="s">
        <v>5343</v>
      </c>
      <c r="D2609" s="20" t="s">
        <v>56</v>
      </c>
      <c r="E2609" s="21"/>
      <c r="F2609" s="21"/>
      <c r="G2609" s="22"/>
      <c r="H2609" s="23" t="n">
        <f aca="false">COUNTIF(CAL!U:AF,B2609)</f>
        <v>1</v>
      </c>
      <c r="I2609" s="22"/>
      <c r="J2609" s="20"/>
    </row>
    <row r="2610" customFormat="false" ht="15.75" hidden="false" customHeight="true" outlineLevel="0" collapsed="false">
      <c r="B2610" s="19" t="n">
        <v>3655</v>
      </c>
      <c r="C2610" s="20" t="s">
        <v>5344</v>
      </c>
      <c r="D2610" s="20" t="s">
        <v>434</v>
      </c>
      <c r="E2610" s="21"/>
      <c r="F2610" s="21"/>
      <c r="G2610" s="22"/>
      <c r="H2610" s="23" t="n">
        <f aca="false">COUNTIF(CAL!U:AF,B2610)</f>
        <v>1</v>
      </c>
      <c r="I2610" s="22"/>
      <c r="J2610" s="20"/>
    </row>
    <row r="2611" customFormat="false" ht="15.75" hidden="false" customHeight="true" outlineLevel="0" collapsed="false">
      <c r="B2611" s="19" t="n">
        <v>3661</v>
      </c>
      <c r="C2611" s="20" t="s">
        <v>5345</v>
      </c>
      <c r="D2611" s="20" t="s">
        <v>360</v>
      </c>
      <c r="E2611" s="21"/>
      <c r="F2611" s="21"/>
      <c r="G2611" s="22"/>
      <c r="H2611" s="23" t="n">
        <f aca="false">COUNTIF(CAL!U:AF,B2611)</f>
        <v>1</v>
      </c>
      <c r="I2611" s="22"/>
      <c r="J2611" s="20"/>
    </row>
    <row r="2612" customFormat="false" ht="15.75" hidden="false" customHeight="true" outlineLevel="0" collapsed="false">
      <c r="B2612" s="19" t="n">
        <v>3646</v>
      </c>
      <c r="C2612" s="20" t="s">
        <v>5346</v>
      </c>
      <c r="D2612" s="20" t="s">
        <v>253</v>
      </c>
      <c r="E2612" s="21"/>
      <c r="F2612" s="21"/>
      <c r="G2612" s="22"/>
      <c r="H2612" s="23" t="n">
        <f aca="false">COUNTIF(CAL!U:AF,B2612)</f>
        <v>1</v>
      </c>
      <c r="I2612" s="22"/>
      <c r="J2612" s="20"/>
    </row>
    <row r="2613" customFormat="false" ht="15.75" hidden="false" customHeight="true" outlineLevel="0" collapsed="false">
      <c r="B2613" s="19" t="n">
        <v>3601</v>
      </c>
      <c r="C2613" s="20" t="s">
        <v>4939</v>
      </c>
      <c r="D2613" s="20" t="s">
        <v>444</v>
      </c>
      <c r="E2613" s="21"/>
      <c r="F2613" s="21"/>
      <c r="G2613" s="22"/>
      <c r="H2613" s="23" t="n">
        <f aca="false">COUNTIF(CAL!U:AF,B2613)</f>
        <v>1</v>
      </c>
      <c r="I2613" s="22"/>
      <c r="J2613" s="20"/>
    </row>
    <row r="2614" customFormat="false" ht="15.75" hidden="false" customHeight="true" outlineLevel="0" collapsed="false">
      <c r="B2614" s="19" t="n">
        <v>3604</v>
      </c>
      <c r="C2614" s="20" t="s">
        <v>5347</v>
      </c>
      <c r="D2614" s="20" t="s">
        <v>65</v>
      </c>
      <c r="E2614" s="21"/>
      <c r="F2614" s="21"/>
      <c r="G2614" s="22"/>
      <c r="H2614" s="23" t="n">
        <f aca="false">COUNTIF(CAL!U:AF,B2614)</f>
        <v>1</v>
      </c>
      <c r="I2614" s="22"/>
      <c r="J2614" s="20"/>
    </row>
    <row r="2615" customFormat="false" ht="15.75" hidden="false" customHeight="true" outlineLevel="0" collapsed="false">
      <c r="B2615" s="19" t="n">
        <v>3580</v>
      </c>
      <c r="C2615" s="20" t="s">
        <v>4574</v>
      </c>
      <c r="D2615" s="20" t="s">
        <v>190</v>
      </c>
      <c r="E2615" s="21"/>
      <c r="F2615" s="21"/>
      <c r="G2615" s="22"/>
      <c r="H2615" s="23" t="n">
        <f aca="false">COUNTIF(CAL!U:AF,B2615)</f>
        <v>1</v>
      </c>
      <c r="I2615" s="22"/>
      <c r="J2615" s="20"/>
    </row>
    <row r="2616" customFormat="false" ht="15.75" hidden="false" customHeight="true" outlineLevel="0" collapsed="false">
      <c r="B2616" s="19" t="n">
        <v>3573</v>
      </c>
      <c r="C2616" s="20" t="s">
        <v>1289</v>
      </c>
      <c r="D2616" s="20" t="s">
        <v>201</v>
      </c>
      <c r="E2616" s="21"/>
      <c r="F2616" s="21"/>
      <c r="G2616" s="22"/>
      <c r="H2616" s="23" t="n">
        <f aca="false">COUNTIF(CAL!U:AF,B2616)</f>
        <v>1</v>
      </c>
      <c r="I2616" s="22"/>
      <c r="J2616" s="20"/>
    </row>
    <row r="2617" customFormat="false" ht="15.75" hidden="false" customHeight="true" outlineLevel="0" collapsed="false">
      <c r="B2617" s="19" t="n">
        <v>3616</v>
      </c>
      <c r="C2617" s="20" t="s">
        <v>5348</v>
      </c>
      <c r="D2617" s="20" t="s">
        <v>292</v>
      </c>
      <c r="E2617" s="21"/>
      <c r="F2617" s="21"/>
      <c r="G2617" s="22"/>
      <c r="H2617" s="23" t="n">
        <f aca="false">COUNTIF(CAL!U:AF,B2617)</f>
        <v>1</v>
      </c>
      <c r="I2617" s="22"/>
      <c r="J2617" s="20"/>
    </row>
    <row r="2618" customFormat="false" ht="15.75" hidden="false" customHeight="true" outlineLevel="0" collapsed="false">
      <c r="B2618" s="19" t="n">
        <v>3602</v>
      </c>
      <c r="C2618" s="20" t="s">
        <v>5349</v>
      </c>
      <c r="D2618" s="20" t="s">
        <v>119</v>
      </c>
      <c r="E2618" s="21"/>
      <c r="F2618" s="21"/>
      <c r="G2618" s="22"/>
      <c r="H2618" s="23" t="n">
        <f aca="false">COUNTIF(CAL!U:AF,B2618)</f>
        <v>1</v>
      </c>
      <c r="I2618" s="22"/>
      <c r="J2618" s="20"/>
    </row>
    <row r="2619" customFormat="false" ht="15.75" hidden="false" customHeight="true" outlineLevel="0" collapsed="false">
      <c r="B2619" s="19" t="n">
        <v>3567</v>
      </c>
      <c r="C2619" s="20" t="s">
        <v>5350</v>
      </c>
      <c r="D2619" s="20" t="s">
        <v>113</v>
      </c>
      <c r="E2619" s="21"/>
      <c r="F2619" s="21"/>
      <c r="G2619" s="22"/>
      <c r="H2619" s="23" t="n">
        <f aca="false">COUNTIF(CAL!U:AF,B2619)</f>
        <v>1</v>
      </c>
      <c r="I2619" s="22"/>
      <c r="J2619" s="20"/>
    </row>
    <row r="2620" customFormat="false" ht="15.75" hidden="false" customHeight="true" outlineLevel="0" collapsed="false">
      <c r="B2620" s="19" t="n">
        <v>3339</v>
      </c>
      <c r="C2620" s="20" t="s">
        <v>5351</v>
      </c>
      <c r="D2620" s="20" t="s">
        <v>325</v>
      </c>
      <c r="E2620" s="21"/>
      <c r="F2620" s="21"/>
      <c r="G2620" s="22"/>
      <c r="H2620" s="23" t="n">
        <f aca="false">COUNTIF(CAL!U:AF,B2620)</f>
        <v>1</v>
      </c>
      <c r="I2620" s="22"/>
      <c r="J2620" s="20"/>
    </row>
    <row r="2621" customFormat="false" ht="15.75" hidden="false" customHeight="true" outlineLevel="0" collapsed="false">
      <c r="B2621" s="19" t="n">
        <v>3622</v>
      </c>
      <c r="C2621" s="20" t="s">
        <v>4086</v>
      </c>
      <c r="D2621" s="20" t="s">
        <v>33</v>
      </c>
      <c r="E2621" s="24"/>
      <c r="F2621" s="21"/>
      <c r="G2621" s="22"/>
      <c r="H2621" s="23" t="n">
        <f aca="false">COUNTIF(CAL!U:AF,B2621)</f>
        <v>1</v>
      </c>
      <c r="I2621" s="22"/>
      <c r="J2621" s="20"/>
    </row>
    <row r="2622" customFormat="false" ht="15.75" hidden="false" customHeight="true" outlineLevel="0" collapsed="false">
      <c r="B2622" s="19" t="n">
        <v>3550</v>
      </c>
      <c r="C2622" s="20" t="s">
        <v>5352</v>
      </c>
      <c r="D2622" s="20" t="s">
        <v>319</v>
      </c>
      <c r="E2622" s="24"/>
      <c r="F2622" s="21"/>
      <c r="G2622" s="22"/>
      <c r="H2622" s="23" t="n">
        <f aca="false">COUNTIF(CAL!U:AF,B2622)</f>
        <v>1</v>
      </c>
      <c r="I2622" s="22"/>
      <c r="J2622" s="20"/>
    </row>
    <row r="2623" customFormat="false" ht="15.75" hidden="false" customHeight="true" outlineLevel="0" collapsed="false">
      <c r="B2623" s="19" t="n">
        <v>3325</v>
      </c>
      <c r="C2623" s="20" t="s">
        <v>5353</v>
      </c>
      <c r="D2623" s="20" t="s">
        <v>313</v>
      </c>
      <c r="E2623" s="21"/>
      <c r="F2623" s="21"/>
      <c r="G2623" s="22"/>
      <c r="H2623" s="23" t="n">
        <f aca="false">COUNTIF(CAL!U:AF,B2623)</f>
        <v>1</v>
      </c>
      <c r="I2623" s="22"/>
      <c r="J2623" s="20"/>
    </row>
    <row r="2624" customFormat="false" ht="15.75" hidden="false" customHeight="true" outlineLevel="0" collapsed="false">
      <c r="B2624" s="19" t="n">
        <v>3611</v>
      </c>
      <c r="C2624" s="20" t="s">
        <v>5354</v>
      </c>
      <c r="D2624" s="20" t="s">
        <v>146</v>
      </c>
      <c r="E2624" s="21"/>
      <c r="F2624" s="21"/>
      <c r="G2624" s="22"/>
      <c r="H2624" s="23" t="n">
        <f aca="false">COUNTIF(CAL!U:AF,B2624)</f>
        <v>1</v>
      </c>
      <c r="I2624" s="22"/>
      <c r="J2624" s="20"/>
    </row>
    <row r="2625" customFormat="false" ht="15.75" hidden="false" customHeight="true" outlineLevel="0" collapsed="false">
      <c r="B2625" s="19" t="n">
        <v>3331</v>
      </c>
      <c r="C2625" s="20" t="s">
        <v>1415</v>
      </c>
      <c r="D2625" s="20" t="s">
        <v>376</v>
      </c>
      <c r="E2625" s="24"/>
      <c r="F2625" s="21"/>
      <c r="G2625" s="22"/>
      <c r="H2625" s="23" t="n">
        <f aca="false">COUNTIF(CAL!U:AF,B2625)</f>
        <v>1</v>
      </c>
      <c r="I2625" s="22"/>
      <c r="J2625" s="20"/>
    </row>
    <row r="2626" customFormat="false" ht="15.75" hidden="false" customHeight="true" outlineLevel="0" collapsed="false">
      <c r="B2626" s="19" t="n">
        <v>3638</v>
      </c>
      <c r="C2626" s="20" t="s">
        <v>5355</v>
      </c>
      <c r="D2626" s="20" t="s">
        <v>136</v>
      </c>
      <c r="E2626" s="24"/>
      <c r="F2626" s="21"/>
      <c r="G2626" s="22"/>
      <c r="H2626" s="23" t="n">
        <f aca="false">COUNTIF(CAL!U:AF,B2626)</f>
        <v>1</v>
      </c>
      <c r="I2626" s="22"/>
      <c r="J2626" s="20"/>
    </row>
    <row r="2627" customFormat="false" ht="15.75" hidden="false" customHeight="true" outlineLevel="0" collapsed="false">
      <c r="B2627" s="19" t="n">
        <v>3605</v>
      </c>
      <c r="C2627" s="20" t="s">
        <v>5356</v>
      </c>
      <c r="D2627" s="20" t="s">
        <v>273</v>
      </c>
      <c r="E2627" s="21"/>
      <c r="F2627" s="21"/>
      <c r="G2627" s="22"/>
      <c r="H2627" s="23" t="n">
        <f aca="false">COUNTIF(CAL!U:AF,B2627)</f>
        <v>1</v>
      </c>
      <c r="I2627" s="22"/>
      <c r="J2627" s="20"/>
    </row>
    <row r="2628" customFormat="false" ht="15.75" hidden="false" customHeight="true" outlineLevel="0" collapsed="false">
      <c r="B2628" s="19" t="n">
        <v>3665</v>
      </c>
      <c r="C2628" s="20" t="s">
        <v>5357</v>
      </c>
      <c r="D2628" s="20" t="s">
        <v>74</v>
      </c>
      <c r="E2628" s="21"/>
      <c r="F2628" s="21"/>
      <c r="G2628" s="22"/>
      <c r="H2628" s="23" t="n">
        <f aca="false">COUNTIF(CAL!U:AF,B2628)</f>
        <v>1</v>
      </c>
      <c r="I2628" s="22"/>
      <c r="J2628" s="20"/>
    </row>
    <row r="2629" customFormat="false" ht="15.75" hidden="false" customHeight="true" outlineLevel="0" collapsed="false">
      <c r="B2629" s="19" t="n">
        <v>3607</v>
      </c>
      <c r="C2629" s="20" t="s">
        <v>5358</v>
      </c>
      <c r="D2629" s="20" t="s">
        <v>153</v>
      </c>
      <c r="E2629" s="21"/>
      <c r="F2629" s="21"/>
      <c r="G2629" s="22"/>
      <c r="H2629" s="23" t="n">
        <f aca="false">COUNTIF(CAL!U:AF,B2629)</f>
        <v>1</v>
      </c>
      <c r="I2629" s="22"/>
      <c r="J2629" s="20"/>
    </row>
    <row r="2630" customFormat="false" ht="15.75" hidden="false" customHeight="true" outlineLevel="0" collapsed="false">
      <c r="B2630" s="19" t="n">
        <v>3579</v>
      </c>
      <c r="C2630" s="20" t="s">
        <v>5359</v>
      </c>
      <c r="D2630" s="20" t="s">
        <v>243</v>
      </c>
      <c r="E2630" s="24"/>
      <c r="F2630" s="21"/>
      <c r="G2630" s="22"/>
      <c r="H2630" s="23" t="n">
        <f aca="false">COUNTIF(CAL!U:AF,B2630)</f>
        <v>1</v>
      </c>
      <c r="I2630" s="22"/>
      <c r="J2630" s="20"/>
    </row>
    <row r="2631" customFormat="false" ht="15.75" hidden="false" customHeight="true" outlineLevel="0" collapsed="false">
      <c r="B2631" s="19" t="n">
        <v>3572</v>
      </c>
      <c r="C2631" s="20" t="s">
        <v>5360</v>
      </c>
      <c r="D2631" s="20" t="s">
        <v>55</v>
      </c>
      <c r="E2631" s="21"/>
      <c r="F2631" s="21"/>
      <c r="G2631" s="22"/>
      <c r="H2631" s="23" t="n">
        <f aca="false">COUNTIF(CAL!U:AF,B2631)</f>
        <v>1</v>
      </c>
      <c r="I2631" s="22"/>
      <c r="J2631" s="20"/>
    </row>
    <row r="2632" customFormat="false" ht="15.75" hidden="false" customHeight="true" outlineLevel="0" collapsed="false">
      <c r="B2632" s="19" t="n">
        <v>3571</v>
      </c>
      <c r="C2632" s="20" t="s">
        <v>5360</v>
      </c>
      <c r="D2632" s="20" t="s">
        <v>117</v>
      </c>
      <c r="E2632" s="24"/>
      <c r="F2632" s="21"/>
      <c r="G2632" s="22"/>
      <c r="H2632" s="23" t="n">
        <f aca="false">COUNTIF(CAL!U:AF,B2632)</f>
        <v>1</v>
      </c>
      <c r="I2632" s="22"/>
      <c r="J2632" s="20"/>
    </row>
    <row r="2633" customFormat="false" ht="15.75" hidden="false" customHeight="true" outlineLevel="0" collapsed="false">
      <c r="B2633" s="19" t="n">
        <v>3594</v>
      </c>
      <c r="C2633" s="20" t="s">
        <v>5361</v>
      </c>
      <c r="D2633" s="20" t="s">
        <v>155</v>
      </c>
      <c r="E2633" s="21"/>
      <c r="F2633" s="21"/>
      <c r="G2633" s="22"/>
      <c r="H2633" s="23" t="n">
        <f aca="false">COUNTIF(CAL!U:AF,B2633)</f>
        <v>1</v>
      </c>
      <c r="I2633" s="22"/>
      <c r="J2633" s="20"/>
    </row>
    <row r="2634" customFormat="false" ht="15.75" hidden="false" customHeight="true" outlineLevel="0" collapsed="false">
      <c r="B2634" s="19" t="n">
        <v>3641</v>
      </c>
      <c r="C2634" s="20" t="s">
        <v>5362</v>
      </c>
      <c r="D2634" s="20" t="s">
        <v>109</v>
      </c>
      <c r="E2634" s="21"/>
      <c r="F2634" s="21"/>
      <c r="G2634" s="22"/>
      <c r="H2634" s="23" t="n">
        <f aca="false">COUNTIF(CAL!U:AF,B2634)</f>
        <v>1</v>
      </c>
      <c r="I2634" s="22"/>
      <c r="J2634" s="20"/>
    </row>
    <row r="2635" customFormat="false" ht="15.75" hidden="false" customHeight="true" outlineLevel="0" collapsed="false">
      <c r="B2635" s="19" t="n">
        <v>3553</v>
      </c>
      <c r="C2635" s="20" t="s">
        <v>3594</v>
      </c>
      <c r="D2635" s="20" t="s">
        <v>182</v>
      </c>
      <c r="E2635" s="24"/>
      <c r="F2635" s="21"/>
      <c r="G2635" s="22"/>
      <c r="H2635" s="23" t="n">
        <f aca="false">COUNTIF(CAL!U:AF,B2635)</f>
        <v>1</v>
      </c>
      <c r="I2635" s="22"/>
      <c r="J2635" s="20"/>
    </row>
    <row r="2636" customFormat="false" ht="15.75" hidden="false" customHeight="true" outlineLevel="0" collapsed="false">
      <c r="B2636" s="19" t="n">
        <v>3587</v>
      </c>
      <c r="C2636" s="20" t="s">
        <v>2002</v>
      </c>
      <c r="D2636" s="20" t="s">
        <v>417</v>
      </c>
      <c r="E2636" s="21"/>
      <c r="F2636" s="21"/>
      <c r="G2636" s="22"/>
      <c r="H2636" s="23" t="n">
        <f aca="false">COUNTIF(CAL!U:AF,B2636)</f>
        <v>1</v>
      </c>
      <c r="I2636" s="22"/>
      <c r="J2636" s="20"/>
    </row>
    <row r="2637" customFormat="false" ht="15.75" hidden="false" customHeight="true" outlineLevel="0" collapsed="false">
      <c r="B2637" s="19" t="n">
        <v>3609</v>
      </c>
      <c r="C2637" s="20" t="s">
        <v>5363</v>
      </c>
      <c r="D2637" s="20" t="s">
        <v>64</v>
      </c>
      <c r="E2637" s="24"/>
      <c r="F2637" s="21"/>
      <c r="G2637" s="22"/>
      <c r="H2637" s="23" t="n">
        <f aca="false">COUNTIF(CAL!U:AF,B2637)</f>
        <v>1</v>
      </c>
      <c r="I2637" s="22"/>
      <c r="J2637" s="20"/>
    </row>
    <row r="2638" customFormat="false" ht="15.75" hidden="false" customHeight="true" outlineLevel="0" collapsed="false">
      <c r="B2638" s="19" t="n">
        <v>3539</v>
      </c>
      <c r="C2638" s="20" t="s">
        <v>4120</v>
      </c>
      <c r="D2638" s="20" t="s">
        <v>268</v>
      </c>
      <c r="E2638" s="21"/>
      <c r="F2638" s="21"/>
      <c r="G2638" s="22"/>
      <c r="H2638" s="23" t="n">
        <f aca="false">COUNTIF(CAL!U:AF,B2638)</f>
        <v>1</v>
      </c>
      <c r="I2638" s="22"/>
      <c r="J2638" s="20"/>
    </row>
    <row r="2639" customFormat="false" ht="15.75" hidden="false" customHeight="true" outlineLevel="0" collapsed="false">
      <c r="B2639" s="19" t="n">
        <v>3507</v>
      </c>
      <c r="C2639" s="20" t="s">
        <v>5364</v>
      </c>
      <c r="D2639" s="20" t="s">
        <v>51</v>
      </c>
      <c r="E2639" s="21"/>
      <c r="F2639" s="21"/>
      <c r="G2639" s="22"/>
      <c r="H2639" s="23" t="n">
        <f aca="false">COUNTIF(CAL!U:AF,B2639)</f>
        <v>1</v>
      </c>
      <c r="I2639" s="22"/>
      <c r="J2639" s="20"/>
    </row>
    <row r="2640" customFormat="false" ht="15.75" hidden="false" customHeight="true" outlineLevel="0" collapsed="false">
      <c r="B2640" s="19" t="n">
        <v>3606</v>
      </c>
      <c r="C2640" s="20" t="s">
        <v>5365</v>
      </c>
      <c r="D2640" s="20" t="s">
        <v>202</v>
      </c>
      <c r="E2640" s="21"/>
      <c r="F2640" s="21"/>
      <c r="G2640" s="22"/>
      <c r="H2640" s="23" t="n">
        <f aca="false">COUNTIF(CAL!U:AF,B2640)</f>
        <v>1</v>
      </c>
      <c r="I2640" s="22"/>
      <c r="J2640" s="20"/>
    </row>
    <row r="2641" customFormat="false" ht="15.75" hidden="false" customHeight="true" outlineLevel="0" collapsed="false">
      <c r="B2641" s="19" t="n">
        <v>3535</v>
      </c>
      <c r="C2641" s="20" t="s">
        <v>5366</v>
      </c>
      <c r="D2641" s="20" t="s">
        <v>425</v>
      </c>
      <c r="E2641" s="21"/>
      <c r="F2641" s="21"/>
      <c r="G2641" s="22"/>
      <c r="H2641" s="23" t="n">
        <f aca="false">COUNTIF(CAL!U:AF,B2641)</f>
        <v>1</v>
      </c>
      <c r="I2641" s="22"/>
      <c r="J2641" s="20"/>
    </row>
    <row r="2642" customFormat="false" ht="15.75" hidden="false" customHeight="true" outlineLevel="0" collapsed="false">
      <c r="B2642" s="19" t="n">
        <v>3620</v>
      </c>
      <c r="C2642" s="20" t="s">
        <v>3389</v>
      </c>
      <c r="D2642" s="20" t="s">
        <v>321</v>
      </c>
      <c r="E2642" s="21"/>
      <c r="F2642" s="21"/>
      <c r="G2642" s="22"/>
      <c r="H2642" s="23" t="n">
        <f aca="false">COUNTIF(CAL!U:AF,B2642)</f>
        <v>1</v>
      </c>
      <c r="I2642" s="22"/>
      <c r="J2642" s="20"/>
    </row>
    <row r="2643" customFormat="false" ht="15.75" hidden="false" customHeight="true" outlineLevel="0" collapsed="false">
      <c r="B2643" s="19" t="n">
        <v>3654</v>
      </c>
      <c r="C2643" s="20" t="s">
        <v>1091</v>
      </c>
      <c r="D2643" s="20" t="s">
        <v>165</v>
      </c>
      <c r="E2643" s="24"/>
      <c r="F2643" s="21"/>
      <c r="G2643" s="22"/>
      <c r="H2643" s="23" t="n">
        <f aca="false">COUNTIF(CAL!U:AF,B2643)</f>
        <v>1</v>
      </c>
      <c r="I2643" s="22"/>
      <c r="J2643" s="20"/>
    </row>
    <row r="2644" customFormat="false" ht="15.75" hidden="false" customHeight="true" outlineLevel="0" collapsed="false">
      <c r="B2644" s="19" t="n">
        <v>3586</v>
      </c>
      <c r="C2644" s="20" t="s">
        <v>5367</v>
      </c>
      <c r="D2644" s="20" t="s">
        <v>413</v>
      </c>
      <c r="E2644" s="21"/>
      <c r="F2644" s="21"/>
      <c r="G2644" s="22"/>
      <c r="H2644" s="23" t="n">
        <f aca="false">COUNTIF(CAL!U:AF,B2644)</f>
        <v>1</v>
      </c>
      <c r="I2644" s="22"/>
      <c r="J2644" s="20"/>
    </row>
    <row r="2645" customFormat="false" ht="15.75" hidden="false" customHeight="true" outlineLevel="0" collapsed="false">
      <c r="B2645" s="19" t="n">
        <v>3540</v>
      </c>
      <c r="C2645" s="20" t="s">
        <v>5368</v>
      </c>
      <c r="D2645" s="20" t="s">
        <v>231</v>
      </c>
      <c r="E2645" s="21"/>
      <c r="F2645" s="21"/>
      <c r="G2645" s="22"/>
      <c r="H2645" s="23" t="n">
        <f aca="false">COUNTIF(CAL!U:AF,B2645)</f>
        <v>1</v>
      </c>
      <c r="I2645" s="22"/>
      <c r="J2645" s="20"/>
    </row>
    <row r="2646" customFormat="false" ht="15.75" hidden="false" customHeight="true" outlineLevel="0" collapsed="false">
      <c r="B2646" s="19"/>
      <c r="C2646" s="20"/>
      <c r="D2646" s="20"/>
      <c r="E2646" s="21"/>
      <c r="F2646" s="21"/>
      <c r="G2646" s="22"/>
      <c r="H2646" s="23"/>
      <c r="I2646" s="22"/>
      <c r="J2646" s="20"/>
    </row>
    <row r="2647" customFormat="false" ht="15.75" hidden="false" customHeight="true" outlineLevel="0" collapsed="false">
      <c r="B2647" s="19"/>
      <c r="C2647" s="20"/>
      <c r="D2647" s="20"/>
      <c r="E2647" s="24"/>
      <c r="F2647" s="21"/>
      <c r="G2647" s="22"/>
      <c r="H2647" s="23"/>
      <c r="I2647" s="22"/>
      <c r="J2647" s="20"/>
    </row>
    <row r="2648" customFormat="false" ht="15.75" hidden="false" customHeight="true" outlineLevel="0" collapsed="false">
      <c r="B2648" s="19"/>
      <c r="C2648" s="20"/>
      <c r="D2648" s="20"/>
      <c r="E2648" s="21"/>
      <c r="F2648" s="21"/>
      <c r="G2648" s="22"/>
      <c r="H2648" s="23"/>
      <c r="I2648" s="22"/>
      <c r="J2648" s="20"/>
    </row>
    <row r="2649" customFormat="false" ht="15.75" hidden="false" customHeight="true" outlineLevel="0" collapsed="false">
      <c r="B2649" s="19"/>
      <c r="C2649" s="20"/>
      <c r="D2649" s="20"/>
      <c r="E2649" s="21"/>
      <c r="F2649" s="21"/>
      <c r="G2649" s="22"/>
      <c r="H2649" s="23"/>
      <c r="I2649" s="22"/>
      <c r="J2649" s="20"/>
    </row>
    <row r="2650" customFormat="false" ht="15.75" hidden="false" customHeight="true" outlineLevel="0" collapsed="false">
      <c r="B2650" s="19"/>
      <c r="C2650" s="20"/>
      <c r="D2650" s="20"/>
      <c r="E2650" s="21"/>
      <c r="F2650" s="21"/>
      <c r="G2650" s="22"/>
      <c r="H2650" s="23"/>
      <c r="I2650" s="22"/>
      <c r="J2650" s="20"/>
    </row>
    <row r="2651" customFormat="false" ht="15.75" hidden="false" customHeight="true" outlineLevel="0" collapsed="false">
      <c r="B2651" s="19"/>
      <c r="C2651" s="20"/>
      <c r="D2651" s="20"/>
      <c r="E2651" s="21"/>
      <c r="F2651" s="21"/>
      <c r="G2651" s="22"/>
      <c r="H2651" s="23"/>
      <c r="I2651" s="22"/>
      <c r="J2651" s="20"/>
    </row>
    <row r="2652" customFormat="false" ht="15.75" hidden="false" customHeight="true" outlineLevel="0" collapsed="false">
      <c r="B2652" s="19"/>
      <c r="C2652" s="20"/>
      <c r="D2652" s="20"/>
      <c r="E2652" s="21"/>
      <c r="F2652" s="21"/>
      <c r="G2652" s="22"/>
      <c r="H2652" s="23"/>
      <c r="I2652" s="22"/>
      <c r="J2652" s="20"/>
    </row>
    <row r="2653" customFormat="false" ht="15.75" hidden="false" customHeight="true" outlineLevel="0" collapsed="false">
      <c r="B2653" s="19"/>
      <c r="C2653" s="20"/>
      <c r="D2653" s="20"/>
      <c r="E2653" s="24"/>
      <c r="F2653" s="21"/>
      <c r="G2653" s="22"/>
      <c r="H2653" s="23"/>
      <c r="I2653" s="22"/>
      <c r="J2653" s="20"/>
    </row>
    <row r="2654" customFormat="false" ht="15.75" hidden="false" customHeight="true" outlineLevel="0" collapsed="false">
      <c r="B2654" s="19"/>
      <c r="C2654" s="20"/>
      <c r="D2654" s="20"/>
      <c r="E2654" s="21"/>
      <c r="F2654" s="21"/>
      <c r="G2654" s="22"/>
      <c r="H2654" s="23"/>
      <c r="I2654" s="22"/>
      <c r="J2654" s="20"/>
    </row>
    <row r="2655" customFormat="false" ht="15.75" hidden="false" customHeight="true" outlineLevel="0" collapsed="false">
      <c r="B2655" s="19"/>
      <c r="C2655" s="20"/>
      <c r="D2655" s="20"/>
      <c r="E2655" s="21"/>
      <c r="F2655" s="21"/>
      <c r="G2655" s="22"/>
      <c r="H2655" s="23"/>
      <c r="I2655" s="22"/>
      <c r="J2655" s="20"/>
    </row>
    <row r="2656" customFormat="false" ht="15.75" hidden="false" customHeight="true" outlineLevel="0" collapsed="false">
      <c r="B2656" s="19"/>
      <c r="C2656" s="20"/>
      <c r="D2656" s="20"/>
      <c r="E2656" s="21"/>
      <c r="F2656" s="21"/>
      <c r="G2656" s="22"/>
      <c r="H2656" s="23"/>
      <c r="I2656" s="22"/>
      <c r="J2656" s="20"/>
    </row>
    <row r="2657" customFormat="false" ht="15.75" hidden="false" customHeight="true" outlineLevel="0" collapsed="false">
      <c r="B2657" s="19"/>
      <c r="C2657" s="20"/>
      <c r="D2657" s="20"/>
      <c r="E2657" s="24"/>
      <c r="F2657" s="21"/>
      <c r="G2657" s="22"/>
      <c r="H2657" s="23"/>
      <c r="I2657" s="22"/>
      <c r="J2657" s="20"/>
    </row>
    <row r="2658" customFormat="false" ht="15.75" hidden="false" customHeight="true" outlineLevel="0" collapsed="false">
      <c r="B2658" s="19"/>
      <c r="C2658" s="20"/>
      <c r="D2658" s="20"/>
      <c r="E2658" s="21"/>
      <c r="F2658" s="21"/>
      <c r="G2658" s="22"/>
      <c r="H2658" s="23"/>
      <c r="I2658" s="22"/>
      <c r="J2658" s="20"/>
    </row>
    <row r="2659" customFormat="false" ht="15.75" hidden="false" customHeight="true" outlineLevel="0" collapsed="false">
      <c r="B2659" s="19"/>
      <c r="C2659" s="20"/>
      <c r="D2659" s="20"/>
      <c r="E2659" s="21"/>
      <c r="F2659" s="21"/>
      <c r="G2659" s="22"/>
      <c r="H2659" s="23"/>
      <c r="I2659" s="22"/>
      <c r="J2659" s="20"/>
    </row>
    <row r="2660" customFormat="false" ht="15.75" hidden="false" customHeight="true" outlineLevel="0" collapsed="false">
      <c r="B2660" s="19"/>
      <c r="C2660" s="20"/>
      <c r="D2660" s="20"/>
      <c r="E2660" s="24"/>
      <c r="F2660" s="21"/>
      <c r="G2660" s="22"/>
      <c r="H2660" s="23"/>
      <c r="I2660" s="22"/>
      <c r="J2660" s="20"/>
    </row>
    <row r="2661" customFormat="false" ht="15.75" hidden="false" customHeight="true" outlineLevel="0" collapsed="false">
      <c r="B2661" s="19"/>
      <c r="C2661" s="20"/>
      <c r="D2661" s="20"/>
      <c r="E2661" s="21"/>
      <c r="F2661" s="21"/>
      <c r="G2661" s="22"/>
      <c r="H2661" s="23"/>
      <c r="I2661" s="22"/>
      <c r="J2661" s="20"/>
    </row>
    <row r="2662" customFormat="false" ht="15.75" hidden="false" customHeight="true" outlineLevel="0" collapsed="false">
      <c r="B2662" s="19"/>
      <c r="C2662" s="20"/>
      <c r="D2662" s="20"/>
      <c r="E2662" s="24"/>
      <c r="F2662" s="21"/>
      <c r="G2662" s="22"/>
      <c r="H2662" s="23"/>
      <c r="I2662" s="22"/>
      <c r="J2662" s="20"/>
    </row>
    <row r="2663" customFormat="false" ht="15.75" hidden="false" customHeight="true" outlineLevel="0" collapsed="false">
      <c r="B2663" s="19"/>
      <c r="C2663" s="20"/>
      <c r="D2663" s="20"/>
      <c r="E2663" s="21"/>
      <c r="F2663" s="21"/>
      <c r="G2663" s="22"/>
      <c r="H2663" s="23"/>
      <c r="I2663" s="22"/>
      <c r="J2663" s="20"/>
    </row>
    <row r="2664" customFormat="false" ht="15.75" hidden="false" customHeight="true" outlineLevel="0" collapsed="false">
      <c r="B2664" s="19"/>
      <c r="C2664" s="20"/>
      <c r="D2664" s="20"/>
      <c r="E2664" s="21"/>
      <c r="F2664" s="21"/>
      <c r="G2664" s="22"/>
      <c r="H2664" s="23"/>
      <c r="I2664" s="22"/>
      <c r="J2664" s="20"/>
    </row>
    <row r="2665" customFormat="false" ht="15.75" hidden="false" customHeight="true" outlineLevel="0" collapsed="false">
      <c r="B2665" s="19"/>
      <c r="C2665" s="20"/>
      <c r="D2665" s="20"/>
      <c r="E2665" s="21"/>
      <c r="F2665" s="21"/>
      <c r="G2665" s="22"/>
      <c r="H2665" s="23"/>
      <c r="I2665" s="22"/>
      <c r="J2665" s="20"/>
    </row>
    <row r="2666" customFormat="false" ht="15.75" hidden="false" customHeight="true" outlineLevel="0" collapsed="false">
      <c r="B2666" s="19"/>
      <c r="C2666" s="20"/>
      <c r="D2666" s="20"/>
      <c r="E2666" s="21"/>
      <c r="F2666" s="21"/>
      <c r="G2666" s="22"/>
      <c r="H2666" s="23"/>
      <c r="I2666" s="22"/>
      <c r="J2666" s="20"/>
    </row>
    <row r="2667" customFormat="false" ht="15.75" hidden="false" customHeight="true" outlineLevel="0" collapsed="false">
      <c r="B2667" s="19"/>
      <c r="C2667" s="20"/>
      <c r="D2667" s="20"/>
      <c r="E2667" s="24"/>
      <c r="F2667" s="21"/>
      <c r="G2667" s="22"/>
      <c r="H2667" s="23"/>
      <c r="I2667" s="22"/>
      <c r="J2667" s="20"/>
    </row>
    <row r="2668" customFormat="false" ht="15.75" hidden="false" customHeight="true" outlineLevel="0" collapsed="false">
      <c r="B2668" s="19"/>
      <c r="C2668" s="20"/>
      <c r="D2668" s="20"/>
      <c r="E2668" s="21"/>
      <c r="F2668" s="21"/>
      <c r="G2668" s="22"/>
      <c r="H2668" s="23"/>
      <c r="I2668" s="22"/>
      <c r="J2668" s="20"/>
    </row>
    <row r="2669" customFormat="false" ht="15.75" hidden="false" customHeight="true" outlineLevel="0" collapsed="false">
      <c r="B2669" s="19"/>
      <c r="C2669" s="20"/>
      <c r="D2669" s="20"/>
      <c r="E2669" s="21"/>
      <c r="F2669" s="21"/>
      <c r="G2669" s="22"/>
      <c r="H2669" s="23"/>
      <c r="I2669" s="22"/>
      <c r="J2669" s="20"/>
    </row>
    <row r="2670" customFormat="false" ht="15.75" hidden="false" customHeight="true" outlineLevel="0" collapsed="false">
      <c r="B2670" s="19"/>
      <c r="C2670" s="20"/>
      <c r="D2670" s="20"/>
      <c r="E2670" s="21"/>
      <c r="F2670" s="21"/>
      <c r="G2670" s="22"/>
      <c r="H2670" s="23"/>
      <c r="I2670" s="22"/>
      <c r="J2670" s="20"/>
    </row>
    <row r="2671" customFormat="false" ht="15.75" hidden="false" customHeight="true" outlineLevel="0" collapsed="false">
      <c r="B2671" s="19"/>
      <c r="C2671" s="20"/>
      <c r="D2671" s="20"/>
      <c r="E2671" s="21"/>
      <c r="F2671" s="21"/>
      <c r="G2671" s="22"/>
      <c r="H2671" s="23"/>
      <c r="I2671" s="22"/>
      <c r="J2671" s="20"/>
    </row>
    <row r="2672" customFormat="false" ht="15.75" hidden="false" customHeight="true" outlineLevel="0" collapsed="false">
      <c r="B2672" s="19"/>
      <c r="C2672" s="20"/>
      <c r="D2672" s="20"/>
      <c r="E2672" s="21"/>
      <c r="F2672" s="21"/>
      <c r="G2672" s="22"/>
      <c r="H2672" s="23"/>
      <c r="I2672" s="22"/>
      <c r="J2672" s="20"/>
    </row>
    <row r="2673" customFormat="false" ht="15.75" hidden="false" customHeight="true" outlineLevel="0" collapsed="false">
      <c r="B2673" s="19"/>
      <c r="C2673" s="20"/>
      <c r="D2673" s="20"/>
      <c r="E2673" s="24"/>
      <c r="F2673" s="21"/>
      <c r="G2673" s="22"/>
      <c r="H2673" s="23"/>
      <c r="I2673" s="22"/>
      <c r="J2673" s="20"/>
    </row>
    <row r="2674" customFormat="false" ht="15.75" hidden="false" customHeight="true" outlineLevel="0" collapsed="false">
      <c r="B2674" s="19"/>
      <c r="C2674" s="20"/>
      <c r="D2674" s="20"/>
      <c r="E2674" s="21"/>
      <c r="F2674" s="21"/>
      <c r="G2674" s="22"/>
      <c r="H2674" s="23"/>
      <c r="I2674" s="22"/>
      <c r="J2674" s="20"/>
    </row>
    <row r="2675" customFormat="false" ht="15.75" hidden="false" customHeight="true" outlineLevel="0" collapsed="false">
      <c r="B2675" s="19"/>
      <c r="C2675" s="20"/>
      <c r="D2675" s="20"/>
      <c r="E2675" s="21"/>
      <c r="F2675" s="21"/>
      <c r="G2675" s="22"/>
      <c r="H2675" s="23"/>
      <c r="I2675" s="22"/>
      <c r="J2675" s="20"/>
    </row>
    <row r="2676" customFormat="false" ht="15.75" hidden="false" customHeight="true" outlineLevel="0" collapsed="false">
      <c r="B2676" s="19"/>
      <c r="C2676" s="20"/>
      <c r="D2676" s="20"/>
      <c r="E2676" s="24"/>
      <c r="F2676" s="21"/>
      <c r="G2676" s="22"/>
      <c r="H2676" s="23"/>
      <c r="I2676" s="22"/>
      <c r="J2676" s="20"/>
    </row>
    <row r="2677" customFormat="false" ht="15.75" hidden="false" customHeight="true" outlineLevel="0" collapsed="false">
      <c r="B2677" s="19"/>
      <c r="C2677" s="20"/>
      <c r="D2677" s="20"/>
      <c r="E2677" s="21"/>
      <c r="F2677" s="21"/>
      <c r="G2677" s="22"/>
      <c r="H2677" s="23"/>
      <c r="I2677" s="22"/>
      <c r="J2677" s="20"/>
    </row>
    <row r="2678" customFormat="false" ht="15.75" hidden="false" customHeight="true" outlineLevel="0" collapsed="false">
      <c r="B2678" s="19"/>
      <c r="C2678" s="20"/>
      <c r="D2678" s="20"/>
      <c r="E2678" s="24"/>
      <c r="F2678" s="21"/>
      <c r="G2678" s="22"/>
      <c r="H2678" s="23"/>
      <c r="I2678" s="22"/>
      <c r="J2678" s="20"/>
    </row>
    <row r="2679" customFormat="false" ht="15.75" hidden="false" customHeight="true" outlineLevel="0" collapsed="false">
      <c r="B2679" s="19"/>
      <c r="C2679" s="20"/>
      <c r="D2679" s="20"/>
      <c r="E2679" s="21"/>
      <c r="F2679" s="21"/>
      <c r="G2679" s="22"/>
      <c r="H2679" s="23"/>
      <c r="I2679" s="22"/>
      <c r="J2679" s="20"/>
    </row>
    <row r="2680" customFormat="false" ht="15.75" hidden="false" customHeight="true" outlineLevel="0" collapsed="false">
      <c r="B2680" s="19"/>
      <c r="C2680" s="20"/>
      <c r="D2680" s="20"/>
      <c r="E2680" s="21"/>
      <c r="F2680" s="21"/>
      <c r="G2680" s="22"/>
      <c r="H2680" s="23"/>
      <c r="I2680" s="22"/>
      <c r="J2680" s="20"/>
    </row>
    <row r="2681" customFormat="false" ht="15.75" hidden="false" customHeight="true" outlineLevel="0" collapsed="false">
      <c r="B2681" s="19"/>
      <c r="C2681" s="20"/>
      <c r="D2681" s="20"/>
      <c r="E2681" s="21"/>
      <c r="F2681" s="21"/>
      <c r="G2681" s="22"/>
      <c r="H2681" s="23"/>
      <c r="I2681" s="22"/>
      <c r="J2681" s="20"/>
    </row>
    <row r="2682" customFormat="false" ht="15.75" hidden="false" customHeight="true" outlineLevel="0" collapsed="false">
      <c r="B2682" s="19"/>
      <c r="C2682" s="20"/>
      <c r="D2682" s="20"/>
      <c r="E2682" s="21"/>
      <c r="F2682" s="21"/>
      <c r="G2682" s="22"/>
      <c r="H2682" s="23"/>
      <c r="I2682" s="22"/>
      <c r="J2682" s="20"/>
    </row>
    <row r="2683" customFormat="false" ht="15.75" hidden="false" customHeight="true" outlineLevel="0" collapsed="false">
      <c r="B2683" s="19"/>
      <c r="C2683" s="20"/>
      <c r="D2683" s="20"/>
      <c r="E2683" s="21"/>
      <c r="F2683" s="21"/>
      <c r="G2683" s="22"/>
      <c r="H2683" s="23"/>
      <c r="I2683" s="22"/>
      <c r="J2683" s="20"/>
    </row>
    <row r="2684" customFormat="false" ht="15.75" hidden="false" customHeight="true" outlineLevel="0" collapsed="false">
      <c r="B2684" s="19"/>
      <c r="C2684" s="20"/>
      <c r="D2684" s="20"/>
      <c r="E2684" s="21"/>
      <c r="F2684" s="21"/>
      <c r="G2684" s="22"/>
      <c r="H2684" s="23"/>
      <c r="I2684" s="22"/>
      <c r="J2684" s="20"/>
    </row>
    <row r="2685" customFormat="false" ht="15.75" hidden="false" customHeight="true" outlineLevel="0" collapsed="false">
      <c r="B2685" s="19"/>
      <c r="C2685" s="20"/>
      <c r="D2685" s="20"/>
      <c r="E2685" s="21"/>
      <c r="F2685" s="21"/>
      <c r="G2685" s="22"/>
      <c r="H2685" s="23"/>
      <c r="I2685" s="22"/>
      <c r="J2685" s="20"/>
    </row>
    <row r="2686" customFormat="false" ht="15.75" hidden="false" customHeight="true" outlineLevel="0" collapsed="false">
      <c r="B2686" s="19"/>
      <c r="C2686" s="20"/>
      <c r="D2686" s="20"/>
      <c r="E2686" s="24"/>
      <c r="F2686" s="21"/>
      <c r="G2686" s="22"/>
      <c r="H2686" s="23"/>
      <c r="I2686" s="22"/>
      <c r="J2686" s="20"/>
    </row>
    <row r="2687" customFormat="false" ht="15.75" hidden="false" customHeight="true" outlineLevel="0" collapsed="false">
      <c r="B2687" s="19"/>
      <c r="C2687" s="20"/>
      <c r="D2687" s="20"/>
      <c r="E2687" s="21"/>
      <c r="F2687" s="21"/>
      <c r="G2687" s="22"/>
      <c r="H2687" s="23"/>
      <c r="I2687" s="22"/>
      <c r="J2687" s="20"/>
    </row>
    <row r="2688" customFormat="false" ht="15.75" hidden="false" customHeight="true" outlineLevel="0" collapsed="false">
      <c r="B2688" s="19"/>
      <c r="C2688" s="20"/>
      <c r="D2688" s="20"/>
      <c r="E2688" s="21"/>
      <c r="F2688" s="21"/>
      <c r="G2688" s="22"/>
      <c r="H2688" s="23"/>
      <c r="I2688" s="22"/>
      <c r="J2688" s="20"/>
    </row>
    <row r="2689" customFormat="false" ht="15.75" hidden="false" customHeight="true" outlineLevel="0" collapsed="false">
      <c r="B2689" s="19"/>
      <c r="C2689" s="20"/>
      <c r="D2689" s="20"/>
      <c r="E2689" s="21"/>
      <c r="F2689" s="21"/>
      <c r="G2689" s="22"/>
      <c r="H2689" s="23"/>
      <c r="I2689" s="22"/>
      <c r="J2689" s="20"/>
    </row>
    <row r="2690" customFormat="false" ht="15.75" hidden="false" customHeight="true" outlineLevel="0" collapsed="false">
      <c r="B2690" s="19"/>
      <c r="C2690" s="20"/>
      <c r="D2690" s="20"/>
      <c r="E2690" s="21"/>
      <c r="F2690" s="21"/>
      <c r="G2690" s="22"/>
      <c r="H2690" s="23"/>
      <c r="I2690" s="22"/>
      <c r="J2690" s="20"/>
    </row>
    <row r="2691" customFormat="false" ht="15.75" hidden="false" customHeight="true" outlineLevel="0" collapsed="false">
      <c r="B2691" s="19"/>
      <c r="C2691" s="20"/>
      <c r="D2691" s="20"/>
      <c r="E2691" s="21"/>
      <c r="F2691" s="21"/>
      <c r="G2691" s="22"/>
      <c r="H2691" s="23"/>
      <c r="I2691" s="22"/>
      <c r="J2691" s="20"/>
    </row>
    <row r="2692" customFormat="false" ht="15.75" hidden="false" customHeight="true" outlineLevel="0" collapsed="false">
      <c r="B2692" s="19"/>
      <c r="C2692" s="20"/>
      <c r="D2692" s="20"/>
      <c r="E2692" s="21"/>
      <c r="F2692" s="21"/>
      <c r="G2692" s="22"/>
      <c r="H2692" s="23"/>
      <c r="I2692" s="22"/>
      <c r="J2692" s="20"/>
    </row>
    <row r="2693" customFormat="false" ht="15.75" hidden="false" customHeight="true" outlineLevel="0" collapsed="false">
      <c r="B2693" s="19"/>
      <c r="C2693" s="20"/>
      <c r="D2693" s="20"/>
      <c r="E2693" s="21"/>
      <c r="F2693" s="21"/>
      <c r="G2693" s="22"/>
      <c r="H2693" s="23"/>
      <c r="I2693" s="22"/>
      <c r="J2693" s="20"/>
    </row>
    <row r="2694" customFormat="false" ht="15.75" hidden="false" customHeight="true" outlineLevel="0" collapsed="false">
      <c r="B2694" s="19"/>
      <c r="C2694" s="20"/>
      <c r="D2694" s="20"/>
      <c r="E2694" s="24"/>
      <c r="F2694" s="21"/>
      <c r="G2694" s="22"/>
      <c r="H2694" s="23"/>
      <c r="I2694" s="22"/>
      <c r="J2694" s="20"/>
    </row>
    <row r="2695" customFormat="false" ht="15.75" hidden="false" customHeight="true" outlineLevel="0" collapsed="false">
      <c r="B2695" s="19"/>
      <c r="C2695" s="20"/>
      <c r="D2695" s="20"/>
      <c r="E2695" s="21"/>
      <c r="F2695" s="21"/>
      <c r="G2695" s="22"/>
      <c r="H2695" s="23"/>
      <c r="I2695" s="22"/>
      <c r="J2695" s="20"/>
    </row>
    <row r="2696" customFormat="false" ht="15.75" hidden="false" customHeight="true" outlineLevel="0" collapsed="false">
      <c r="B2696" s="19"/>
      <c r="C2696" s="20"/>
      <c r="D2696" s="20"/>
      <c r="E2696" s="21"/>
      <c r="F2696" s="21"/>
      <c r="G2696" s="22"/>
      <c r="H2696" s="23"/>
      <c r="I2696" s="22"/>
      <c r="J2696" s="20"/>
    </row>
    <row r="2697" customFormat="false" ht="15.75" hidden="false" customHeight="true" outlineLevel="0" collapsed="false">
      <c r="B2697" s="19"/>
      <c r="C2697" s="20"/>
      <c r="D2697" s="20"/>
      <c r="E2697" s="21"/>
      <c r="F2697" s="21"/>
      <c r="G2697" s="22"/>
      <c r="H2697" s="23"/>
      <c r="I2697" s="22"/>
      <c r="J2697" s="20"/>
    </row>
    <row r="2698" customFormat="false" ht="15.75" hidden="false" customHeight="true" outlineLevel="0" collapsed="false">
      <c r="B2698" s="19"/>
      <c r="C2698" s="20"/>
      <c r="D2698" s="20"/>
      <c r="E2698" s="21"/>
      <c r="F2698" s="21"/>
      <c r="G2698" s="22"/>
      <c r="H2698" s="23"/>
      <c r="I2698" s="22"/>
      <c r="J2698" s="20"/>
    </row>
    <row r="2699" customFormat="false" ht="15.75" hidden="false" customHeight="true" outlineLevel="0" collapsed="false">
      <c r="B2699" s="19"/>
      <c r="C2699" s="20"/>
      <c r="D2699" s="20"/>
      <c r="E2699" s="21"/>
      <c r="F2699" s="21"/>
      <c r="G2699" s="22"/>
      <c r="H2699" s="23"/>
      <c r="I2699" s="22"/>
      <c r="J2699" s="20"/>
    </row>
    <row r="2700" customFormat="false" ht="15.75" hidden="false" customHeight="true" outlineLevel="0" collapsed="false">
      <c r="B2700" s="19"/>
      <c r="C2700" s="20"/>
      <c r="D2700" s="20"/>
      <c r="E2700" s="21"/>
      <c r="F2700" s="21"/>
      <c r="G2700" s="22"/>
      <c r="H2700" s="23"/>
      <c r="I2700" s="22"/>
      <c r="J2700" s="20"/>
    </row>
    <row r="2701" customFormat="false" ht="15.75" hidden="false" customHeight="true" outlineLevel="0" collapsed="false">
      <c r="B2701" s="19"/>
      <c r="C2701" s="20"/>
      <c r="D2701" s="20"/>
      <c r="E2701" s="21"/>
      <c r="F2701" s="21"/>
      <c r="G2701" s="22"/>
      <c r="H2701" s="23"/>
      <c r="I2701" s="22"/>
      <c r="J2701" s="20"/>
    </row>
    <row r="2702" customFormat="false" ht="15.75" hidden="false" customHeight="true" outlineLevel="0" collapsed="false">
      <c r="B2702" s="19"/>
      <c r="C2702" s="20"/>
      <c r="D2702" s="20"/>
      <c r="E2702" s="21"/>
      <c r="F2702" s="21"/>
      <c r="G2702" s="22"/>
      <c r="H2702" s="23"/>
      <c r="I2702" s="22"/>
      <c r="J2702" s="20"/>
    </row>
    <row r="2703" customFormat="false" ht="15.75" hidden="false" customHeight="true" outlineLevel="0" collapsed="false">
      <c r="B2703" s="19"/>
      <c r="C2703" s="20"/>
      <c r="D2703" s="20"/>
      <c r="E2703" s="21"/>
      <c r="F2703" s="21"/>
      <c r="G2703" s="22"/>
      <c r="H2703" s="23"/>
      <c r="I2703" s="22"/>
      <c r="J2703" s="20"/>
    </row>
    <row r="2704" customFormat="false" ht="15.75" hidden="false" customHeight="true" outlineLevel="0" collapsed="false">
      <c r="B2704" s="19"/>
      <c r="C2704" s="20"/>
      <c r="D2704" s="20"/>
      <c r="E2704" s="21"/>
      <c r="F2704" s="21"/>
      <c r="G2704" s="22"/>
      <c r="H2704" s="23"/>
      <c r="I2704" s="22"/>
      <c r="J2704" s="20"/>
    </row>
    <row r="2705" customFormat="false" ht="15.75" hidden="false" customHeight="true" outlineLevel="0" collapsed="false">
      <c r="B2705" s="19"/>
      <c r="C2705" s="20"/>
      <c r="D2705" s="20"/>
      <c r="E2705" s="21"/>
      <c r="F2705" s="21"/>
      <c r="G2705" s="22"/>
      <c r="H2705" s="23"/>
      <c r="I2705" s="22"/>
      <c r="J2705" s="20"/>
    </row>
    <row r="2706" customFormat="false" ht="15.75" hidden="false" customHeight="true" outlineLevel="0" collapsed="false">
      <c r="B2706" s="19"/>
      <c r="C2706" s="20"/>
      <c r="D2706" s="20"/>
      <c r="E2706" s="24"/>
      <c r="F2706" s="21"/>
      <c r="G2706" s="22"/>
      <c r="H2706" s="23"/>
      <c r="I2706" s="22"/>
      <c r="J2706" s="20"/>
    </row>
    <row r="2707" customFormat="false" ht="15.75" hidden="false" customHeight="true" outlineLevel="0" collapsed="false">
      <c r="B2707" s="19"/>
      <c r="C2707" s="20"/>
      <c r="D2707" s="20"/>
      <c r="E2707" s="21"/>
      <c r="F2707" s="21"/>
      <c r="G2707" s="22"/>
      <c r="H2707" s="23"/>
      <c r="I2707" s="22"/>
      <c r="J2707" s="20"/>
    </row>
    <row r="2708" customFormat="false" ht="15.75" hidden="false" customHeight="true" outlineLevel="0" collapsed="false">
      <c r="B2708" s="19"/>
      <c r="C2708" s="20"/>
      <c r="D2708" s="20"/>
      <c r="E2708" s="21"/>
      <c r="F2708" s="21"/>
      <c r="G2708" s="22"/>
      <c r="H2708" s="23"/>
      <c r="I2708" s="22"/>
      <c r="J2708" s="20"/>
    </row>
    <row r="2709" customFormat="false" ht="15.75" hidden="false" customHeight="true" outlineLevel="0" collapsed="false">
      <c r="B2709" s="19"/>
      <c r="C2709" s="20"/>
      <c r="D2709" s="20"/>
      <c r="E2709" s="21"/>
      <c r="F2709" s="21"/>
      <c r="G2709" s="22"/>
      <c r="H2709" s="23"/>
      <c r="I2709" s="22"/>
      <c r="J2709" s="20"/>
    </row>
    <row r="2710" customFormat="false" ht="15.75" hidden="false" customHeight="true" outlineLevel="0" collapsed="false">
      <c r="B2710" s="19"/>
      <c r="C2710" s="20"/>
      <c r="D2710" s="20"/>
      <c r="E2710" s="21"/>
      <c r="F2710" s="21"/>
      <c r="G2710" s="22"/>
      <c r="H2710" s="23"/>
      <c r="I2710" s="22"/>
      <c r="J2710" s="20"/>
    </row>
    <row r="2711" customFormat="false" ht="15.75" hidden="false" customHeight="true" outlineLevel="0" collapsed="false">
      <c r="B2711" s="19"/>
      <c r="C2711" s="20"/>
      <c r="D2711" s="20"/>
      <c r="E2711" s="21"/>
      <c r="F2711" s="21"/>
      <c r="G2711" s="22"/>
      <c r="H2711" s="23"/>
      <c r="I2711" s="22"/>
      <c r="J2711" s="20"/>
    </row>
    <row r="2712" customFormat="false" ht="15.75" hidden="false" customHeight="true" outlineLevel="0" collapsed="false">
      <c r="B2712" s="19"/>
      <c r="C2712" s="20"/>
      <c r="D2712" s="20"/>
      <c r="E2712" s="24"/>
      <c r="F2712" s="21"/>
      <c r="G2712" s="22"/>
      <c r="H2712" s="23"/>
      <c r="I2712" s="22"/>
      <c r="J2712" s="20"/>
    </row>
    <row r="2713" customFormat="false" ht="15.75" hidden="false" customHeight="true" outlineLevel="0" collapsed="false">
      <c r="B2713" s="19"/>
      <c r="C2713" s="20"/>
      <c r="D2713" s="20"/>
      <c r="E2713" s="21"/>
      <c r="F2713" s="21"/>
      <c r="G2713" s="22"/>
      <c r="H2713" s="23"/>
      <c r="I2713" s="22"/>
      <c r="J2713" s="20"/>
    </row>
    <row r="2714" customFormat="false" ht="15.75" hidden="false" customHeight="true" outlineLevel="0" collapsed="false">
      <c r="B2714" s="19"/>
      <c r="C2714" s="20"/>
      <c r="D2714" s="20"/>
      <c r="E2714" s="24"/>
      <c r="F2714" s="21"/>
      <c r="G2714" s="22"/>
      <c r="H2714" s="23"/>
      <c r="I2714" s="22"/>
      <c r="J2714" s="20"/>
    </row>
    <row r="2715" customFormat="false" ht="15.75" hidden="false" customHeight="true" outlineLevel="0" collapsed="false">
      <c r="B2715" s="19"/>
      <c r="C2715" s="20"/>
      <c r="D2715" s="20"/>
      <c r="E2715" s="21"/>
      <c r="F2715" s="21"/>
      <c r="G2715" s="22"/>
      <c r="H2715" s="23"/>
      <c r="I2715" s="22"/>
      <c r="J2715" s="20"/>
    </row>
    <row r="2716" customFormat="false" ht="15.75" hidden="false" customHeight="true" outlineLevel="0" collapsed="false">
      <c r="B2716" s="19"/>
      <c r="C2716" s="20"/>
      <c r="D2716" s="20"/>
      <c r="E2716" s="21"/>
      <c r="F2716" s="21"/>
      <c r="G2716" s="22"/>
      <c r="H2716" s="23"/>
      <c r="I2716" s="22"/>
      <c r="J2716" s="20"/>
    </row>
    <row r="2717" customFormat="false" ht="15.75" hidden="false" customHeight="true" outlineLevel="0" collapsed="false">
      <c r="B2717" s="19"/>
      <c r="C2717" s="20"/>
      <c r="D2717" s="20"/>
      <c r="E2717" s="21"/>
      <c r="F2717" s="21"/>
      <c r="G2717" s="22"/>
      <c r="H2717" s="23"/>
      <c r="I2717" s="22"/>
      <c r="J2717" s="20"/>
    </row>
    <row r="2718" customFormat="false" ht="15.75" hidden="false" customHeight="true" outlineLevel="0" collapsed="false">
      <c r="B2718" s="19"/>
      <c r="C2718" s="20"/>
      <c r="D2718" s="20"/>
      <c r="E2718" s="21"/>
      <c r="F2718" s="21"/>
      <c r="G2718" s="22"/>
      <c r="H2718" s="23"/>
      <c r="I2718" s="22"/>
      <c r="J2718" s="20"/>
    </row>
    <row r="2719" customFormat="false" ht="15.75" hidden="false" customHeight="true" outlineLevel="0" collapsed="false">
      <c r="B2719" s="19"/>
      <c r="C2719" s="20"/>
      <c r="D2719" s="20"/>
      <c r="E2719" s="21"/>
      <c r="F2719" s="21"/>
      <c r="G2719" s="22"/>
      <c r="H2719" s="23"/>
      <c r="I2719" s="22"/>
      <c r="J2719" s="20"/>
    </row>
    <row r="2720" customFormat="false" ht="15.75" hidden="false" customHeight="true" outlineLevel="0" collapsed="false">
      <c r="B2720" s="19"/>
      <c r="C2720" s="20"/>
      <c r="D2720" s="20"/>
      <c r="E2720" s="21"/>
      <c r="F2720" s="21"/>
      <c r="G2720" s="22"/>
      <c r="H2720" s="23"/>
      <c r="I2720" s="22"/>
      <c r="J2720" s="20"/>
    </row>
    <row r="2721" customFormat="false" ht="15.75" hidden="false" customHeight="true" outlineLevel="0" collapsed="false">
      <c r="B2721" s="19"/>
      <c r="C2721" s="20"/>
      <c r="D2721" s="20"/>
      <c r="E2721" s="24"/>
      <c r="F2721" s="21"/>
      <c r="G2721" s="22"/>
      <c r="H2721" s="23"/>
      <c r="I2721" s="22"/>
      <c r="J2721" s="20"/>
    </row>
    <row r="2722" customFormat="false" ht="15.75" hidden="false" customHeight="true" outlineLevel="0" collapsed="false">
      <c r="B2722" s="19"/>
      <c r="C2722" s="20"/>
      <c r="D2722" s="20"/>
      <c r="E2722" s="21"/>
      <c r="F2722" s="21"/>
      <c r="G2722" s="22"/>
      <c r="H2722" s="23"/>
      <c r="I2722" s="22"/>
      <c r="J2722" s="20"/>
    </row>
    <row r="2723" customFormat="false" ht="15.75" hidden="false" customHeight="true" outlineLevel="0" collapsed="false">
      <c r="B2723" s="19"/>
      <c r="C2723" s="20"/>
      <c r="D2723" s="20"/>
      <c r="E2723" s="21"/>
      <c r="F2723" s="21"/>
      <c r="G2723" s="22"/>
      <c r="H2723" s="23"/>
      <c r="I2723" s="22"/>
      <c r="J2723" s="20"/>
    </row>
    <row r="2724" customFormat="false" ht="15.75" hidden="false" customHeight="true" outlineLevel="0" collapsed="false">
      <c r="B2724" s="19"/>
      <c r="C2724" s="20"/>
      <c r="D2724" s="20"/>
      <c r="E2724" s="21"/>
      <c r="F2724" s="21"/>
      <c r="G2724" s="22"/>
      <c r="H2724" s="23"/>
      <c r="I2724" s="22"/>
      <c r="J2724" s="20"/>
    </row>
    <row r="2725" customFormat="false" ht="15.75" hidden="false" customHeight="true" outlineLevel="0" collapsed="false">
      <c r="B2725" s="19"/>
      <c r="C2725" s="20"/>
      <c r="D2725" s="20"/>
      <c r="E2725" s="24"/>
      <c r="F2725" s="21"/>
      <c r="G2725" s="22"/>
      <c r="H2725" s="23"/>
      <c r="I2725" s="22"/>
      <c r="J2725" s="20"/>
    </row>
    <row r="2726" customFormat="false" ht="15.75" hidden="false" customHeight="true" outlineLevel="0" collapsed="false">
      <c r="B2726" s="19"/>
      <c r="C2726" s="20"/>
      <c r="D2726" s="20"/>
      <c r="E2726" s="21"/>
      <c r="F2726" s="21"/>
      <c r="G2726" s="22"/>
      <c r="H2726" s="23"/>
      <c r="I2726" s="22"/>
      <c r="J2726" s="20"/>
    </row>
    <row r="2727" customFormat="false" ht="15.75" hidden="false" customHeight="true" outlineLevel="0" collapsed="false">
      <c r="B2727" s="19"/>
      <c r="C2727" s="20"/>
      <c r="D2727" s="20"/>
      <c r="E2727" s="21"/>
      <c r="F2727" s="21"/>
      <c r="G2727" s="22"/>
      <c r="H2727" s="23"/>
      <c r="I2727" s="22"/>
      <c r="J2727" s="20"/>
    </row>
    <row r="2728" customFormat="false" ht="15.75" hidden="false" customHeight="true" outlineLevel="0" collapsed="false">
      <c r="B2728" s="19"/>
      <c r="C2728" s="20"/>
      <c r="D2728" s="20"/>
      <c r="E2728" s="21"/>
      <c r="F2728" s="21"/>
      <c r="G2728" s="22"/>
      <c r="H2728" s="23"/>
      <c r="I2728" s="22"/>
      <c r="J2728" s="20"/>
    </row>
    <row r="2729" customFormat="false" ht="15.75" hidden="false" customHeight="true" outlineLevel="0" collapsed="false">
      <c r="B2729" s="19"/>
      <c r="C2729" s="20"/>
      <c r="D2729" s="20"/>
      <c r="E2729" s="21"/>
      <c r="F2729" s="21"/>
      <c r="G2729" s="22"/>
      <c r="H2729" s="23"/>
      <c r="I2729" s="22"/>
      <c r="J2729" s="20"/>
    </row>
    <row r="2730" customFormat="false" ht="15.75" hidden="false" customHeight="true" outlineLevel="0" collapsed="false">
      <c r="B2730" s="19"/>
      <c r="C2730" s="20"/>
      <c r="D2730" s="20"/>
      <c r="E2730" s="21"/>
      <c r="F2730" s="21"/>
      <c r="G2730" s="22"/>
      <c r="H2730" s="23"/>
      <c r="I2730" s="22"/>
      <c r="J2730" s="20"/>
    </row>
    <row r="2731" customFormat="false" ht="15.75" hidden="false" customHeight="true" outlineLevel="0" collapsed="false">
      <c r="B2731" s="19"/>
      <c r="C2731" s="20"/>
      <c r="D2731" s="20"/>
      <c r="E2731" s="21"/>
      <c r="F2731" s="21"/>
      <c r="G2731" s="22"/>
      <c r="H2731" s="23"/>
      <c r="I2731" s="22"/>
      <c r="J2731" s="20"/>
    </row>
    <row r="2732" customFormat="false" ht="15.75" hidden="false" customHeight="true" outlineLevel="0" collapsed="false">
      <c r="B2732" s="19"/>
      <c r="C2732" s="20"/>
      <c r="D2732" s="20"/>
      <c r="E2732" s="21"/>
      <c r="F2732" s="21"/>
      <c r="G2732" s="22"/>
      <c r="H2732" s="23"/>
      <c r="I2732" s="22"/>
      <c r="J2732" s="20"/>
    </row>
    <row r="2733" customFormat="false" ht="15.75" hidden="false" customHeight="true" outlineLevel="0" collapsed="false">
      <c r="B2733" s="19"/>
      <c r="C2733" s="20"/>
      <c r="D2733" s="20"/>
      <c r="E2733" s="21"/>
      <c r="F2733" s="21"/>
      <c r="G2733" s="22"/>
      <c r="H2733" s="23"/>
      <c r="I2733" s="22"/>
      <c r="J2733" s="20"/>
    </row>
    <row r="2734" customFormat="false" ht="15.75" hidden="false" customHeight="true" outlineLevel="0" collapsed="false">
      <c r="B2734" s="19"/>
      <c r="C2734" s="20"/>
      <c r="D2734" s="20"/>
      <c r="E2734" s="21"/>
      <c r="F2734" s="21"/>
      <c r="G2734" s="22"/>
      <c r="H2734" s="23"/>
      <c r="I2734" s="22"/>
      <c r="J2734" s="20"/>
    </row>
    <row r="2735" customFormat="false" ht="15.75" hidden="false" customHeight="true" outlineLevel="0" collapsed="false">
      <c r="B2735" s="19"/>
      <c r="C2735" s="20"/>
      <c r="D2735" s="20"/>
      <c r="E2735" s="21"/>
      <c r="F2735" s="21"/>
      <c r="G2735" s="22"/>
      <c r="H2735" s="23"/>
      <c r="I2735" s="22"/>
      <c r="J2735" s="20"/>
    </row>
    <row r="2736" customFormat="false" ht="15.75" hidden="false" customHeight="true" outlineLevel="0" collapsed="false">
      <c r="B2736" s="19"/>
      <c r="C2736" s="20"/>
      <c r="D2736" s="20"/>
      <c r="E2736" s="21"/>
      <c r="F2736" s="21"/>
      <c r="G2736" s="22"/>
      <c r="H2736" s="23"/>
      <c r="I2736" s="22"/>
      <c r="J2736" s="20"/>
    </row>
    <row r="2737" customFormat="false" ht="15.75" hidden="false" customHeight="true" outlineLevel="0" collapsed="false">
      <c r="B2737" s="19"/>
      <c r="C2737" s="20"/>
      <c r="D2737" s="20"/>
      <c r="E2737" s="21"/>
      <c r="F2737" s="21"/>
      <c r="G2737" s="22"/>
      <c r="H2737" s="23"/>
      <c r="I2737" s="22"/>
      <c r="J2737" s="20"/>
    </row>
    <row r="2738" customFormat="false" ht="15.75" hidden="false" customHeight="true" outlineLevel="0" collapsed="false">
      <c r="B2738" s="19"/>
      <c r="C2738" s="20"/>
      <c r="D2738" s="20"/>
      <c r="E2738" s="21"/>
      <c r="F2738" s="21"/>
      <c r="G2738" s="22"/>
      <c r="H2738" s="23"/>
      <c r="I2738" s="22"/>
      <c r="J2738" s="20"/>
    </row>
    <row r="2739" customFormat="false" ht="15.75" hidden="false" customHeight="true" outlineLevel="0" collapsed="false">
      <c r="B2739" s="19"/>
      <c r="C2739" s="20"/>
      <c r="D2739" s="20"/>
      <c r="E2739" s="21"/>
      <c r="F2739" s="21"/>
      <c r="G2739" s="22"/>
      <c r="H2739" s="23"/>
      <c r="I2739" s="22"/>
      <c r="J2739" s="20"/>
    </row>
    <row r="2740" customFormat="false" ht="15.75" hidden="false" customHeight="true" outlineLevel="0" collapsed="false">
      <c r="B2740" s="19"/>
      <c r="C2740" s="20"/>
      <c r="D2740" s="20"/>
      <c r="E2740" s="21"/>
      <c r="F2740" s="21"/>
      <c r="G2740" s="22"/>
      <c r="H2740" s="23"/>
      <c r="I2740" s="22"/>
      <c r="J2740" s="20"/>
    </row>
    <row r="2741" customFormat="false" ht="15.75" hidden="false" customHeight="true" outlineLevel="0" collapsed="false">
      <c r="B2741" s="19"/>
      <c r="C2741" s="20"/>
      <c r="D2741" s="20"/>
      <c r="E2741" s="24"/>
      <c r="F2741" s="21"/>
      <c r="G2741" s="22"/>
      <c r="H2741" s="23"/>
      <c r="I2741" s="22"/>
      <c r="J2741" s="20"/>
    </row>
    <row r="2742" customFormat="false" ht="15.75" hidden="false" customHeight="true" outlineLevel="0" collapsed="false">
      <c r="B2742" s="19"/>
      <c r="C2742" s="20"/>
      <c r="D2742" s="20"/>
      <c r="E2742" s="24"/>
      <c r="F2742" s="21"/>
      <c r="G2742" s="22"/>
      <c r="H2742" s="23"/>
      <c r="I2742" s="22"/>
      <c r="J2742" s="20"/>
    </row>
    <row r="2743" customFormat="false" ht="15.75" hidden="false" customHeight="true" outlineLevel="0" collapsed="false">
      <c r="B2743" s="19"/>
      <c r="C2743" s="20"/>
      <c r="D2743" s="20"/>
      <c r="E2743" s="21"/>
      <c r="F2743" s="21"/>
      <c r="G2743" s="22"/>
      <c r="H2743" s="23"/>
      <c r="I2743" s="22"/>
      <c r="J2743" s="20"/>
    </row>
    <row r="2744" customFormat="false" ht="15.75" hidden="false" customHeight="true" outlineLevel="0" collapsed="false">
      <c r="B2744" s="19"/>
      <c r="C2744" s="20"/>
      <c r="D2744" s="20"/>
      <c r="E2744" s="21"/>
      <c r="F2744" s="21"/>
      <c r="G2744" s="22"/>
      <c r="H2744" s="23"/>
      <c r="I2744" s="22"/>
      <c r="J2744" s="20"/>
    </row>
    <row r="2745" customFormat="false" ht="15.75" hidden="false" customHeight="true" outlineLevel="0" collapsed="false">
      <c r="B2745" s="19"/>
      <c r="C2745" s="20"/>
      <c r="D2745" s="20"/>
      <c r="E2745" s="21"/>
      <c r="F2745" s="21"/>
      <c r="G2745" s="22"/>
      <c r="H2745" s="23"/>
      <c r="I2745" s="22"/>
      <c r="J2745" s="20"/>
    </row>
    <row r="2746" customFormat="false" ht="15.75" hidden="false" customHeight="true" outlineLevel="0" collapsed="false">
      <c r="B2746" s="19"/>
      <c r="C2746" s="20"/>
      <c r="D2746" s="20"/>
      <c r="E2746" s="21"/>
      <c r="F2746" s="21"/>
      <c r="G2746" s="22"/>
      <c r="H2746" s="23"/>
      <c r="I2746" s="22"/>
      <c r="J2746" s="20"/>
    </row>
    <row r="2747" customFormat="false" ht="15.75" hidden="false" customHeight="true" outlineLevel="0" collapsed="false">
      <c r="B2747" s="19"/>
      <c r="C2747" s="20"/>
      <c r="D2747" s="20"/>
      <c r="E2747" s="21"/>
      <c r="F2747" s="21"/>
      <c r="G2747" s="22"/>
      <c r="H2747" s="23"/>
      <c r="I2747" s="22"/>
      <c r="J2747" s="20"/>
    </row>
    <row r="2748" customFormat="false" ht="15.75" hidden="false" customHeight="true" outlineLevel="0" collapsed="false">
      <c r="B2748" s="19"/>
      <c r="C2748" s="20"/>
      <c r="D2748" s="20"/>
      <c r="E2748" s="21"/>
      <c r="F2748" s="21"/>
      <c r="G2748" s="22"/>
      <c r="H2748" s="23"/>
      <c r="I2748" s="22"/>
      <c r="J2748" s="20"/>
    </row>
    <row r="2749" customFormat="false" ht="15.75" hidden="false" customHeight="true" outlineLevel="0" collapsed="false">
      <c r="B2749" s="19"/>
      <c r="C2749" s="20"/>
      <c r="D2749" s="20"/>
      <c r="E2749" s="21"/>
      <c r="F2749" s="21"/>
      <c r="G2749" s="22"/>
      <c r="H2749" s="23"/>
      <c r="I2749" s="22"/>
      <c r="J2749" s="20"/>
    </row>
    <row r="2750" customFormat="false" ht="15.75" hidden="false" customHeight="true" outlineLevel="0" collapsed="false">
      <c r="B2750" s="19"/>
      <c r="C2750" s="20"/>
      <c r="D2750" s="20"/>
      <c r="E2750" s="21"/>
      <c r="F2750" s="21"/>
      <c r="G2750" s="22"/>
      <c r="H2750" s="23"/>
      <c r="I2750" s="22"/>
      <c r="J2750" s="20"/>
    </row>
    <row r="2751" customFormat="false" ht="15.75" hidden="false" customHeight="true" outlineLevel="0" collapsed="false">
      <c r="B2751" s="19"/>
      <c r="C2751" s="20"/>
      <c r="D2751" s="20"/>
      <c r="E2751" s="21"/>
      <c r="F2751" s="21"/>
      <c r="G2751" s="22"/>
      <c r="H2751" s="23"/>
      <c r="I2751" s="22"/>
      <c r="J2751" s="20"/>
    </row>
    <row r="2752" customFormat="false" ht="15.75" hidden="false" customHeight="true" outlineLevel="0" collapsed="false">
      <c r="B2752" s="19"/>
      <c r="C2752" s="20"/>
      <c r="D2752" s="20"/>
      <c r="E2752" s="21"/>
      <c r="F2752" s="21"/>
      <c r="G2752" s="22"/>
      <c r="H2752" s="23"/>
      <c r="I2752" s="22"/>
      <c r="J2752" s="20"/>
    </row>
    <row r="2753" customFormat="false" ht="15.75" hidden="false" customHeight="true" outlineLevel="0" collapsed="false">
      <c r="B2753" s="19"/>
      <c r="C2753" s="20"/>
      <c r="D2753" s="20"/>
      <c r="E2753" s="21"/>
      <c r="F2753" s="21"/>
      <c r="G2753" s="22"/>
      <c r="H2753" s="23"/>
      <c r="I2753" s="22"/>
      <c r="J2753" s="20"/>
    </row>
    <row r="2754" customFormat="false" ht="15.75" hidden="false" customHeight="true" outlineLevel="0" collapsed="false">
      <c r="B2754" s="19"/>
      <c r="C2754" s="20"/>
      <c r="D2754" s="20"/>
      <c r="E2754" s="21"/>
      <c r="F2754" s="21"/>
      <c r="G2754" s="22"/>
      <c r="H2754" s="23"/>
      <c r="I2754" s="22"/>
      <c r="J2754" s="20"/>
    </row>
    <row r="2755" customFormat="false" ht="15.75" hidden="false" customHeight="true" outlineLevel="0" collapsed="false">
      <c r="B2755" s="19"/>
      <c r="C2755" s="20"/>
      <c r="D2755" s="20"/>
      <c r="E2755" s="21"/>
      <c r="F2755" s="21"/>
      <c r="G2755" s="22"/>
      <c r="H2755" s="23"/>
      <c r="I2755" s="22"/>
      <c r="J2755" s="20"/>
    </row>
    <row r="2756" customFormat="false" ht="15.75" hidden="false" customHeight="true" outlineLevel="0" collapsed="false">
      <c r="B2756" s="19"/>
      <c r="C2756" s="20"/>
      <c r="D2756" s="20"/>
      <c r="E2756" s="21"/>
      <c r="F2756" s="21"/>
      <c r="G2756" s="22"/>
      <c r="H2756" s="23"/>
      <c r="I2756" s="22"/>
      <c r="J2756" s="20"/>
    </row>
    <row r="2757" customFormat="false" ht="15.75" hidden="false" customHeight="true" outlineLevel="0" collapsed="false">
      <c r="B2757" s="19"/>
      <c r="C2757" s="20"/>
      <c r="D2757" s="20"/>
      <c r="E2757" s="21"/>
      <c r="F2757" s="21"/>
      <c r="G2757" s="22"/>
      <c r="H2757" s="23"/>
      <c r="I2757" s="22"/>
      <c r="J2757" s="20"/>
    </row>
    <row r="2758" customFormat="false" ht="15.75" hidden="false" customHeight="true" outlineLevel="0" collapsed="false">
      <c r="B2758" s="19"/>
      <c r="C2758" s="20"/>
      <c r="D2758" s="20"/>
      <c r="E2758" s="21"/>
      <c r="F2758" s="21"/>
      <c r="G2758" s="22"/>
      <c r="H2758" s="23"/>
      <c r="I2758" s="22"/>
      <c r="J2758" s="20"/>
    </row>
    <row r="2759" customFormat="false" ht="15.75" hidden="false" customHeight="true" outlineLevel="0" collapsed="false">
      <c r="B2759" s="19"/>
      <c r="C2759" s="20"/>
      <c r="D2759" s="20"/>
      <c r="E2759" s="21"/>
      <c r="F2759" s="21"/>
      <c r="G2759" s="22"/>
      <c r="H2759" s="23"/>
      <c r="I2759" s="22"/>
      <c r="J2759" s="20"/>
    </row>
    <row r="2760" customFormat="false" ht="15.75" hidden="false" customHeight="true" outlineLevel="0" collapsed="false">
      <c r="B2760" s="19"/>
      <c r="C2760" s="20"/>
      <c r="D2760" s="20"/>
      <c r="E2760" s="21"/>
      <c r="F2760" s="21"/>
      <c r="G2760" s="22"/>
      <c r="H2760" s="23"/>
      <c r="I2760" s="22"/>
      <c r="J2760" s="20"/>
    </row>
    <row r="2761" customFormat="false" ht="15.75" hidden="false" customHeight="true" outlineLevel="0" collapsed="false">
      <c r="B2761" s="19"/>
      <c r="C2761" s="20"/>
      <c r="D2761" s="20"/>
      <c r="E2761" s="21"/>
      <c r="F2761" s="21"/>
      <c r="G2761" s="22"/>
      <c r="H2761" s="23"/>
      <c r="I2761" s="22"/>
      <c r="J2761" s="20"/>
    </row>
    <row r="2762" customFormat="false" ht="15.75" hidden="false" customHeight="true" outlineLevel="0" collapsed="false">
      <c r="B2762" s="19"/>
      <c r="C2762" s="20"/>
      <c r="D2762" s="20"/>
      <c r="E2762" s="21"/>
      <c r="F2762" s="21"/>
      <c r="G2762" s="22"/>
      <c r="H2762" s="23"/>
      <c r="I2762" s="22"/>
      <c r="J2762" s="20"/>
    </row>
    <row r="2763" customFormat="false" ht="15.75" hidden="false" customHeight="true" outlineLevel="0" collapsed="false">
      <c r="B2763" s="19"/>
      <c r="C2763" s="20"/>
      <c r="D2763" s="20"/>
      <c r="E2763" s="21"/>
      <c r="F2763" s="21"/>
      <c r="G2763" s="22"/>
      <c r="H2763" s="23"/>
      <c r="I2763" s="22"/>
      <c r="J2763" s="20"/>
    </row>
    <row r="2764" customFormat="false" ht="15.75" hidden="false" customHeight="true" outlineLevel="0" collapsed="false">
      <c r="B2764" s="19"/>
      <c r="C2764" s="20"/>
      <c r="D2764" s="20"/>
      <c r="E2764" s="21"/>
      <c r="F2764" s="21"/>
      <c r="G2764" s="22"/>
      <c r="H2764" s="23"/>
      <c r="I2764" s="22"/>
      <c r="J2764" s="20"/>
    </row>
    <row r="2765" customFormat="false" ht="15.75" hidden="false" customHeight="true" outlineLevel="0" collapsed="false">
      <c r="B2765" s="19"/>
      <c r="C2765" s="20"/>
      <c r="D2765" s="20"/>
      <c r="E2765" s="21"/>
      <c r="F2765" s="21"/>
      <c r="G2765" s="22"/>
      <c r="H2765" s="23"/>
      <c r="I2765" s="22"/>
      <c r="J2765" s="20"/>
    </row>
    <row r="2766" customFormat="false" ht="15.75" hidden="false" customHeight="true" outlineLevel="0" collapsed="false">
      <c r="B2766" s="19"/>
      <c r="C2766" s="20"/>
      <c r="D2766" s="20"/>
      <c r="E2766" s="21"/>
      <c r="F2766" s="21"/>
      <c r="G2766" s="22"/>
      <c r="H2766" s="23"/>
      <c r="I2766" s="22"/>
      <c r="J2766" s="20"/>
    </row>
    <row r="2767" customFormat="false" ht="15.75" hidden="false" customHeight="true" outlineLevel="0" collapsed="false">
      <c r="B2767" s="19"/>
      <c r="C2767" s="20"/>
      <c r="D2767" s="20"/>
      <c r="E2767" s="21"/>
      <c r="F2767" s="21"/>
      <c r="G2767" s="22"/>
      <c r="H2767" s="23"/>
      <c r="I2767" s="22"/>
      <c r="J2767" s="20"/>
    </row>
    <row r="2768" customFormat="false" ht="15.75" hidden="false" customHeight="true" outlineLevel="0" collapsed="false">
      <c r="B2768" s="19"/>
      <c r="C2768" s="20"/>
      <c r="D2768" s="20"/>
      <c r="E2768" s="21"/>
      <c r="F2768" s="21"/>
      <c r="G2768" s="22"/>
      <c r="H2768" s="23"/>
      <c r="I2768" s="22"/>
      <c r="J2768" s="20"/>
    </row>
    <row r="2769" customFormat="false" ht="15.75" hidden="false" customHeight="true" outlineLevel="0" collapsed="false">
      <c r="B2769" s="19"/>
      <c r="C2769" s="20"/>
      <c r="D2769" s="20"/>
      <c r="E2769" s="21"/>
      <c r="F2769" s="21"/>
      <c r="G2769" s="22"/>
      <c r="H2769" s="23"/>
      <c r="I2769" s="22"/>
      <c r="J2769" s="20"/>
    </row>
    <row r="2770" customFormat="false" ht="15.75" hidden="false" customHeight="true" outlineLevel="0" collapsed="false">
      <c r="B2770" s="19"/>
      <c r="C2770" s="20"/>
      <c r="D2770" s="20"/>
      <c r="E2770" s="21"/>
      <c r="F2770" s="21"/>
      <c r="G2770" s="22"/>
      <c r="H2770" s="23"/>
      <c r="I2770" s="22"/>
      <c r="J2770" s="20"/>
    </row>
    <row r="2771" customFormat="false" ht="15.75" hidden="false" customHeight="true" outlineLevel="0" collapsed="false">
      <c r="B2771" s="19"/>
      <c r="C2771" s="20"/>
      <c r="D2771" s="20"/>
      <c r="E2771" s="21"/>
      <c r="F2771" s="21"/>
      <c r="G2771" s="22"/>
      <c r="H2771" s="23"/>
      <c r="I2771" s="22"/>
      <c r="J2771" s="20"/>
    </row>
    <row r="2772" customFormat="false" ht="15.75" hidden="false" customHeight="true" outlineLevel="0" collapsed="false">
      <c r="B2772" s="19"/>
      <c r="C2772" s="20"/>
      <c r="D2772" s="20"/>
      <c r="E2772" s="21"/>
      <c r="F2772" s="21"/>
      <c r="G2772" s="22"/>
      <c r="H2772" s="23"/>
      <c r="I2772" s="22"/>
      <c r="J2772" s="20"/>
    </row>
    <row r="2773" customFormat="false" ht="15.75" hidden="false" customHeight="true" outlineLevel="0" collapsed="false">
      <c r="B2773" s="19"/>
      <c r="C2773" s="20"/>
      <c r="D2773" s="20"/>
      <c r="E2773" s="21"/>
      <c r="F2773" s="21"/>
      <c r="G2773" s="22"/>
      <c r="H2773" s="23"/>
      <c r="I2773" s="22"/>
      <c r="J2773" s="20"/>
    </row>
    <row r="2774" customFormat="false" ht="15.75" hidden="false" customHeight="true" outlineLevel="0" collapsed="false">
      <c r="B2774" s="19"/>
      <c r="C2774" s="20"/>
      <c r="D2774" s="20"/>
      <c r="E2774" s="21"/>
      <c r="F2774" s="21"/>
      <c r="G2774" s="22"/>
      <c r="H2774" s="23"/>
      <c r="I2774" s="22"/>
      <c r="J2774" s="20"/>
    </row>
    <row r="2775" customFormat="false" ht="15.75" hidden="false" customHeight="true" outlineLevel="0" collapsed="false">
      <c r="B2775" s="19"/>
      <c r="C2775" s="20"/>
      <c r="D2775" s="20"/>
      <c r="E2775" s="21"/>
      <c r="F2775" s="21"/>
      <c r="G2775" s="22"/>
      <c r="H2775" s="23"/>
      <c r="I2775" s="22"/>
      <c r="J2775" s="20"/>
    </row>
    <row r="2776" customFormat="false" ht="15.75" hidden="false" customHeight="true" outlineLevel="0" collapsed="false">
      <c r="B2776" s="19"/>
      <c r="C2776" s="20"/>
      <c r="D2776" s="20"/>
      <c r="E2776" s="21"/>
      <c r="F2776" s="21"/>
      <c r="G2776" s="22"/>
      <c r="H2776" s="23"/>
      <c r="I2776" s="22"/>
      <c r="J2776" s="20"/>
    </row>
    <row r="2777" customFormat="false" ht="15.75" hidden="false" customHeight="true" outlineLevel="0" collapsed="false">
      <c r="B2777" s="19"/>
      <c r="C2777" s="20"/>
      <c r="D2777" s="20"/>
      <c r="E2777" s="21"/>
      <c r="F2777" s="21"/>
      <c r="G2777" s="22"/>
      <c r="H2777" s="23"/>
      <c r="I2777" s="22"/>
      <c r="J2777" s="20"/>
    </row>
    <row r="2778" customFormat="false" ht="15.75" hidden="false" customHeight="true" outlineLevel="0" collapsed="false">
      <c r="B2778" s="19"/>
      <c r="C2778" s="20"/>
      <c r="D2778" s="20"/>
      <c r="E2778" s="24"/>
      <c r="F2778" s="21"/>
      <c r="G2778" s="22"/>
      <c r="H2778" s="23"/>
      <c r="I2778" s="22"/>
      <c r="J2778" s="20"/>
    </row>
    <row r="2779" customFormat="false" ht="15.75" hidden="false" customHeight="true" outlineLevel="0" collapsed="false">
      <c r="B2779" s="19"/>
      <c r="C2779" s="20"/>
      <c r="D2779" s="20"/>
      <c r="E2779" s="21"/>
      <c r="F2779" s="21"/>
      <c r="G2779" s="22"/>
      <c r="H2779" s="23"/>
      <c r="I2779" s="22"/>
      <c r="J2779" s="20"/>
    </row>
    <row r="2780" customFormat="false" ht="15.75" hidden="false" customHeight="true" outlineLevel="0" collapsed="false">
      <c r="B2780" s="19"/>
      <c r="C2780" s="20"/>
      <c r="D2780" s="20"/>
      <c r="E2780" s="21"/>
      <c r="F2780" s="21"/>
      <c r="G2780" s="22"/>
      <c r="H2780" s="23"/>
      <c r="I2780" s="22"/>
      <c r="J2780" s="20"/>
    </row>
    <row r="2781" customFormat="false" ht="15.75" hidden="false" customHeight="true" outlineLevel="0" collapsed="false">
      <c r="B2781" s="19"/>
      <c r="C2781" s="20"/>
      <c r="D2781" s="20"/>
      <c r="E2781" s="21"/>
      <c r="F2781" s="21"/>
      <c r="G2781" s="22"/>
      <c r="H2781" s="23"/>
      <c r="I2781" s="22"/>
      <c r="J2781" s="20"/>
    </row>
    <row r="2782" customFormat="false" ht="15.75" hidden="false" customHeight="true" outlineLevel="0" collapsed="false">
      <c r="B2782" s="19"/>
      <c r="C2782" s="20"/>
      <c r="D2782" s="20"/>
      <c r="E2782" s="21"/>
      <c r="F2782" s="21"/>
      <c r="G2782" s="22"/>
      <c r="H2782" s="23"/>
      <c r="I2782" s="22"/>
      <c r="J2782" s="20"/>
    </row>
    <row r="2783" customFormat="false" ht="15.75" hidden="false" customHeight="true" outlineLevel="0" collapsed="false">
      <c r="B2783" s="19"/>
      <c r="C2783" s="20"/>
      <c r="D2783" s="20"/>
      <c r="E2783" s="21"/>
      <c r="F2783" s="21"/>
      <c r="G2783" s="22"/>
      <c r="H2783" s="23"/>
      <c r="I2783" s="22"/>
      <c r="J2783" s="20"/>
    </row>
    <row r="2784" customFormat="false" ht="15.75" hidden="false" customHeight="true" outlineLevel="0" collapsed="false">
      <c r="B2784" s="19"/>
      <c r="C2784" s="20"/>
      <c r="D2784" s="20"/>
      <c r="E2784" s="21"/>
      <c r="F2784" s="21"/>
      <c r="G2784" s="22"/>
      <c r="H2784" s="23"/>
      <c r="I2784" s="22"/>
      <c r="J2784" s="20"/>
    </row>
    <row r="2785" customFormat="false" ht="15.75" hidden="false" customHeight="true" outlineLevel="0" collapsed="false">
      <c r="B2785" s="19"/>
      <c r="C2785" s="20"/>
      <c r="D2785" s="20"/>
      <c r="E2785" s="21"/>
      <c r="F2785" s="21"/>
      <c r="G2785" s="22"/>
      <c r="H2785" s="23"/>
      <c r="I2785" s="22"/>
      <c r="J2785" s="20"/>
    </row>
    <row r="2786" customFormat="false" ht="15.75" hidden="false" customHeight="true" outlineLevel="0" collapsed="false">
      <c r="B2786" s="19"/>
      <c r="C2786" s="20"/>
      <c r="D2786" s="20"/>
      <c r="E2786" s="21"/>
      <c r="F2786" s="21"/>
      <c r="G2786" s="22"/>
      <c r="H2786" s="23"/>
      <c r="I2786" s="22"/>
      <c r="J2786" s="20"/>
    </row>
    <row r="2787" customFormat="false" ht="15.75" hidden="false" customHeight="true" outlineLevel="0" collapsed="false">
      <c r="B2787" s="19"/>
      <c r="C2787" s="20"/>
      <c r="D2787" s="20"/>
      <c r="E2787" s="21"/>
      <c r="F2787" s="21"/>
      <c r="G2787" s="22"/>
      <c r="H2787" s="23"/>
      <c r="I2787" s="22"/>
      <c r="J2787" s="20"/>
    </row>
    <row r="2788" customFormat="false" ht="15.75" hidden="false" customHeight="true" outlineLevel="0" collapsed="false">
      <c r="B2788" s="19"/>
      <c r="C2788" s="20"/>
      <c r="D2788" s="20"/>
      <c r="E2788" s="21"/>
      <c r="F2788" s="21"/>
      <c r="G2788" s="22"/>
      <c r="H2788" s="23"/>
      <c r="I2788" s="22"/>
      <c r="J2788" s="20"/>
    </row>
    <row r="2789" customFormat="false" ht="15.75" hidden="false" customHeight="true" outlineLevel="0" collapsed="false">
      <c r="B2789" s="19"/>
      <c r="C2789" s="20"/>
      <c r="D2789" s="20"/>
      <c r="E2789" s="21"/>
      <c r="F2789" s="21"/>
      <c r="G2789" s="22"/>
      <c r="H2789" s="23"/>
      <c r="I2789" s="22"/>
      <c r="J2789" s="20"/>
    </row>
    <row r="2790" customFormat="false" ht="15.75" hidden="false" customHeight="true" outlineLevel="0" collapsed="false">
      <c r="B2790" s="19"/>
      <c r="C2790" s="20"/>
      <c r="D2790" s="20"/>
      <c r="E2790" s="21"/>
      <c r="F2790" s="21"/>
      <c r="G2790" s="22"/>
      <c r="H2790" s="23"/>
      <c r="I2790" s="22"/>
      <c r="J2790" s="20"/>
    </row>
    <row r="2791" customFormat="false" ht="15.75" hidden="false" customHeight="true" outlineLevel="0" collapsed="false">
      <c r="B2791" s="19"/>
      <c r="C2791" s="20"/>
      <c r="D2791" s="20"/>
      <c r="E2791" s="21"/>
      <c r="F2791" s="21"/>
      <c r="G2791" s="22"/>
      <c r="H2791" s="23"/>
      <c r="I2791" s="22"/>
      <c r="J2791" s="20"/>
    </row>
    <row r="2792" customFormat="false" ht="15.75" hidden="false" customHeight="true" outlineLevel="0" collapsed="false">
      <c r="B2792" s="19"/>
      <c r="C2792" s="20"/>
      <c r="D2792" s="20"/>
      <c r="E2792" s="21"/>
      <c r="F2792" s="21"/>
      <c r="G2792" s="22"/>
      <c r="H2792" s="23"/>
      <c r="I2792" s="22"/>
      <c r="J2792" s="20"/>
    </row>
    <row r="2793" customFormat="false" ht="15.75" hidden="false" customHeight="true" outlineLevel="0" collapsed="false">
      <c r="B2793" s="19"/>
      <c r="C2793" s="20"/>
      <c r="D2793" s="20"/>
      <c r="E2793" s="21"/>
      <c r="F2793" s="21"/>
      <c r="G2793" s="22"/>
      <c r="H2793" s="23"/>
      <c r="I2793" s="22"/>
      <c r="J2793" s="20"/>
    </row>
    <row r="2794" customFormat="false" ht="15.75" hidden="false" customHeight="true" outlineLevel="0" collapsed="false">
      <c r="B2794" s="19"/>
      <c r="C2794" s="20"/>
      <c r="D2794" s="20"/>
      <c r="E2794" s="21"/>
      <c r="F2794" s="21"/>
      <c r="G2794" s="22"/>
      <c r="H2794" s="23"/>
      <c r="I2794" s="22"/>
      <c r="J2794" s="20"/>
    </row>
    <row r="2795" customFormat="false" ht="15.75" hidden="false" customHeight="true" outlineLevel="0" collapsed="false">
      <c r="B2795" s="19"/>
      <c r="C2795" s="20"/>
      <c r="D2795" s="20"/>
      <c r="E2795" s="24"/>
      <c r="F2795" s="21"/>
      <c r="G2795" s="22"/>
      <c r="H2795" s="23"/>
      <c r="I2795" s="22"/>
      <c r="J2795" s="20"/>
    </row>
    <row r="2796" customFormat="false" ht="15.75" hidden="false" customHeight="true" outlineLevel="0" collapsed="false">
      <c r="B2796" s="19"/>
      <c r="C2796" s="20"/>
      <c r="D2796" s="20"/>
      <c r="E2796" s="21"/>
      <c r="F2796" s="21"/>
      <c r="G2796" s="22"/>
      <c r="H2796" s="23"/>
      <c r="I2796" s="22"/>
      <c r="J2796" s="20"/>
    </row>
    <row r="2797" customFormat="false" ht="15.75" hidden="false" customHeight="true" outlineLevel="0" collapsed="false">
      <c r="B2797" s="19"/>
      <c r="C2797" s="20"/>
      <c r="D2797" s="20"/>
      <c r="E2797" s="21"/>
      <c r="F2797" s="21"/>
      <c r="G2797" s="22"/>
      <c r="H2797" s="23"/>
      <c r="I2797" s="22"/>
      <c r="J2797" s="20"/>
    </row>
    <row r="2798" customFormat="false" ht="15.75" hidden="false" customHeight="true" outlineLevel="0" collapsed="false">
      <c r="B2798" s="19"/>
      <c r="C2798" s="20"/>
      <c r="D2798" s="20"/>
      <c r="E2798" s="21"/>
      <c r="F2798" s="21"/>
      <c r="G2798" s="22"/>
      <c r="H2798" s="23"/>
      <c r="I2798" s="22"/>
      <c r="J2798" s="20"/>
    </row>
    <row r="2799" customFormat="false" ht="15.75" hidden="false" customHeight="true" outlineLevel="0" collapsed="false">
      <c r="B2799" s="19"/>
      <c r="C2799" s="20"/>
      <c r="D2799" s="20"/>
      <c r="E2799" s="21"/>
      <c r="F2799" s="21"/>
      <c r="G2799" s="22"/>
      <c r="H2799" s="23"/>
      <c r="I2799" s="22"/>
      <c r="J2799" s="20"/>
    </row>
    <row r="2800" customFormat="false" ht="15.75" hidden="false" customHeight="true" outlineLevel="0" collapsed="false">
      <c r="B2800" s="19"/>
      <c r="C2800" s="20"/>
      <c r="D2800" s="20"/>
      <c r="E2800" s="24"/>
      <c r="F2800" s="21"/>
      <c r="G2800" s="22"/>
      <c r="H2800" s="23"/>
      <c r="I2800" s="22"/>
      <c r="J2800" s="20"/>
    </row>
    <row r="2801" customFormat="false" ht="15.75" hidden="false" customHeight="true" outlineLevel="0" collapsed="false">
      <c r="B2801" s="19"/>
      <c r="C2801" s="20"/>
      <c r="D2801" s="20"/>
      <c r="E2801" s="24"/>
      <c r="F2801" s="21"/>
      <c r="G2801" s="22"/>
      <c r="H2801" s="23"/>
      <c r="I2801" s="22"/>
      <c r="J2801" s="20"/>
    </row>
    <row r="2802" customFormat="false" ht="15.75" hidden="false" customHeight="true" outlineLevel="0" collapsed="false">
      <c r="B2802" s="19"/>
      <c r="C2802" s="20"/>
      <c r="D2802" s="20"/>
      <c r="E2802" s="21"/>
      <c r="F2802" s="21"/>
      <c r="G2802" s="22"/>
      <c r="H2802" s="23"/>
      <c r="I2802" s="22"/>
      <c r="J2802" s="20"/>
    </row>
    <row r="2803" customFormat="false" ht="15.75" hidden="false" customHeight="true" outlineLevel="0" collapsed="false">
      <c r="B2803" s="19"/>
      <c r="C2803" s="20"/>
      <c r="D2803" s="20"/>
      <c r="E2803" s="21"/>
      <c r="F2803" s="21"/>
      <c r="G2803" s="22"/>
      <c r="H2803" s="23"/>
      <c r="I2803" s="22"/>
      <c r="J2803" s="20"/>
    </row>
    <row r="2804" customFormat="false" ht="15.75" hidden="false" customHeight="true" outlineLevel="0" collapsed="false">
      <c r="B2804" s="19"/>
      <c r="C2804" s="20"/>
      <c r="D2804" s="20"/>
      <c r="E2804" s="21"/>
      <c r="F2804" s="21"/>
      <c r="G2804" s="22"/>
      <c r="H2804" s="23"/>
      <c r="I2804" s="22"/>
      <c r="J2804" s="20"/>
    </row>
    <row r="2805" customFormat="false" ht="15.75" hidden="false" customHeight="true" outlineLevel="0" collapsed="false">
      <c r="B2805" s="19"/>
      <c r="C2805" s="20"/>
      <c r="D2805" s="20"/>
      <c r="E2805" s="21"/>
      <c r="F2805" s="21"/>
      <c r="G2805" s="22"/>
      <c r="H2805" s="23"/>
      <c r="I2805" s="22"/>
      <c r="J2805" s="20"/>
    </row>
    <row r="2806" customFormat="false" ht="15.75" hidden="false" customHeight="true" outlineLevel="0" collapsed="false">
      <c r="B2806" s="19"/>
      <c r="C2806" s="20"/>
      <c r="D2806" s="20"/>
      <c r="E2806" s="24"/>
      <c r="F2806" s="21"/>
      <c r="G2806" s="22"/>
      <c r="H2806" s="23"/>
      <c r="I2806" s="22"/>
      <c r="J2806" s="20"/>
    </row>
    <row r="2807" customFormat="false" ht="15.75" hidden="false" customHeight="true" outlineLevel="0" collapsed="false">
      <c r="B2807" s="19"/>
      <c r="C2807" s="20"/>
      <c r="D2807" s="20"/>
      <c r="E2807" s="21"/>
      <c r="F2807" s="21"/>
      <c r="G2807" s="22"/>
      <c r="H2807" s="23"/>
      <c r="I2807" s="22"/>
      <c r="J2807" s="20"/>
    </row>
    <row r="2808" customFormat="false" ht="15.75" hidden="false" customHeight="true" outlineLevel="0" collapsed="false">
      <c r="B2808" s="19"/>
      <c r="C2808" s="20"/>
      <c r="D2808" s="20"/>
      <c r="E2808" s="21"/>
      <c r="F2808" s="21"/>
      <c r="G2808" s="22"/>
      <c r="H2808" s="23"/>
      <c r="I2808" s="22"/>
      <c r="J2808" s="20"/>
    </row>
    <row r="2809" customFormat="false" ht="15.75" hidden="false" customHeight="true" outlineLevel="0" collapsed="false">
      <c r="B2809" s="19"/>
      <c r="C2809" s="20"/>
      <c r="D2809" s="20"/>
      <c r="E2809" s="21"/>
      <c r="F2809" s="21"/>
      <c r="G2809" s="22"/>
      <c r="H2809" s="23"/>
      <c r="I2809" s="22"/>
      <c r="J2809" s="20"/>
    </row>
    <row r="2810" customFormat="false" ht="15.75" hidden="false" customHeight="true" outlineLevel="0" collapsed="false">
      <c r="B2810" s="19"/>
      <c r="C2810" s="20"/>
      <c r="D2810" s="20"/>
      <c r="E2810" s="24"/>
      <c r="F2810" s="21"/>
      <c r="G2810" s="22"/>
      <c r="H2810" s="23"/>
      <c r="I2810" s="22"/>
      <c r="J2810" s="20"/>
    </row>
    <row r="2811" customFormat="false" ht="15.75" hidden="false" customHeight="true" outlineLevel="0" collapsed="false">
      <c r="B2811" s="19"/>
      <c r="C2811" s="20"/>
      <c r="D2811" s="20"/>
      <c r="E2811" s="21"/>
      <c r="F2811" s="21"/>
      <c r="G2811" s="22"/>
      <c r="H2811" s="23"/>
      <c r="I2811" s="22"/>
      <c r="J2811" s="20"/>
    </row>
    <row r="2812" customFormat="false" ht="15.75" hidden="false" customHeight="true" outlineLevel="0" collapsed="false">
      <c r="B2812" s="19"/>
      <c r="C2812" s="20"/>
      <c r="D2812" s="20"/>
      <c r="E2812" s="24"/>
      <c r="F2812" s="21"/>
      <c r="G2812" s="22"/>
      <c r="H2812" s="23"/>
      <c r="I2812" s="22"/>
      <c r="J2812" s="20"/>
    </row>
    <row r="2813" customFormat="false" ht="15.75" hidden="false" customHeight="true" outlineLevel="0" collapsed="false">
      <c r="B2813" s="19"/>
      <c r="C2813" s="20"/>
      <c r="D2813" s="20"/>
      <c r="E2813" s="21"/>
      <c r="F2813" s="21"/>
      <c r="G2813" s="22"/>
      <c r="H2813" s="23"/>
      <c r="I2813" s="22"/>
      <c r="J2813" s="20"/>
    </row>
    <row r="2814" customFormat="false" ht="15.75" hidden="false" customHeight="true" outlineLevel="0" collapsed="false">
      <c r="B2814" s="19"/>
      <c r="C2814" s="20"/>
      <c r="D2814" s="20"/>
      <c r="E2814" s="21"/>
      <c r="F2814" s="21"/>
      <c r="G2814" s="22"/>
      <c r="H2814" s="23"/>
      <c r="I2814" s="22"/>
      <c r="J2814" s="20"/>
    </row>
    <row r="2815" customFormat="false" ht="15.75" hidden="false" customHeight="true" outlineLevel="0" collapsed="false">
      <c r="B2815" s="19"/>
      <c r="C2815" s="20"/>
      <c r="D2815" s="20"/>
      <c r="E2815" s="21"/>
      <c r="F2815" s="21"/>
      <c r="G2815" s="22"/>
      <c r="H2815" s="23"/>
      <c r="I2815" s="22"/>
      <c r="J2815" s="20"/>
    </row>
    <row r="2816" customFormat="false" ht="15.75" hidden="false" customHeight="true" outlineLevel="0" collapsed="false">
      <c r="B2816" s="19"/>
      <c r="C2816" s="20"/>
      <c r="D2816" s="20"/>
      <c r="E2816" s="21"/>
      <c r="F2816" s="21"/>
      <c r="G2816" s="22"/>
      <c r="H2816" s="23"/>
      <c r="I2816" s="22"/>
      <c r="J2816" s="20"/>
    </row>
    <row r="2817" customFormat="false" ht="15.75" hidden="false" customHeight="true" outlineLevel="0" collapsed="false">
      <c r="B2817" s="19"/>
      <c r="C2817" s="20"/>
      <c r="D2817" s="20"/>
      <c r="E2817" s="21"/>
      <c r="F2817" s="21"/>
      <c r="G2817" s="22"/>
      <c r="H2817" s="23"/>
      <c r="I2817" s="22"/>
      <c r="J2817" s="20"/>
    </row>
    <row r="2818" customFormat="false" ht="15.75" hidden="false" customHeight="true" outlineLevel="0" collapsed="false">
      <c r="B2818" s="19"/>
      <c r="C2818" s="20"/>
      <c r="D2818" s="20"/>
      <c r="E2818" s="21"/>
      <c r="F2818" s="21"/>
      <c r="G2818" s="22"/>
      <c r="H2818" s="23"/>
      <c r="I2818" s="22"/>
      <c r="J2818" s="20"/>
    </row>
    <row r="2819" customFormat="false" ht="15.75" hidden="false" customHeight="true" outlineLevel="0" collapsed="false">
      <c r="B2819" s="19"/>
      <c r="C2819" s="20"/>
      <c r="D2819" s="20"/>
      <c r="E2819" s="21"/>
      <c r="F2819" s="21"/>
      <c r="G2819" s="22"/>
      <c r="H2819" s="23"/>
      <c r="I2819" s="22"/>
      <c r="J2819" s="20"/>
    </row>
    <row r="2820" customFormat="false" ht="15.75" hidden="false" customHeight="true" outlineLevel="0" collapsed="false">
      <c r="B2820" s="19"/>
      <c r="C2820" s="20"/>
      <c r="D2820" s="20"/>
      <c r="E2820" s="21"/>
      <c r="F2820" s="21"/>
      <c r="G2820" s="22"/>
      <c r="H2820" s="23"/>
      <c r="I2820" s="22"/>
      <c r="J2820" s="20"/>
    </row>
    <row r="2821" customFormat="false" ht="15.75" hidden="false" customHeight="true" outlineLevel="0" collapsed="false">
      <c r="B2821" s="19"/>
      <c r="C2821" s="20"/>
      <c r="D2821" s="20"/>
      <c r="E2821" s="21"/>
      <c r="F2821" s="21"/>
      <c r="G2821" s="22"/>
      <c r="H2821" s="23"/>
      <c r="I2821" s="22"/>
      <c r="J2821" s="20"/>
    </row>
    <row r="2822" customFormat="false" ht="15.75" hidden="false" customHeight="true" outlineLevel="0" collapsed="false">
      <c r="B2822" s="19"/>
      <c r="C2822" s="20"/>
      <c r="D2822" s="20"/>
      <c r="E2822" s="21"/>
      <c r="F2822" s="21"/>
      <c r="G2822" s="22"/>
      <c r="H2822" s="23"/>
      <c r="I2822" s="22"/>
      <c r="J2822" s="20"/>
    </row>
    <row r="2823" customFormat="false" ht="15.75" hidden="false" customHeight="true" outlineLevel="0" collapsed="false">
      <c r="B2823" s="19"/>
      <c r="C2823" s="20"/>
      <c r="D2823" s="20"/>
      <c r="E2823" s="21"/>
      <c r="F2823" s="21"/>
      <c r="G2823" s="22"/>
      <c r="H2823" s="23"/>
      <c r="I2823" s="22"/>
      <c r="J2823" s="20"/>
    </row>
    <row r="2824" customFormat="false" ht="15.75" hidden="false" customHeight="true" outlineLevel="0" collapsed="false">
      <c r="B2824" s="19"/>
      <c r="C2824" s="20"/>
      <c r="D2824" s="20"/>
      <c r="E2824" s="21"/>
      <c r="F2824" s="21"/>
      <c r="G2824" s="22"/>
      <c r="H2824" s="23"/>
      <c r="I2824" s="22"/>
      <c r="J2824" s="20"/>
    </row>
    <row r="2825" customFormat="false" ht="15.75" hidden="false" customHeight="true" outlineLevel="0" collapsed="false">
      <c r="B2825" s="19"/>
      <c r="C2825" s="20"/>
      <c r="D2825" s="20"/>
      <c r="E2825" s="21"/>
      <c r="F2825" s="21"/>
      <c r="G2825" s="22"/>
      <c r="H2825" s="23"/>
      <c r="I2825" s="22"/>
      <c r="J2825" s="20"/>
    </row>
    <row r="2826" customFormat="false" ht="15.75" hidden="false" customHeight="true" outlineLevel="0" collapsed="false">
      <c r="B2826" s="19"/>
      <c r="C2826" s="20"/>
      <c r="D2826" s="20"/>
      <c r="E2826" s="21"/>
      <c r="F2826" s="21"/>
      <c r="G2826" s="22"/>
      <c r="H2826" s="23"/>
      <c r="I2826" s="22"/>
      <c r="J2826" s="20"/>
    </row>
    <row r="2827" customFormat="false" ht="15.75" hidden="false" customHeight="true" outlineLevel="0" collapsed="false">
      <c r="B2827" s="19"/>
      <c r="C2827" s="20"/>
      <c r="D2827" s="20"/>
      <c r="E2827" s="21"/>
      <c r="F2827" s="21"/>
      <c r="G2827" s="22"/>
      <c r="H2827" s="23"/>
      <c r="I2827" s="22"/>
      <c r="J2827" s="20"/>
    </row>
    <row r="2828" customFormat="false" ht="15.75" hidden="false" customHeight="true" outlineLevel="0" collapsed="false">
      <c r="B2828" s="19"/>
      <c r="C2828" s="20"/>
      <c r="D2828" s="20"/>
      <c r="E2828" s="21"/>
      <c r="F2828" s="21"/>
      <c r="G2828" s="22"/>
      <c r="H2828" s="23"/>
      <c r="I2828" s="22"/>
      <c r="J2828" s="20"/>
    </row>
    <row r="2829" customFormat="false" ht="15.75" hidden="false" customHeight="true" outlineLevel="0" collapsed="false">
      <c r="B2829" s="19"/>
      <c r="C2829" s="20"/>
      <c r="D2829" s="20"/>
      <c r="E2829" s="21"/>
      <c r="F2829" s="21"/>
      <c r="G2829" s="22"/>
      <c r="H2829" s="23"/>
      <c r="I2829" s="22"/>
      <c r="J2829" s="20"/>
    </row>
    <row r="2830" customFormat="false" ht="15.75" hidden="false" customHeight="true" outlineLevel="0" collapsed="false">
      <c r="B2830" s="19"/>
      <c r="C2830" s="20"/>
      <c r="D2830" s="20"/>
      <c r="E2830" s="21"/>
      <c r="F2830" s="21"/>
      <c r="G2830" s="22"/>
      <c r="H2830" s="23"/>
      <c r="I2830" s="22"/>
      <c r="J2830" s="20"/>
    </row>
    <row r="2831" customFormat="false" ht="15.75" hidden="false" customHeight="true" outlineLevel="0" collapsed="false">
      <c r="B2831" s="19"/>
      <c r="C2831" s="20"/>
      <c r="D2831" s="20"/>
      <c r="E2831" s="24"/>
      <c r="F2831" s="21"/>
      <c r="G2831" s="22"/>
      <c r="H2831" s="23"/>
      <c r="I2831" s="22"/>
      <c r="J2831" s="20"/>
    </row>
    <row r="2832" customFormat="false" ht="15.75" hidden="false" customHeight="true" outlineLevel="0" collapsed="false">
      <c r="B2832" s="19"/>
      <c r="C2832" s="20"/>
      <c r="D2832" s="20"/>
      <c r="E2832" s="24"/>
      <c r="F2832" s="21"/>
      <c r="G2832" s="22"/>
      <c r="H2832" s="23"/>
      <c r="I2832" s="22"/>
      <c r="J2832" s="20"/>
    </row>
    <row r="2833" customFormat="false" ht="15.75" hidden="false" customHeight="true" outlineLevel="0" collapsed="false">
      <c r="B2833" s="19"/>
      <c r="C2833" s="20"/>
      <c r="D2833" s="20"/>
      <c r="E2833" s="21"/>
      <c r="F2833" s="21"/>
      <c r="G2833" s="22"/>
      <c r="H2833" s="23"/>
      <c r="I2833" s="22"/>
      <c r="J2833" s="20"/>
    </row>
    <row r="2834" customFormat="false" ht="15.75" hidden="false" customHeight="true" outlineLevel="0" collapsed="false">
      <c r="B2834" s="19"/>
      <c r="C2834" s="20"/>
      <c r="D2834" s="20"/>
      <c r="E2834" s="21"/>
      <c r="F2834" s="21"/>
      <c r="G2834" s="22"/>
      <c r="H2834" s="23"/>
      <c r="I2834" s="22"/>
      <c r="J2834" s="20"/>
    </row>
    <row r="2835" customFormat="false" ht="15.75" hidden="false" customHeight="true" outlineLevel="0" collapsed="false">
      <c r="B2835" s="19"/>
      <c r="C2835" s="20"/>
      <c r="D2835" s="20"/>
      <c r="E2835" s="21"/>
      <c r="F2835" s="21"/>
      <c r="G2835" s="22"/>
      <c r="H2835" s="23"/>
      <c r="I2835" s="22"/>
      <c r="J2835" s="20"/>
    </row>
    <row r="2836" customFormat="false" ht="15.75" hidden="false" customHeight="true" outlineLevel="0" collapsed="false">
      <c r="B2836" s="19"/>
      <c r="C2836" s="20"/>
      <c r="D2836" s="20"/>
      <c r="E2836" s="21"/>
      <c r="F2836" s="21"/>
      <c r="G2836" s="22"/>
      <c r="H2836" s="23"/>
      <c r="I2836" s="22"/>
      <c r="J2836" s="20"/>
    </row>
    <row r="2837" customFormat="false" ht="15.75" hidden="false" customHeight="true" outlineLevel="0" collapsed="false">
      <c r="B2837" s="19"/>
      <c r="C2837" s="20"/>
      <c r="D2837" s="20"/>
      <c r="E2837" s="21"/>
      <c r="F2837" s="21"/>
      <c r="G2837" s="22"/>
      <c r="H2837" s="23"/>
      <c r="I2837" s="22"/>
      <c r="J2837" s="20"/>
    </row>
    <row r="2838" customFormat="false" ht="15.75" hidden="false" customHeight="true" outlineLevel="0" collapsed="false">
      <c r="B2838" s="19"/>
      <c r="C2838" s="20"/>
      <c r="D2838" s="20"/>
      <c r="E2838" s="21"/>
      <c r="F2838" s="21"/>
      <c r="G2838" s="22"/>
      <c r="H2838" s="23"/>
      <c r="I2838" s="22"/>
      <c r="J2838" s="20"/>
    </row>
    <row r="2839" customFormat="false" ht="15.75" hidden="false" customHeight="true" outlineLevel="0" collapsed="false">
      <c r="B2839" s="19"/>
      <c r="C2839" s="20"/>
      <c r="D2839" s="20"/>
      <c r="E2839" s="21"/>
      <c r="F2839" s="21"/>
      <c r="G2839" s="22"/>
      <c r="H2839" s="23"/>
      <c r="I2839" s="22"/>
      <c r="J2839" s="20"/>
    </row>
    <row r="2840" customFormat="false" ht="15.75" hidden="false" customHeight="true" outlineLevel="0" collapsed="false">
      <c r="B2840" s="19"/>
      <c r="C2840" s="20"/>
      <c r="D2840" s="20"/>
      <c r="E2840" s="21"/>
      <c r="F2840" s="21"/>
      <c r="G2840" s="22"/>
      <c r="H2840" s="23"/>
      <c r="I2840" s="22"/>
      <c r="J2840" s="20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2645"/>
  <dataValidations count="2">
    <dataValidation allowBlank="true" errorStyle="stop" operator="between" showDropDown="true" showErrorMessage="false" showInputMessage="false" sqref="F2:F42 F44 F46:F49 F51:F54 F56:F141 F143:F165 F167:F168 F170 F172:F176 F179:F183 F185:F208 F210:F215 F217:F218 F220:F221 F223:F224 F226:F241 F243:F264 F266:F295 F297:F303 F305:F311 F313:F314 F317:F319 F321:F323 F325:F328 F330:F341 F343:F361 F363:F366 F368 F370:F386 F388:F392 F394 F396:F399 F401:F417 F419:F421 F423:F428 F431:F432 F434:F446 F448:F456 F458:F459 F461 F463 F465:F467 F469:F471 F473:F482 F484:F489 F491:F504 F506:F514 F516:F523 F525:F526 F528:F532 F534:F545 F547:F551 F553:F554 F556:F567 F569:F573 F576 F578:F581 F583:F584 F590:F592 F594 F597 F599:F606 F608:F612 F614:F616 F620:F625 F627:F630 F633:F636 F638:F643 F645 F647 F649:F656 F658:F659 F661:F668 F670:F675 F677:F678 F681:F683 F685:F700 F702:F703 F705:F706 F709:F724 F726:F729 F731:F750 F752:F760 F762:F766 F768:F785 F787 F789:F790 F792:F797 F799:F814 F817:F818 F820:F826 F828:F850 F852:F854 F856:F865 F867:F889 F891 F894:F898 F900:F922 F924 F926:F935 F937:F941 F943 F945:F950 F952:F955 F957:F968 F970 F972:F974 F977:F982 F984:F985 F987:F997 F999:F1000 F1002 F1004:F1005 F1007:F1012 F1014:F1016 F1018:F1020 F1022:F1039 F1041:F1049 F1051 F1053:F1059 F1061 F1063 F1065:F1069 F1071 F1073:F1076 F1078 F1080 F1082 F1084:F1128 F1130:F1133 F1136:F1138 F1140:F1143 F1146:F1148 F1150:F1151 F1153 F1155:F1156 F1158 F1160:F1178 F1181:F1195 F1197:F1198 F1200 F1202:F1213 F1218:F1240 F1242 F1244:F1249 F1251 F1253:F1257 F1259:F1263 F1266:F1276 F1278:F1281 F1283:F1300 F1302:F1303 F1305:F1307 F1310:F1311 F1313:F1315 F1317:F1323 F1326 F1328:F1332 F1335:F1341 F1343:F1349 F1351:F1357 F1359:F1361 F1363:F1365 F1367 F1369 F1371:F1373 F1375 F1377:F1379 F1381:F1382 F1384 F1386:F1390 F1392:F1400 F1402 F1406:F1412 F1414:F1417 F1420:F1430 F1432:F1433 F1435 F1437:F1438 F1440:F1455 F1457:F1458 F1461:F1466 F1468:F1470 F1472:F1475 F1477:F1485 F1487:F1496 F1498:F1500 F1504:F1509 F1511 F1513 F1515:F1518 F1520:F1524 F1526 F1528 F1530:F1538 F1540:F1545 F1547:F1549 F1551:F1552 F1554 F1556:F1560 F1562:F1565 F1567:F1575 F1577:F1582 F1584 F1586:F1597 F1600:F1602 F1604 F1606:F1608 F1610:F1623 F1625:F1626 F1629:F1630 F1633:F1636 F1639:F1644 F1647:F1653 F1655:F1662 F1664:F1666 F1668 F1670:F1676 F1678:F1683 F1685:F1696 F1698:F1704 F1706:F1708 F1710:F1712 F1714:F1717 F1722:F1724 F1726:F1747 F1751:F1752 F1754 F1756:F1758 F1760:F1770 F1772:F1779 F1781:F1790 F1792:F1807 F1809:F1812 F1814:F1815 F1817:F1820 F1822:F1825 F1827 F1829:F1838 F1841:F1845 F1847 F1849 F1851:F1852 F1854:F1856 F1858:F1859 F1861 F1864:F1865 F1868:F1869 F1871:F1880 F1882 F1884 F1886:F1888 F1890 F1892:F1896 F1899:F1911 F1917 F1921:F1922 F1924:F1927 F1929:F1934 F1936:F1938 F1940:F1941 F1943:F1946 F1948:F1953 F1955:F1965 F1967:F1974 F1977:F1979 F1981:F1984 F1986:F1996 F1999 F2001 F2004:F2007 F2010:F2011 F2013 F2016:F2026 F2028:F2032 F2034:F2036 F2038:F2045 F2047:F2057 F2059:F2061 F2064:F2068 F2070:F2071 F2073:F2078 F2080:F2082 F2084:F2087 F2089:F2095 F2100:F2104 F2107:F2113 F2115:F2121 F2124 F2127:F2136 F2140:F2146 F2149:F2152 F2154:F2156 F2161 F2163:F2166 F2170:F2174 F2176 F2178 F2180:F2186 F2188:F2190 F2193 F2196:F2199 F2201:F2203 F2205:F2207 F2209:F2211 F2215:F2216 F2218:F2219 F2221 F2224:F2228 F2230:F2244 F2246:F2249 F2251 F2254:F2258 F2260 F2263:F2264 F2266 F2268:F2276 F2278:F2279 F2281:F2288 F2292:F2297 F2300:F2302 F2304:F2307 F2309:F2326 F2329:F2335 F2337:F2338 F2340 F2342:F2343 F2345:F2346 F2349:F2354 F2356 F2358:F2361 F2364 F2366 F2368:F2372 F2374:F2376 F2378:F2381 F2384:F2386 F2388:F2390 F2393:F2398 F2400:F2404 F2406:F2407 F2411:F2413 F2415 F2417:F2418 F2420 F2422 F2425 F2428:F2429 F2432:F2433 F2435:F2437 F2439 F2441 F2444 F2447:F2449 F2452:F2454 F2456:F2458 F2460:F2466 F2468 F2470:F2471 F2473:F2474 F2476:F2478 F2481:F2482 F2484:F2485 F2489:F2490 F2492:F2495 F2499:F2500 F2502:F2503 F2505 F2507:F2526 F2528:F2533 F2535:F2541 F2545 F2549 F2552:F2554 F2556 F2558:F2567 F2569:F2572 F2574:F2580 F2582 F2585:F2586 F2588 F2590:F2591 F2593 F2595:F2606 F2608:F2622 F2624:F2630 F2632:F2648 F2651:F2666 F2668:F2669 F2672 F2674:F2677 F2679:F2701 F2703:F2749 F2751:F2767 F2769:F2777 F2779:F2781 F2783:F2790 F2792 F2794 F2796:F2817 F2819:F2821 F2823:F2831 F2833:F2840" type="custom">
      <formula1>OR(NOT(ISERROR(DATEVALUE(E2))), AND(ISNUMBER(E2), LEFT(CELL("format", E2))="D"))</formula1>
      <formula2>0</formula2>
    </dataValidation>
    <dataValidation allowBlank="true" errorStyle="stop" operator="between" showDropDown="true" showErrorMessage="false" showInputMessage="false" sqref="H2:H2840" type="custom">
      <formula1>AND(ISNUMBER(G2),(NOT(OR(NOT(ISERROR(DATEVALUE(G2))), AND(ISNUMBER(G2), LEFT(CELL("format", G2))="D")))))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3.5"/>
    <col collapsed="false" customWidth="true" hidden="true" outlineLevel="0" max="2" min="2" style="1" width="13.5"/>
    <col collapsed="false" customWidth="true" hidden="false" outlineLevel="0" max="3" min="3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8" min="10" style="1" width="5"/>
    <col collapsed="false" customWidth="true" hidden="false" outlineLevel="0" max="19" min="19" style="1" width="4.25"/>
    <col collapsed="false" customWidth="true" hidden="false" outlineLevel="0" max="20" min="20" style="1" width="16.12"/>
    <col collapsed="false" customWidth="true" hidden="false" outlineLevel="0" max="21" min="21" style="1" width="3.88"/>
    <col collapsed="false" customWidth="true" hidden="false" outlineLevel="0" max="22" min="22" style="1" width="2.88"/>
  </cols>
  <sheetData>
    <row r="1" customFormat="false" ht="12" hidden="false" customHeight="true" outlineLevel="0" collapsed="false">
      <c r="A1" s="25"/>
      <c r="B1" s="26" t="s">
        <v>5369</v>
      </c>
      <c r="C1" s="26" t="s">
        <v>5370</v>
      </c>
      <c r="D1" s="27" t="s">
        <v>5371</v>
      </c>
      <c r="E1" s="27" t="s">
        <v>5372</v>
      </c>
      <c r="F1" s="28" t="s">
        <v>5373</v>
      </c>
      <c r="G1" s="28" t="s">
        <v>5374</v>
      </c>
      <c r="H1" s="28" t="s">
        <v>5375</v>
      </c>
      <c r="I1" s="27" t="s">
        <v>5376</v>
      </c>
      <c r="J1" s="27" t="s">
        <v>5377</v>
      </c>
      <c r="K1" s="28" t="s">
        <v>5378</v>
      </c>
      <c r="L1" s="28" t="s">
        <v>5379</v>
      </c>
      <c r="M1" s="27" t="s">
        <v>5380</v>
      </c>
      <c r="N1" s="27" t="s">
        <v>5381</v>
      </c>
      <c r="O1" s="27" t="s">
        <v>5382</v>
      </c>
      <c r="P1" s="29" t="s">
        <v>5383</v>
      </c>
      <c r="Q1" s="27" t="s">
        <v>5384</v>
      </c>
      <c r="R1" s="27" t="s">
        <v>5385</v>
      </c>
      <c r="S1" s="27" t="s">
        <v>5386</v>
      </c>
      <c r="T1" s="27" t="s">
        <v>5387</v>
      </c>
      <c r="U1" s="27" t="s">
        <v>5388</v>
      </c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 customFormat="false" ht="12" hidden="false" customHeight="true" outlineLevel="0" collapsed="false">
      <c r="A2" s="31" t="n">
        <v>1</v>
      </c>
      <c r="B2" s="32" t="s">
        <v>101</v>
      </c>
      <c r="C2" s="32" t="s">
        <v>5389</v>
      </c>
      <c r="D2" s="22" t="n">
        <f aca="false">SUMIF(CAL!B:E,B2,CAL!E:E)+SUMIF(CAL!J:M,B2,CAL!M:M)</f>
        <v>44</v>
      </c>
      <c r="E2" s="33" t="n">
        <f aca="false">COUNTIF(CAL!B:J,B2)</f>
        <v>18</v>
      </c>
      <c r="F2" s="22" t="n">
        <f aca="false">SUMIF(CAL!B:F,B2,CAL!F:F)+SUMIF(CAL!J:N,B2,CAL!N:N)</f>
        <v>13</v>
      </c>
      <c r="G2" s="22" t="n">
        <f aca="false">SUMIF(CAL!B:F,B2,CAL!G:G)+SUMIF(CAL!J:N,B2,CAL!O:O)</f>
        <v>5</v>
      </c>
      <c r="H2" s="22" t="n">
        <f aca="false">SUMIF(CAL!B:F,B2,CAL!H:H)+SUMIF(CAL!J:N,B2,CAL!P:P)</f>
        <v>0</v>
      </c>
      <c r="I2" s="34" t="n">
        <f aca="false">IF(E2=0,0,(D2/(E2*3)))</f>
        <v>0.814814814814815</v>
      </c>
      <c r="J2" s="33" t="n">
        <f aca="false">SUMIF(CAL!B:C,B2,CAL!C:C)+SUMIF(CAL!J:J,B2,CAL!D:D)</f>
        <v>28</v>
      </c>
      <c r="K2" s="22" t="n">
        <f aca="false">SUMIF(CAL!B:D,B2,CAL!D:D)+SUMIF(CAL!J:L,B2,CAL!K:K)</f>
        <v>9</v>
      </c>
      <c r="L2" s="22" t="n">
        <f aca="false">J2-K2</f>
        <v>19</v>
      </c>
      <c r="M2" s="35" t="n">
        <f aca="false">IF(E2=0,0,(J2/E2))</f>
        <v>1.55555555555556</v>
      </c>
      <c r="N2" s="35" t="n">
        <f aca="false">IF(E2=0,0,(K2/E2))</f>
        <v>0.5</v>
      </c>
      <c r="O2" s="22" t="n">
        <f aca="false">SUMIF(CAL!B:I,B2,CAL!I:I)+SUMIF(CAL!J:Q,B2,CAL!Q:Q)</f>
        <v>10</v>
      </c>
      <c r="P2" s="19" t="n">
        <f aca="false">Q2+R2</f>
        <v>22</v>
      </c>
      <c r="Q2" s="22" t="n">
        <v>14</v>
      </c>
      <c r="R2" s="22" t="n">
        <v>8</v>
      </c>
      <c r="S2" s="22" t="s">
        <v>5375</v>
      </c>
      <c r="T2" s="22" t="s">
        <v>5390</v>
      </c>
      <c r="U2" s="22" t="s">
        <v>5391</v>
      </c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12" hidden="false" customHeight="true" outlineLevel="0" collapsed="false">
      <c r="A3" s="31" t="n">
        <v>2</v>
      </c>
      <c r="B3" s="32" t="s">
        <v>187</v>
      </c>
      <c r="C3" s="32" t="s">
        <v>5392</v>
      </c>
      <c r="D3" s="22" t="n">
        <f aca="false">SUMIF(CAL!B:E,B3,CAL!E:E)+SUMIF(CAL!J:M,B3,CAL!M:M)</f>
        <v>44</v>
      </c>
      <c r="E3" s="33" t="n">
        <f aca="false">COUNTIF(CAL!B:J,B3)</f>
        <v>20</v>
      </c>
      <c r="F3" s="22" t="n">
        <f aca="false">SUMIF(CAL!B:F,B3,CAL!F:F)+SUMIF(CAL!J:N,B3,CAL!N:N)</f>
        <v>12</v>
      </c>
      <c r="G3" s="22" t="n">
        <f aca="false">SUMIF(CAL!B:F,B3,CAL!G:G)+SUMIF(CAL!J:N,B3,CAL!O:O)</f>
        <v>8</v>
      </c>
      <c r="H3" s="22" t="n">
        <f aca="false">SUMIF(CAL!B:F,B3,CAL!H:H)+SUMIF(CAL!J:N,B3,CAL!P:P)</f>
        <v>0</v>
      </c>
      <c r="I3" s="34" t="n">
        <f aca="false">IF(E3=0,0,(D3/(E3*3)))</f>
        <v>0.733333333333333</v>
      </c>
      <c r="J3" s="33" t="n">
        <f aca="false">SUMIF(CAL!B:C,B3,CAL!C:C)+SUMIF(CAL!J:J,B3,CAL!D:D)</f>
        <v>36</v>
      </c>
      <c r="K3" s="22" t="n">
        <f aca="false">SUMIF(CAL!B:D,B3,CAL!D:D)+SUMIF(CAL!J:L,B3,CAL!K:K)</f>
        <v>11</v>
      </c>
      <c r="L3" s="22" t="n">
        <f aca="false">J3-K3</f>
        <v>25</v>
      </c>
      <c r="M3" s="35" t="n">
        <f aca="false">IF(E3=0,0,(J3/E3))</f>
        <v>1.8</v>
      </c>
      <c r="N3" s="35" t="n">
        <f aca="false">IF(E3=0,0,(K3/E3))</f>
        <v>0.55</v>
      </c>
      <c r="O3" s="22" t="n">
        <f aca="false">SUMIF(CAL!B:I,B3,CAL!I:I)+SUMIF(CAL!J:Q,B3,CAL!Q:Q)</f>
        <v>12</v>
      </c>
      <c r="P3" s="19" t="n">
        <f aca="false">Q3+R3</f>
        <v>20</v>
      </c>
      <c r="Q3" s="22" t="n">
        <v>12</v>
      </c>
      <c r="R3" s="22" t="n">
        <v>8</v>
      </c>
      <c r="S3" s="22" t="s">
        <v>5375</v>
      </c>
      <c r="T3" s="22" t="s">
        <v>5393</v>
      </c>
      <c r="U3" s="22" t="s">
        <v>5394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customFormat="false" ht="12" hidden="false" customHeight="true" outlineLevel="0" collapsed="false">
      <c r="A4" s="31" t="n">
        <v>3</v>
      </c>
      <c r="B4" s="32" t="s">
        <v>48</v>
      </c>
      <c r="C4" s="32" t="s">
        <v>5395</v>
      </c>
      <c r="D4" s="22" t="n">
        <f aca="false">SUMIF(CAL!B:E,B4,CAL!E:E)+SUMIF(CAL!J:M,B4,CAL!M:M)</f>
        <v>36</v>
      </c>
      <c r="E4" s="33" t="n">
        <f aca="false">COUNTIF(CAL!B:J,B4)</f>
        <v>21</v>
      </c>
      <c r="F4" s="22" t="n">
        <f aca="false">SUMIF(CAL!B:F,B4,CAL!F:F)+SUMIF(CAL!J:N,B4,CAL!N:N)</f>
        <v>9</v>
      </c>
      <c r="G4" s="22" t="n">
        <f aca="false">SUMIF(CAL!B:F,B4,CAL!G:G)+SUMIF(CAL!J:N,B4,CAL!O:O)</f>
        <v>9</v>
      </c>
      <c r="H4" s="22" t="n">
        <f aca="false">SUMIF(CAL!B:F,B4,CAL!H:H)+SUMIF(CAL!J:N,B4,CAL!P:P)</f>
        <v>3</v>
      </c>
      <c r="I4" s="34" t="n">
        <f aca="false">IF(E4=0,0,(D4/(E4*3)))</f>
        <v>0.571428571428571</v>
      </c>
      <c r="J4" s="33" t="n">
        <f aca="false">SUMIF(CAL!B:C,B4,CAL!C:C)+SUMIF(CAL!J:J,B4,CAL!D:D)</f>
        <v>21</v>
      </c>
      <c r="K4" s="22" t="n">
        <f aca="false">SUMIF(CAL!B:D,B4,CAL!D:D)+SUMIF(CAL!J:L,B4,CAL!K:K)</f>
        <v>13</v>
      </c>
      <c r="L4" s="22" t="n">
        <f aca="false">J4-K4</f>
        <v>8</v>
      </c>
      <c r="M4" s="35" t="n">
        <f aca="false">IF(E4=0,0,(J4/E4))</f>
        <v>1</v>
      </c>
      <c r="N4" s="35" t="n">
        <f aca="false">IF(E4=0,0,(K4/E4))</f>
        <v>0.619047619047619</v>
      </c>
      <c r="O4" s="22" t="n">
        <f aca="false">SUMIF(CAL!B:I,B4,CAL!I:I)+SUMIF(CAL!J:Q,B4,CAL!Q:Q)</f>
        <v>12</v>
      </c>
      <c r="P4" s="19" t="n">
        <f aca="false">Q4+R4</f>
        <v>17</v>
      </c>
      <c r="Q4" s="22" t="n">
        <v>9</v>
      </c>
      <c r="R4" s="22" t="n">
        <v>8</v>
      </c>
      <c r="S4" s="22" t="s">
        <v>5375</v>
      </c>
      <c r="T4" s="22" t="s">
        <v>5396</v>
      </c>
      <c r="U4" s="22" t="s">
        <v>5397</v>
      </c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customFormat="false" ht="12" hidden="false" customHeight="true" outlineLevel="0" collapsed="false">
      <c r="A5" s="31" t="n">
        <v>4</v>
      </c>
      <c r="B5" s="32" t="s">
        <v>172</v>
      </c>
      <c r="C5" s="32" t="s">
        <v>5398</v>
      </c>
      <c r="D5" s="22" t="n">
        <f aca="false">SUMIF(CAL!B:E,B5,CAL!E:E)+SUMIF(CAL!J:M,B5,CAL!M:M)</f>
        <v>38</v>
      </c>
      <c r="E5" s="33" t="n">
        <f aca="false">COUNTIF(CAL!B:J,B5)</f>
        <v>18</v>
      </c>
      <c r="F5" s="22" t="n">
        <f aca="false">SUMIF(CAL!B:F,B5,CAL!F:F)+SUMIF(CAL!J:N,B5,CAL!N:N)</f>
        <v>11</v>
      </c>
      <c r="G5" s="22" t="n">
        <f aca="false">SUMIF(CAL!B:F,B5,CAL!G:G)+SUMIF(CAL!J:N,B5,CAL!O:O)</f>
        <v>5</v>
      </c>
      <c r="H5" s="22" t="n">
        <f aca="false">SUMIF(CAL!B:F,B5,CAL!H:H)+SUMIF(CAL!J:N,B5,CAL!P:P)</f>
        <v>2</v>
      </c>
      <c r="I5" s="34" t="n">
        <f aca="false">IF(E5=0,0,(D5/(E5*3)))</f>
        <v>0.703703703703704</v>
      </c>
      <c r="J5" s="33" t="n">
        <f aca="false">SUMIF(CAL!B:C,B5,CAL!C:C)+SUMIF(CAL!J:J,B5,CAL!D:D)</f>
        <v>30</v>
      </c>
      <c r="K5" s="22" t="n">
        <f aca="false">SUMIF(CAL!B:D,B5,CAL!D:D)+SUMIF(CAL!J:L,B5,CAL!K:K)</f>
        <v>11</v>
      </c>
      <c r="L5" s="22" t="n">
        <f aca="false">J5-K5</f>
        <v>19</v>
      </c>
      <c r="M5" s="35" t="n">
        <f aca="false">IF(E5=0,0,(J5/E5))</f>
        <v>1.66666666666667</v>
      </c>
      <c r="N5" s="35" t="n">
        <f aca="false">IF(E5=0,0,(K5/E5))</f>
        <v>0.611111111111111</v>
      </c>
      <c r="O5" s="22" t="n">
        <f aca="false">SUMIF(CAL!B:I,B5,CAL!I:I)+SUMIF(CAL!J:Q,B5,CAL!Q:Q)</f>
        <v>11</v>
      </c>
      <c r="P5" s="19" t="n">
        <f aca="false">Q5+R5</f>
        <v>9</v>
      </c>
      <c r="Q5" s="22" t="n">
        <v>7</v>
      </c>
      <c r="R5" s="22" t="n">
        <v>2</v>
      </c>
      <c r="S5" s="22" t="s">
        <v>5375</v>
      </c>
      <c r="T5" s="22" t="s">
        <v>5399</v>
      </c>
      <c r="U5" s="22" t="s">
        <v>5400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customFormat="false" ht="12" hidden="false" customHeight="true" outlineLevel="0" collapsed="false">
      <c r="A6" s="31" t="n">
        <v>5</v>
      </c>
      <c r="B6" s="32" t="s">
        <v>5401</v>
      </c>
      <c r="C6" s="32" t="s">
        <v>5402</v>
      </c>
      <c r="D6" s="22" t="n">
        <f aca="false">SUMIF(CAL!B:E,B6,CAL!E:E)+SUMIF(CAL!J:M,B6,CAL!M:M)</f>
        <v>22</v>
      </c>
      <c r="E6" s="33" t="n">
        <f aca="false">COUNTIF(CAL!B:J,B6)</f>
        <v>12</v>
      </c>
      <c r="F6" s="22" t="n">
        <f aca="false">SUMIF(CAL!B:F,B6,CAL!F:F)+SUMIF(CAL!J:N,B6,CAL!N:N)</f>
        <v>6</v>
      </c>
      <c r="G6" s="22" t="n">
        <f aca="false">SUMIF(CAL!B:F,B6,CAL!G:G)+SUMIF(CAL!J:N,B6,CAL!O:O)</f>
        <v>4</v>
      </c>
      <c r="H6" s="22" t="n">
        <f aca="false">SUMIF(CAL!B:F,B6,CAL!H:H)+SUMIF(CAL!J:N,B6,CAL!P:P)</f>
        <v>2</v>
      </c>
      <c r="I6" s="34" t="n">
        <f aca="false">IF(E6=0,0,(D6/(E6*3)))</f>
        <v>0.611111111111111</v>
      </c>
      <c r="J6" s="33" t="n">
        <f aca="false">SUMIF(CAL!B:C,B6,CAL!C:C)+SUMIF(CAL!J:J,B6,CAL!D:D)</f>
        <v>13</v>
      </c>
      <c r="K6" s="22" t="n">
        <f aca="false">SUMIF(CAL!B:D,B6,CAL!D:D)+SUMIF(CAL!J:L,B6,CAL!K:K)</f>
        <v>6</v>
      </c>
      <c r="L6" s="22" t="n">
        <f aca="false">J6-K6</f>
        <v>7</v>
      </c>
      <c r="M6" s="35" t="n">
        <f aca="false">IF(E6=0,0,(J6/E6))</f>
        <v>1.08333333333333</v>
      </c>
      <c r="N6" s="35" t="n">
        <f aca="false">IF(E6=0,0,(K6/E6))</f>
        <v>0.5</v>
      </c>
      <c r="O6" s="22" t="n">
        <f aca="false">SUMIF(CAL!B:I,B6,CAL!I:I)+SUMIF(CAL!J:Q,B6,CAL!Q:Q)</f>
        <v>7</v>
      </c>
      <c r="P6" s="19" t="n">
        <f aca="false">Q6+R6</f>
        <v>8</v>
      </c>
      <c r="Q6" s="22" t="n">
        <v>4</v>
      </c>
      <c r="R6" s="22" t="n">
        <v>4</v>
      </c>
      <c r="S6" s="22" t="s">
        <v>5375</v>
      </c>
      <c r="T6" s="22" t="s">
        <v>5403</v>
      </c>
      <c r="U6" s="22" t="s">
        <v>5404</v>
      </c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customFormat="false" ht="12" hidden="false" customHeight="true" outlineLevel="0" collapsed="false">
      <c r="A7" s="31" t="n">
        <v>6</v>
      </c>
      <c r="B7" s="32" t="s">
        <v>200</v>
      </c>
      <c r="C7" s="32" t="s">
        <v>5405</v>
      </c>
      <c r="D7" s="22" t="n">
        <f aca="false">SUMIF(CAL!B:E,B7,CAL!E:E)+SUMIF(CAL!J:M,B7,CAL!M:M)</f>
        <v>19</v>
      </c>
      <c r="E7" s="33" t="n">
        <f aca="false">COUNTIF(CAL!B:J,B7)</f>
        <v>14</v>
      </c>
      <c r="F7" s="22" t="n">
        <f aca="false">SUMIF(CAL!B:F,B7,CAL!F:F)+SUMIF(CAL!J:N,B7,CAL!N:N)</f>
        <v>4</v>
      </c>
      <c r="G7" s="22" t="n">
        <f aca="false">SUMIF(CAL!B:F,B7,CAL!G:G)+SUMIF(CAL!J:N,B7,CAL!O:O)</f>
        <v>7</v>
      </c>
      <c r="H7" s="22" t="n">
        <f aca="false">SUMIF(CAL!B:F,B7,CAL!H:H)+SUMIF(CAL!J:N,B7,CAL!P:P)</f>
        <v>3</v>
      </c>
      <c r="I7" s="34" t="n">
        <f aca="false">IF(E7=0,0,(D7/(E7*3)))</f>
        <v>0.452380952380952</v>
      </c>
      <c r="J7" s="33" t="n">
        <f aca="false">SUMIF(CAL!B:C,B7,CAL!C:C)+SUMIF(CAL!J:J,B7,CAL!D:D)</f>
        <v>17</v>
      </c>
      <c r="K7" s="22" t="n">
        <f aca="false">SUMIF(CAL!B:D,B7,CAL!D:D)+SUMIF(CAL!J:L,B7,CAL!K:K)</f>
        <v>18</v>
      </c>
      <c r="L7" s="22" t="n">
        <f aca="false">J7-K7</f>
        <v>-1</v>
      </c>
      <c r="M7" s="35" t="n">
        <f aca="false">IF(E7=0,0,(J7/E7))</f>
        <v>1.21428571428571</v>
      </c>
      <c r="N7" s="35" t="n">
        <f aca="false">IF(E7=0,0,(K7/E7))</f>
        <v>1.28571428571429</v>
      </c>
      <c r="O7" s="22" t="n">
        <f aca="false">SUMIF(CAL!B:I,B7,CAL!I:I)+SUMIF(CAL!J:Q,B7,CAL!Q:Q)</f>
        <v>2</v>
      </c>
      <c r="P7" s="19" t="n">
        <f aca="false">Q7+R7</f>
        <v>8</v>
      </c>
      <c r="Q7" s="22" t="n">
        <v>3</v>
      </c>
      <c r="R7" s="22" t="n">
        <v>5</v>
      </c>
      <c r="S7" s="22" t="s">
        <v>5375</v>
      </c>
      <c r="T7" s="22" t="s">
        <v>5406</v>
      </c>
      <c r="U7" s="22" t="s">
        <v>5407</v>
      </c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12" hidden="false" customHeight="true" outlineLevel="0" collapsed="false">
      <c r="A8" s="31" t="n">
        <v>7</v>
      </c>
      <c r="B8" s="32" t="s">
        <v>131</v>
      </c>
      <c r="C8" s="32" t="s">
        <v>5408</v>
      </c>
      <c r="D8" s="22" t="n">
        <f aca="false">SUMIF(CAL!B:E,B8,CAL!E:E)+SUMIF(CAL!J:M,B8,CAL!M:M)</f>
        <v>21</v>
      </c>
      <c r="E8" s="33" t="n">
        <f aca="false">COUNTIF(CAL!B:J,B8)</f>
        <v>14</v>
      </c>
      <c r="F8" s="22" t="n">
        <f aca="false">SUMIF(CAL!B:F,B8,CAL!F:F)+SUMIF(CAL!J:N,B8,CAL!N:N)</f>
        <v>5</v>
      </c>
      <c r="G8" s="22" t="n">
        <f aca="false">SUMIF(CAL!B:F,B8,CAL!G:G)+SUMIF(CAL!J:N,B8,CAL!O:O)</f>
        <v>6</v>
      </c>
      <c r="H8" s="22" t="n">
        <f aca="false">SUMIF(CAL!B:F,B8,CAL!H:H)+SUMIF(CAL!J:N,B8,CAL!P:P)</f>
        <v>3</v>
      </c>
      <c r="I8" s="34" t="n">
        <f aca="false">IF(E8=0,0,(D8/(E8*3)))</f>
        <v>0.5</v>
      </c>
      <c r="J8" s="33" t="n">
        <f aca="false">SUMIF(CAL!B:C,B8,CAL!C:C)+SUMIF(CAL!J:J,B8,CAL!D:D)</f>
        <v>17</v>
      </c>
      <c r="K8" s="22" t="n">
        <f aca="false">SUMIF(CAL!B:D,B8,CAL!D:D)+SUMIF(CAL!J:L,B8,CAL!K:K)</f>
        <v>16</v>
      </c>
      <c r="L8" s="22" t="n">
        <f aca="false">J8-K8</f>
        <v>1</v>
      </c>
      <c r="M8" s="35" t="n">
        <f aca="false">IF(E8=0,0,(J8/E8))</f>
        <v>1.21428571428571</v>
      </c>
      <c r="N8" s="35" t="n">
        <f aca="false">IF(E8=0,0,(K8/E8))</f>
        <v>1.14285714285714</v>
      </c>
      <c r="O8" s="22" t="n">
        <f aca="false">SUMIF(CAL!B:I,B8,CAL!I:I)+SUMIF(CAL!J:Q,B8,CAL!Q:Q)</f>
        <v>4</v>
      </c>
      <c r="P8" s="19" t="n">
        <f aca="false">Q8+R8</f>
        <v>8</v>
      </c>
      <c r="Q8" s="22" t="n">
        <v>2</v>
      </c>
      <c r="R8" s="22" t="n">
        <v>6</v>
      </c>
      <c r="S8" s="22" t="s">
        <v>5409</v>
      </c>
      <c r="T8" s="22" t="s">
        <v>5410</v>
      </c>
      <c r="U8" s="22" t="s">
        <v>5411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customFormat="false" ht="12" hidden="false" customHeight="true" outlineLevel="0" collapsed="false">
      <c r="A9" s="31" t="n">
        <v>8</v>
      </c>
      <c r="B9" s="32" t="s">
        <v>163</v>
      </c>
      <c r="C9" s="32" t="s">
        <v>5412</v>
      </c>
      <c r="D9" s="22" t="n">
        <f aca="false">SUMIF(CAL!B:E,B9,CAL!E:E)+SUMIF(CAL!J:M,B9,CAL!M:M)</f>
        <v>54</v>
      </c>
      <c r="E9" s="33" t="n">
        <f aca="false">COUNTIF(CAL!B:J,B9)</f>
        <v>23</v>
      </c>
      <c r="F9" s="22" t="n">
        <f aca="false">SUMIF(CAL!B:F,B9,CAL!F:F)+SUMIF(CAL!J:N,B9,CAL!N:N)</f>
        <v>17</v>
      </c>
      <c r="G9" s="22" t="n">
        <f aca="false">SUMIF(CAL!B:F,B9,CAL!G:G)+SUMIF(CAL!J:N,B9,CAL!O:O)</f>
        <v>3</v>
      </c>
      <c r="H9" s="22" t="n">
        <f aca="false">SUMIF(CAL!B:F,B9,CAL!H:H)+SUMIF(CAL!J:N,B9,CAL!P:P)</f>
        <v>3</v>
      </c>
      <c r="I9" s="34" t="n">
        <f aca="false">IF(E9=0,0,(D9/(E9*3)))</f>
        <v>0.782608695652174</v>
      </c>
      <c r="J9" s="33" t="n">
        <f aca="false">SUMIF(CAL!B:C,B9,CAL!C:C)+SUMIF(CAL!J:J,B9,CAL!D:D)</f>
        <v>39</v>
      </c>
      <c r="K9" s="22" t="n">
        <f aca="false">SUMIF(CAL!B:D,B9,CAL!D:D)+SUMIF(CAL!J:L,B9,CAL!K:K)</f>
        <v>20</v>
      </c>
      <c r="L9" s="22" t="n">
        <f aca="false">J9-K9</f>
        <v>19</v>
      </c>
      <c r="M9" s="35" t="n">
        <f aca="false">IF(E9=0,0,(J9/E9))</f>
        <v>1.69565217391304</v>
      </c>
      <c r="N9" s="35" t="n">
        <f aca="false">IF(E9=0,0,(K9/E9))</f>
        <v>0.869565217391304</v>
      </c>
      <c r="O9" s="22" t="n">
        <f aca="false">SUMIF(CAL!B:I,B9,CAL!I:I)+SUMIF(CAL!J:Q,B9,CAL!Q:Q)</f>
        <v>8</v>
      </c>
      <c r="P9" s="19" t="n">
        <f aca="false">Q9+R9</f>
        <v>6</v>
      </c>
      <c r="Q9" s="22" t="n">
        <v>5</v>
      </c>
      <c r="R9" s="22" t="n">
        <v>1</v>
      </c>
      <c r="S9" s="22" t="s">
        <v>5375</v>
      </c>
      <c r="T9" s="22" t="s">
        <v>5413</v>
      </c>
      <c r="U9" s="22" t="s">
        <v>5414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 customFormat="false" ht="12" hidden="false" customHeight="true" outlineLevel="0" collapsed="false">
      <c r="A10" s="31" t="n">
        <v>9</v>
      </c>
      <c r="B10" s="32" t="s">
        <v>134</v>
      </c>
      <c r="C10" s="32" t="s">
        <v>5415</v>
      </c>
      <c r="D10" s="22" t="n">
        <f aca="false">SUMIF(CAL!B:E,B10,CAL!E:E)+SUMIF(CAL!J:M,B10,CAL!M:M)</f>
        <v>40</v>
      </c>
      <c r="E10" s="33" t="n">
        <f aca="false">COUNTIF(CAL!B:J,B10)</f>
        <v>20</v>
      </c>
      <c r="F10" s="22" t="n">
        <f aca="false">SUMIF(CAL!B:F,B10,CAL!F:F)+SUMIF(CAL!J:N,B10,CAL!N:N)</f>
        <v>11</v>
      </c>
      <c r="G10" s="22" t="n">
        <f aca="false">SUMIF(CAL!B:F,B10,CAL!G:G)+SUMIF(CAL!J:N,B10,CAL!O:O)</f>
        <v>7</v>
      </c>
      <c r="H10" s="22" t="n">
        <f aca="false">SUMIF(CAL!B:F,B10,CAL!H:H)+SUMIF(CAL!J:N,B10,CAL!P:P)</f>
        <v>2</v>
      </c>
      <c r="I10" s="34" t="n">
        <f aca="false">IF(E10=0,0,(D10/(E10*3)))</f>
        <v>0.666666666666667</v>
      </c>
      <c r="J10" s="33" t="n">
        <f aca="false">SUMIF(CAL!B:C,B10,CAL!C:C)+SUMIF(CAL!J:J,B10,CAL!D:D)</f>
        <v>36</v>
      </c>
      <c r="K10" s="22" t="n">
        <f aca="false">SUMIF(CAL!B:D,B10,CAL!D:D)+SUMIF(CAL!J:L,B10,CAL!K:K)</f>
        <v>20</v>
      </c>
      <c r="L10" s="22" t="n">
        <f aca="false">J10-K10</f>
        <v>16</v>
      </c>
      <c r="M10" s="35" t="n">
        <f aca="false">IF(E10=0,0,(J10/E10))</f>
        <v>1.8</v>
      </c>
      <c r="N10" s="35" t="n">
        <f aca="false">IF(E10=0,0,(K10/E10))</f>
        <v>1</v>
      </c>
      <c r="O10" s="22" t="n">
        <f aca="false">SUMIF(CAL!B:I,B10,CAL!I:I)+SUMIF(CAL!J:Q,B10,CAL!Q:Q)</f>
        <v>9</v>
      </c>
      <c r="P10" s="19" t="n">
        <f aca="false">Q10+R10</f>
        <v>6</v>
      </c>
      <c r="Q10" s="22" t="n">
        <v>4</v>
      </c>
      <c r="R10" s="22" t="n">
        <v>2</v>
      </c>
      <c r="S10" s="22" t="s">
        <v>5375</v>
      </c>
      <c r="T10" s="22" t="s">
        <v>5416</v>
      </c>
      <c r="U10" s="22" t="s">
        <v>5417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customFormat="false" ht="12" hidden="false" customHeight="true" outlineLevel="0" collapsed="false">
      <c r="A11" s="31" t="n">
        <v>10</v>
      </c>
      <c r="B11" s="36" t="s">
        <v>170</v>
      </c>
      <c r="C11" s="32" t="s">
        <v>5418</v>
      </c>
      <c r="D11" s="22" t="n">
        <f aca="false">SUMIF(CAL!B:E,B11,CAL!E:E)+SUMIF(CAL!J:M,B11,CAL!M:M)</f>
        <v>35</v>
      </c>
      <c r="E11" s="33" t="n">
        <f aca="false">COUNTIF(CAL!B:J,B11)</f>
        <v>17</v>
      </c>
      <c r="F11" s="22" t="n">
        <f aca="false">SUMIF(CAL!B:F,B11,CAL!F:F)+SUMIF(CAL!J:N,B11,CAL!N:N)</f>
        <v>11</v>
      </c>
      <c r="G11" s="22" t="n">
        <f aca="false">SUMIF(CAL!B:F,B11,CAL!G:G)+SUMIF(CAL!J:N,B11,CAL!O:O)</f>
        <v>2</v>
      </c>
      <c r="H11" s="22" t="n">
        <f aca="false">SUMIF(CAL!B:F,B11,CAL!H:H)+SUMIF(CAL!J:N,B11,CAL!P:P)</f>
        <v>4</v>
      </c>
      <c r="I11" s="34" t="n">
        <f aca="false">IF(E11=0,0,(D11/(E11*3)))</f>
        <v>0.686274509803922</v>
      </c>
      <c r="J11" s="33" t="n">
        <f aca="false">SUMIF(CAL!B:C,B11,CAL!C:C)+SUMIF(CAL!J:J,B11,CAL!D:D)</f>
        <v>32</v>
      </c>
      <c r="K11" s="22" t="n">
        <f aca="false">SUMIF(CAL!B:D,B11,CAL!D:D)+SUMIF(CAL!J:L,B11,CAL!K:K)</f>
        <v>11</v>
      </c>
      <c r="L11" s="22" t="n">
        <f aca="false">J11-K11</f>
        <v>21</v>
      </c>
      <c r="M11" s="35" t="n">
        <f aca="false">IF(E11=0,0,(J11/E11))</f>
        <v>1.88235294117647</v>
      </c>
      <c r="N11" s="35" t="n">
        <f aca="false">IF(E11=0,0,(K11/E11))</f>
        <v>0.647058823529412</v>
      </c>
      <c r="O11" s="22" t="n">
        <f aca="false">SUMIF(CAL!B:I,B11,CAL!I:I)+SUMIF(CAL!J:Q,B11,CAL!Q:Q)</f>
        <v>10</v>
      </c>
      <c r="P11" s="19" t="n">
        <f aca="false">Q11+R11</f>
        <v>5</v>
      </c>
      <c r="Q11" s="22" t="n">
        <v>5</v>
      </c>
      <c r="R11" s="22" t="n">
        <v>0</v>
      </c>
      <c r="S11" s="22" t="s">
        <v>5375</v>
      </c>
      <c r="T11" s="22" t="s">
        <v>5419</v>
      </c>
      <c r="U11" s="22" t="s">
        <v>5400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customFormat="false" ht="12" hidden="false" customHeight="true" outlineLevel="0" collapsed="false">
      <c r="A12" s="31" t="n">
        <v>11</v>
      </c>
      <c r="B12" s="37" t="s">
        <v>223</v>
      </c>
      <c r="C12" s="37" t="s">
        <v>5420</v>
      </c>
      <c r="D12" s="22" t="n">
        <f aca="false">SUMIF(CAL!B:E,B12,CAL!E:E)+SUMIF(CAL!J:M,B12,CAL!M:M)</f>
        <v>27</v>
      </c>
      <c r="E12" s="33" t="n">
        <f aca="false">COUNTIF(CAL!B:J,B12)</f>
        <v>14</v>
      </c>
      <c r="F12" s="22" t="n">
        <f aca="false">SUMIF(CAL!B:F,B12,CAL!F:F)+SUMIF(CAL!J:N,B12,CAL!N:N)</f>
        <v>7</v>
      </c>
      <c r="G12" s="22" t="n">
        <f aca="false">SUMIF(CAL!B:F,B12,CAL!G:G)+SUMIF(CAL!J:N,B12,CAL!O:O)</f>
        <v>6</v>
      </c>
      <c r="H12" s="22" t="n">
        <f aca="false">SUMIF(CAL!B:F,B12,CAL!H:H)+SUMIF(CAL!J:N,B12,CAL!P:P)</f>
        <v>1</v>
      </c>
      <c r="I12" s="34" t="n">
        <f aca="false">IF(E12=0,0,(D12/(E12*3)))</f>
        <v>0.642857142857143</v>
      </c>
      <c r="J12" s="33" t="n">
        <f aca="false">SUMIF(CAL!B:C,B12,CAL!C:C)+SUMIF(CAL!J:J,B12,CAL!D:D)</f>
        <v>18</v>
      </c>
      <c r="K12" s="22" t="n">
        <f aca="false">SUMIF(CAL!B:D,B12,CAL!D:D)+SUMIF(CAL!J:L,B12,CAL!K:K)</f>
        <v>10</v>
      </c>
      <c r="L12" s="22" t="n">
        <f aca="false">J12-K12</f>
        <v>8</v>
      </c>
      <c r="M12" s="35" t="n">
        <f aca="false">IF(E12=0,0,(J12/E12))</f>
        <v>1.28571428571429</v>
      </c>
      <c r="N12" s="35" t="n">
        <f aca="false">IF(E12=0,0,(K12/E12))</f>
        <v>0.714285714285714</v>
      </c>
      <c r="O12" s="22" t="n">
        <f aca="false">SUMIF(CAL!B:I,B12,CAL!I:I)+SUMIF(CAL!J:Q,B12,CAL!Q:Q)</f>
        <v>5</v>
      </c>
      <c r="P12" s="19" t="n">
        <f aca="false">Q12+R12</f>
        <v>5</v>
      </c>
      <c r="Q12" s="22" t="n">
        <v>1</v>
      </c>
      <c r="R12" s="22" t="n">
        <v>4</v>
      </c>
      <c r="S12" s="22" t="s">
        <v>5421</v>
      </c>
      <c r="T12" s="22" t="s">
        <v>5422</v>
      </c>
      <c r="U12" s="22" t="s">
        <v>5423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customFormat="false" ht="12" hidden="false" customHeight="true" outlineLevel="0" collapsed="false">
      <c r="A13" s="31" t="n">
        <v>12</v>
      </c>
      <c r="B13" s="32" t="s">
        <v>279</v>
      </c>
      <c r="C13" s="32" t="s">
        <v>5424</v>
      </c>
      <c r="D13" s="22" t="n">
        <f aca="false">SUMIF(CAL!B:E,B13,CAL!E:E)+SUMIF(CAL!J:M,B13,CAL!M:M)</f>
        <v>40</v>
      </c>
      <c r="E13" s="33" t="n">
        <f aca="false">COUNTIF(CAL!B:J,B13)</f>
        <v>20</v>
      </c>
      <c r="F13" s="22" t="n">
        <f aca="false">SUMIF(CAL!B:F,B13,CAL!F:F)+SUMIF(CAL!J:N,B13,CAL!N:N)</f>
        <v>12</v>
      </c>
      <c r="G13" s="22" t="n">
        <f aca="false">SUMIF(CAL!B:F,B13,CAL!G:G)+SUMIF(CAL!J:N,B13,CAL!O:O)</f>
        <v>4</v>
      </c>
      <c r="H13" s="22" t="n">
        <f aca="false">SUMIF(CAL!B:F,B13,CAL!H:H)+SUMIF(CAL!J:N,B13,CAL!P:P)</f>
        <v>4</v>
      </c>
      <c r="I13" s="34" t="n">
        <f aca="false">IF(E13=0,0,(D13/(E13*3)))</f>
        <v>0.666666666666667</v>
      </c>
      <c r="J13" s="33" t="n">
        <f aca="false">SUMIF(CAL!B:C,B13,CAL!C:C)+SUMIF(CAL!J:J,B13,CAL!D:D)</f>
        <v>38</v>
      </c>
      <c r="K13" s="22" t="n">
        <f aca="false">SUMIF(CAL!B:D,B13,CAL!D:D)+SUMIF(CAL!J:L,B13,CAL!K:K)</f>
        <v>18</v>
      </c>
      <c r="L13" s="22" t="n">
        <f aca="false">J13-K13</f>
        <v>20</v>
      </c>
      <c r="M13" s="35" t="n">
        <f aca="false">IF(E13=0,0,(J13/E13))</f>
        <v>1.9</v>
      </c>
      <c r="N13" s="35" t="n">
        <f aca="false">IF(E13=0,0,(K13/E13))</f>
        <v>0.9</v>
      </c>
      <c r="O13" s="22" t="n">
        <f aca="false">SUMIF(CAL!B:I,B13,CAL!I:I)+SUMIF(CAL!J:Q,B13,CAL!Q:Q)</f>
        <v>6</v>
      </c>
      <c r="P13" s="19" t="n">
        <f aca="false">Q13+R13</f>
        <v>4</v>
      </c>
      <c r="Q13" s="22" t="n">
        <v>4</v>
      </c>
      <c r="R13" s="22" t="n">
        <v>0</v>
      </c>
      <c r="S13" s="22" t="s">
        <v>5409</v>
      </c>
      <c r="T13" s="22" t="s">
        <v>5425</v>
      </c>
      <c r="U13" s="22" t="s">
        <v>5400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customFormat="false" ht="12" hidden="false" customHeight="true" outlineLevel="0" collapsed="false">
      <c r="A14" s="31" t="n">
        <v>13</v>
      </c>
      <c r="B14" s="32" t="s">
        <v>304</v>
      </c>
      <c r="C14" s="32" t="s">
        <v>5426</v>
      </c>
      <c r="D14" s="22" t="n">
        <f aca="false">SUMIF(CAL!B:E,B14,CAL!E:E)+SUMIF(CAL!J:M,B14,CAL!M:M)</f>
        <v>31</v>
      </c>
      <c r="E14" s="33" t="n">
        <f aca="false">COUNTIF(CAL!B:J,B14)</f>
        <v>17</v>
      </c>
      <c r="F14" s="22" t="n">
        <f aca="false">SUMIF(CAL!B:F,B14,CAL!F:F)+SUMIF(CAL!J:N,B14,CAL!N:N)</f>
        <v>9</v>
      </c>
      <c r="G14" s="22" t="n">
        <f aca="false">SUMIF(CAL!B:F,B14,CAL!G:G)+SUMIF(CAL!J:N,B14,CAL!O:O)</f>
        <v>4</v>
      </c>
      <c r="H14" s="22" t="n">
        <f aca="false">SUMIF(CAL!B:F,B14,CAL!H:H)+SUMIF(CAL!J:N,B14,CAL!P:P)</f>
        <v>4</v>
      </c>
      <c r="I14" s="34" t="n">
        <f aca="false">IF(E14=0,0,(D14/(E14*3)))</f>
        <v>0.607843137254902</v>
      </c>
      <c r="J14" s="33" t="n">
        <f aca="false">SUMIF(CAL!B:C,B14,CAL!C:C)+SUMIF(CAL!J:J,B14,CAL!D:D)</f>
        <v>24</v>
      </c>
      <c r="K14" s="22" t="n">
        <f aca="false">SUMIF(CAL!B:D,B14,CAL!D:D)+SUMIF(CAL!J:L,B14,CAL!K:K)</f>
        <v>18</v>
      </c>
      <c r="L14" s="22" t="n">
        <f aca="false">J14-K14</f>
        <v>6</v>
      </c>
      <c r="M14" s="35" t="n">
        <f aca="false">IF(E14=0,0,(J14/E14))</f>
        <v>1.41176470588235</v>
      </c>
      <c r="N14" s="35" t="n">
        <f aca="false">IF(E14=0,0,(K14/E14))</f>
        <v>1.05882352941176</v>
      </c>
      <c r="O14" s="22" t="n">
        <f aca="false">SUMIF(CAL!B:I,B14,CAL!I:I)+SUMIF(CAL!J:Q,B14,CAL!Q:Q)</f>
        <v>8</v>
      </c>
      <c r="P14" s="19" t="n">
        <f aca="false">Q14+R14</f>
        <v>4</v>
      </c>
      <c r="Q14" s="22" t="n">
        <v>3</v>
      </c>
      <c r="R14" s="22" t="n">
        <v>1</v>
      </c>
      <c r="S14" s="22" t="s">
        <v>5375</v>
      </c>
      <c r="T14" s="22" t="s">
        <v>5427</v>
      </c>
      <c r="U14" s="22" t="s">
        <v>5428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customFormat="false" ht="12" hidden="false" customHeight="true" outlineLevel="0" collapsed="false">
      <c r="A15" s="31" t="n">
        <v>14</v>
      </c>
      <c r="B15" s="32" t="s">
        <v>64</v>
      </c>
      <c r="C15" s="32" t="s">
        <v>5429</v>
      </c>
      <c r="D15" s="22" t="n">
        <f aca="false">SUMIF(CAL!B:E,B15,CAL!E:E)+SUMIF(CAL!J:M,B15,CAL!M:M)</f>
        <v>15</v>
      </c>
      <c r="E15" s="33" t="n">
        <f aca="false">COUNTIF(CAL!B:J,B15)</f>
        <v>9</v>
      </c>
      <c r="F15" s="22" t="n">
        <f aca="false">SUMIF(CAL!B:F,B15,CAL!F:F)+SUMIF(CAL!J:N,B15,CAL!N:N)</f>
        <v>4</v>
      </c>
      <c r="G15" s="22" t="n">
        <f aca="false">SUMIF(CAL!B:F,B15,CAL!G:G)+SUMIF(CAL!J:N,B15,CAL!O:O)</f>
        <v>3</v>
      </c>
      <c r="H15" s="22" t="n">
        <f aca="false">SUMIF(CAL!B:F,B15,CAL!H:H)+SUMIF(CAL!J:N,B15,CAL!P:P)</f>
        <v>2</v>
      </c>
      <c r="I15" s="34" t="n">
        <f aca="false">IF(E15=0,0,(D15/(E15*3)))</f>
        <v>0.555555555555556</v>
      </c>
      <c r="J15" s="33" t="n">
        <f aca="false">SUMIF(CAL!B:C,B15,CAL!C:C)+SUMIF(CAL!J:J,B15,CAL!D:D)</f>
        <v>9</v>
      </c>
      <c r="K15" s="22" t="n">
        <f aca="false">SUMIF(CAL!B:D,B15,CAL!D:D)+SUMIF(CAL!J:L,B15,CAL!K:K)</f>
        <v>7</v>
      </c>
      <c r="L15" s="22" t="n">
        <f aca="false">J15-K15</f>
        <v>2</v>
      </c>
      <c r="M15" s="35" t="n">
        <f aca="false">IF(E15=0,0,(J15/E15))</f>
        <v>1</v>
      </c>
      <c r="N15" s="35" t="n">
        <f aca="false">IF(E15=0,0,(K15/E15))</f>
        <v>0.777777777777778</v>
      </c>
      <c r="O15" s="22" t="n">
        <f aca="false">SUMIF(CAL!B:I,B15,CAL!I:I)+SUMIF(CAL!J:Q,B15,CAL!Q:Q)</f>
        <v>4</v>
      </c>
      <c r="P15" s="19" t="n">
        <f aca="false">Q15+R15</f>
        <v>4</v>
      </c>
      <c r="Q15" s="22" t="n">
        <v>3</v>
      </c>
      <c r="R15" s="22" t="n">
        <v>1</v>
      </c>
      <c r="S15" s="22" t="s">
        <v>5375</v>
      </c>
      <c r="T15" s="22" t="s">
        <v>5430</v>
      </c>
      <c r="U15" s="22" t="s">
        <v>5431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customFormat="false" ht="12" hidden="false" customHeight="true" outlineLevel="0" collapsed="false">
      <c r="A16" s="31" t="n">
        <v>15</v>
      </c>
      <c r="B16" s="32" t="s">
        <v>218</v>
      </c>
      <c r="C16" s="32" t="s">
        <v>5432</v>
      </c>
      <c r="D16" s="22" t="n">
        <f aca="false">SUMIF(CAL!B:E,B16,CAL!E:E)+SUMIF(CAL!J:M,B16,CAL!M:M)</f>
        <v>37</v>
      </c>
      <c r="E16" s="33" t="n">
        <f aca="false">COUNTIF(CAL!B:J,B16)</f>
        <v>21</v>
      </c>
      <c r="F16" s="22" t="n">
        <f aca="false">SUMIF(CAL!B:F,B16,CAL!F:F)+SUMIF(CAL!J:N,B16,CAL!N:N)</f>
        <v>11</v>
      </c>
      <c r="G16" s="22" t="n">
        <f aca="false">SUMIF(CAL!B:F,B16,CAL!G:G)+SUMIF(CAL!J:N,B16,CAL!O:O)</f>
        <v>4</v>
      </c>
      <c r="H16" s="22" t="n">
        <f aca="false">SUMIF(CAL!B:F,B16,CAL!H:H)+SUMIF(CAL!J:N,B16,CAL!P:P)</f>
        <v>6</v>
      </c>
      <c r="I16" s="34" t="n">
        <f aca="false">IF(E16=0,0,(D16/(E16*3)))</f>
        <v>0.587301587301587</v>
      </c>
      <c r="J16" s="33" t="n">
        <f aca="false">SUMIF(CAL!B:C,B16,CAL!C:C)+SUMIF(CAL!J:J,B16,CAL!D:D)</f>
        <v>34</v>
      </c>
      <c r="K16" s="22" t="n">
        <f aca="false">SUMIF(CAL!B:D,B16,CAL!D:D)+SUMIF(CAL!J:L,B16,CAL!K:K)</f>
        <v>20</v>
      </c>
      <c r="L16" s="22" t="n">
        <f aca="false">J16-K16</f>
        <v>14</v>
      </c>
      <c r="M16" s="35" t="n">
        <f aca="false">IF(E16=0,0,(J16/E16))</f>
        <v>1.61904761904762</v>
      </c>
      <c r="N16" s="35" t="n">
        <f aca="false">IF(E16=0,0,(K16/E16))</f>
        <v>0.952380952380952</v>
      </c>
      <c r="O16" s="22" t="n">
        <f aca="false">SUMIF(CAL!B:I,B16,CAL!I:I)+SUMIF(CAL!J:Q,B16,CAL!Q:Q)</f>
        <v>7</v>
      </c>
      <c r="P16" s="19" t="n">
        <f aca="false">Q16+R16</f>
        <v>4</v>
      </c>
      <c r="Q16" s="22" t="n">
        <v>3</v>
      </c>
      <c r="R16" s="22" t="n">
        <v>1</v>
      </c>
      <c r="S16" s="22" t="s">
        <v>5409</v>
      </c>
      <c r="T16" s="22" t="s">
        <v>5433</v>
      </c>
      <c r="U16" s="22" t="s">
        <v>5434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customFormat="false" ht="12" hidden="false" customHeight="true" outlineLevel="0" collapsed="false">
      <c r="A17" s="31" t="n">
        <v>16</v>
      </c>
      <c r="B17" s="32" t="s">
        <v>255</v>
      </c>
      <c r="C17" s="32" t="s">
        <v>5435</v>
      </c>
      <c r="D17" s="22" t="n">
        <f aca="false">SUMIF(CAL!B:E,B17,CAL!E:E)+SUMIF(CAL!J:M,B17,CAL!M:M)</f>
        <v>44</v>
      </c>
      <c r="E17" s="33" t="n">
        <f aca="false">COUNTIF(CAL!B:J,B17)</f>
        <v>21</v>
      </c>
      <c r="F17" s="22" t="n">
        <f aca="false">SUMIF(CAL!B:F,B17,CAL!F:F)+SUMIF(CAL!J:N,B17,CAL!N:N)</f>
        <v>13</v>
      </c>
      <c r="G17" s="22" t="n">
        <f aca="false">SUMIF(CAL!B:F,B17,CAL!G:G)+SUMIF(CAL!J:N,B17,CAL!O:O)</f>
        <v>5</v>
      </c>
      <c r="H17" s="22" t="n">
        <f aca="false">SUMIF(CAL!B:F,B17,CAL!H:H)+SUMIF(CAL!J:N,B17,CAL!P:P)</f>
        <v>3</v>
      </c>
      <c r="I17" s="34" t="n">
        <f aca="false">IF(E17=0,0,(D17/(E17*3)))</f>
        <v>0.698412698412698</v>
      </c>
      <c r="J17" s="33" t="n">
        <f aca="false">SUMIF(CAL!B:C,B17,CAL!C:C)+SUMIF(CAL!J:J,B17,CAL!D:D)</f>
        <v>31</v>
      </c>
      <c r="K17" s="22" t="n">
        <f aca="false">SUMIF(CAL!B:D,B17,CAL!D:D)+SUMIF(CAL!J:L,B17,CAL!K:K)</f>
        <v>18</v>
      </c>
      <c r="L17" s="22" t="n">
        <f aca="false">J17-K17</f>
        <v>13</v>
      </c>
      <c r="M17" s="35" t="n">
        <f aca="false">IF(E17=0,0,(J17/E17))</f>
        <v>1.47619047619048</v>
      </c>
      <c r="N17" s="35" t="n">
        <f aca="false">IF(E17=0,0,(K17/E17))</f>
        <v>0.857142857142857</v>
      </c>
      <c r="O17" s="22" t="n">
        <f aca="false">SUMIF(CAL!B:I,B17,CAL!I:I)+SUMIF(CAL!J:Q,B17,CAL!Q:Q)</f>
        <v>8</v>
      </c>
      <c r="P17" s="19" t="n">
        <f aca="false">Q17+R17</f>
        <v>4</v>
      </c>
      <c r="Q17" s="22" t="n">
        <v>2</v>
      </c>
      <c r="R17" s="22" t="n">
        <v>2</v>
      </c>
      <c r="S17" s="22" t="s">
        <v>5421</v>
      </c>
      <c r="T17" s="22" t="s">
        <v>5436</v>
      </c>
      <c r="U17" s="22" t="s">
        <v>5380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customFormat="false" ht="12" hidden="false" customHeight="true" outlineLevel="0" collapsed="false">
      <c r="A18" s="31" t="n">
        <v>17</v>
      </c>
      <c r="B18" s="32" t="s">
        <v>159</v>
      </c>
      <c r="C18" s="32" t="s">
        <v>5437</v>
      </c>
      <c r="D18" s="22" t="n">
        <f aca="false">SUMIF(CAL!B:E,B18,CAL!E:E)+SUMIF(CAL!J:M,B18,CAL!M:M)</f>
        <v>38</v>
      </c>
      <c r="E18" s="33" t="n">
        <f aca="false">COUNTIF(CAL!B:J,B18)</f>
        <v>21</v>
      </c>
      <c r="F18" s="22" t="n">
        <f aca="false">SUMIF(CAL!B:F,B18,CAL!F:F)+SUMIF(CAL!J:N,B18,CAL!N:N)</f>
        <v>11</v>
      </c>
      <c r="G18" s="22" t="n">
        <f aca="false">SUMIF(CAL!B:F,B18,CAL!G:G)+SUMIF(CAL!J:N,B18,CAL!O:O)</f>
        <v>5</v>
      </c>
      <c r="H18" s="22" t="n">
        <f aca="false">SUMIF(CAL!B:F,B18,CAL!H:H)+SUMIF(CAL!J:N,B18,CAL!P:P)</f>
        <v>5</v>
      </c>
      <c r="I18" s="34" t="n">
        <f aca="false">IF(E18=0,0,(D18/(E18*3)))</f>
        <v>0.603174603174603</v>
      </c>
      <c r="J18" s="33" t="n">
        <f aca="false">SUMIF(CAL!B:C,B18,CAL!C:C)+SUMIF(CAL!J:J,B18,CAL!D:D)</f>
        <v>33</v>
      </c>
      <c r="K18" s="22" t="n">
        <f aca="false">SUMIF(CAL!B:D,B18,CAL!D:D)+SUMIF(CAL!J:L,B18,CAL!K:K)</f>
        <v>19</v>
      </c>
      <c r="L18" s="22" t="n">
        <f aca="false">J18-K18</f>
        <v>14</v>
      </c>
      <c r="M18" s="35" t="n">
        <f aca="false">IF(E18=0,0,(J18/E18))</f>
        <v>1.57142857142857</v>
      </c>
      <c r="N18" s="35" t="n">
        <f aca="false">IF(E18=0,0,(K18/E18))</f>
        <v>0.904761904761905</v>
      </c>
      <c r="O18" s="22" t="n">
        <f aca="false">SUMIF(CAL!B:I,B18,CAL!I:I)+SUMIF(CAL!J:Q,B18,CAL!Q:Q)</f>
        <v>10</v>
      </c>
      <c r="P18" s="19" t="n">
        <f aca="false">Q18+R18</f>
        <v>4</v>
      </c>
      <c r="Q18" s="22" t="n">
        <v>2</v>
      </c>
      <c r="R18" s="22" t="n">
        <v>2</v>
      </c>
      <c r="S18" s="22" t="s">
        <v>5375</v>
      </c>
      <c r="T18" s="22" t="s">
        <v>5438</v>
      </c>
      <c r="U18" s="22" t="s">
        <v>5414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customFormat="false" ht="12" hidden="false" customHeight="true" outlineLevel="0" collapsed="false">
      <c r="A19" s="31" t="n">
        <v>18</v>
      </c>
      <c r="B19" s="32" t="s">
        <v>265</v>
      </c>
      <c r="C19" s="32" t="s">
        <v>5439</v>
      </c>
      <c r="D19" s="22" t="n">
        <f aca="false">SUMIF(CAL!B:E,B19,CAL!E:E)+SUMIF(CAL!J:M,B19,CAL!M:M)</f>
        <v>26</v>
      </c>
      <c r="E19" s="33" t="n">
        <f aca="false">COUNTIF(CAL!B:J,B19)</f>
        <v>17</v>
      </c>
      <c r="F19" s="22" t="n">
        <f aca="false">SUMIF(CAL!B:F,B19,CAL!F:F)+SUMIF(CAL!J:N,B19,CAL!N:N)</f>
        <v>7</v>
      </c>
      <c r="G19" s="22" t="n">
        <f aca="false">SUMIF(CAL!B:F,B19,CAL!G:G)+SUMIF(CAL!J:N,B19,CAL!O:O)</f>
        <v>5</v>
      </c>
      <c r="H19" s="22" t="n">
        <f aca="false">SUMIF(CAL!B:F,B19,CAL!H:H)+SUMIF(CAL!J:N,B19,CAL!P:P)</f>
        <v>5</v>
      </c>
      <c r="I19" s="34" t="n">
        <f aca="false">IF(E19=0,0,(D19/(E19*3)))</f>
        <v>0.509803921568627</v>
      </c>
      <c r="J19" s="33" t="n">
        <f aca="false">SUMIF(CAL!B:C,B19,CAL!C:C)+SUMIF(CAL!J:J,B19,CAL!D:D)</f>
        <v>24</v>
      </c>
      <c r="K19" s="22" t="n">
        <f aca="false">SUMIF(CAL!B:D,B19,CAL!D:D)+SUMIF(CAL!J:L,B19,CAL!K:K)</f>
        <v>26</v>
      </c>
      <c r="L19" s="22" t="n">
        <f aca="false">J19-K19</f>
        <v>-2</v>
      </c>
      <c r="M19" s="35" t="n">
        <f aca="false">IF(E19=0,0,(J19/E19))</f>
        <v>1.41176470588235</v>
      </c>
      <c r="N19" s="35" t="n">
        <f aca="false">IF(E19=0,0,(K19/E19))</f>
        <v>1.52941176470588</v>
      </c>
      <c r="O19" s="22" t="n">
        <f aca="false">SUMIF(CAL!B:I,B19,CAL!I:I)+SUMIF(CAL!J:Q,B19,CAL!Q:Q)</f>
        <v>4</v>
      </c>
      <c r="P19" s="19" t="n">
        <f aca="false">Q19+R19</f>
        <v>4</v>
      </c>
      <c r="Q19" s="22" t="n">
        <v>2</v>
      </c>
      <c r="R19" s="22" t="n">
        <v>2</v>
      </c>
      <c r="S19" s="22" t="s">
        <v>5440</v>
      </c>
      <c r="T19" s="22" t="s">
        <v>5441</v>
      </c>
      <c r="U19" s="22" t="s">
        <v>5423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customFormat="false" ht="12" hidden="false" customHeight="true" outlineLevel="0" collapsed="false">
      <c r="A20" s="31" t="n">
        <v>19</v>
      </c>
      <c r="B20" s="32" t="s">
        <v>109</v>
      </c>
      <c r="C20" s="32" t="s">
        <v>5442</v>
      </c>
      <c r="D20" s="22" t="n">
        <f aca="false">SUMIF(CAL!B:E,B20,CAL!E:E)+SUMIF(CAL!J:M,B20,CAL!M:M)</f>
        <v>35</v>
      </c>
      <c r="E20" s="33" t="n">
        <f aca="false">COUNTIF(CAL!B:J,B20)</f>
        <v>21</v>
      </c>
      <c r="F20" s="22" t="n">
        <f aca="false">SUMIF(CAL!B:F,B20,CAL!F:F)+SUMIF(CAL!J:N,B20,CAL!N:N)</f>
        <v>9</v>
      </c>
      <c r="G20" s="22" t="n">
        <f aca="false">SUMIF(CAL!B:F,B20,CAL!G:G)+SUMIF(CAL!J:N,B20,CAL!O:O)</f>
        <v>8</v>
      </c>
      <c r="H20" s="22" t="n">
        <f aca="false">SUMIF(CAL!B:F,B20,CAL!H:H)+SUMIF(CAL!J:N,B20,CAL!P:P)</f>
        <v>4</v>
      </c>
      <c r="I20" s="34" t="n">
        <f aca="false">IF(E20=0,0,(D20/(E20*3)))</f>
        <v>0.555555555555556</v>
      </c>
      <c r="J20" s="33" t="n">
        <f aca="false">SUMIF(CAL!B:C,B20,CAL!C:C)+SUMIF(CAL!J:J,B20,CAL!D:D)</f>
        <v>36</v>
      </c>
      <c r="K20" s="22" t="n">
        <f aca="false">SUMIF(CAL!B:D,B20,CAL!D:D)+SUMIF(CAL!J:L,B20,CAL!K:K)</f>
        <v>20</v>
      </c>
      <c r="L20" s="22" t="n">
        <f aca="false">J20-K20</f>
        <v>16</v>
      </c>
      <c r="M20" s="35" t="n">
        <f aca="false">IF(E20=0,0,(J20/E20))</f>
        <v>1.71428571428571</v>
      </c>
      <c r="N20" s="35" t="n">
        <f aca="false">IF(E20=0,0,(K20/E20))</f>
        <v>0.952380952380952</v>
      </c>
      <c r="O20" s="22" t="n">
        <f aca="false">SUMIF(CAL!B:I,B20,CAL!I:I)+SUMIF(CAL!J:Q,B20,CAL!Q:Q)</f>
        <v>7</v>
      </c>
      <c r="P20" s="19" t="n">
        <f aca="false">Q20+R20</f>
        <v>4</v>
      </c>
      <c r="Q20" s="22" t="n">
        <v>2</v>
      </c>
      <c r="R20" s="22" t="n">
        <v>2</v>
      </c>
      <c r="S20" s="22" t="s">
        <v>5375</v>
      </c>
      <c r="T20" s="22" t="s">
        <v>5441</v>
      </c>
      <c r="U20" s="22" t="s">
        <v>5423</v>
      </c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customFormat="false" ht="12" hidden="false" customHeight="true" outlineLevel="0" collapsed="false">
      <c r="A21" s="31" t="n">
        <v>20</v>
      </c>
      <c r="B21" s="32" t="s">
        <v>285</v>
      </c>
      <c r="C21" s="32" t="s">
        <v>5443</v>
      </c>
      <c r="D21" s="22" t="n">
        <f aca="false">SUMIF(CAL!B:E,B21,CAL!E:E)+SUMIF(CAL!J:M,B21,CAL!M:M)</f>
        <v>15</v>
      </c>
      <c r="E21" s="33" t="n">
        <f aca="false">COUNTIF(CAL!B:J,B21)</f>
        <v>12</v>
      </c>
      <c r="F21" s="22" t="n">
        <f aca="false">SUMIF(CAL!B:F,B21,CAL!F:F)+SUMIF(CAL!J:N,B21,CAL!N:N)</f>
        <v>4</v>
      </c>
      <c r="G21" s="22" t="n">
        <f aca="false">SUMIF(CAL!B:F,B21,CAL!G:G)+SUMIF(CAL!J:N,B21,CAL!O:O)</f>
        <v>3</v>
      </c>
      <c r="H21" s="22" t="n">
        <f aca="false">SUMIF(CAL!B:F,B21,CAL!H:H)+SUMIF(CAL!J:N,B21,CAL!P:P)</f>
        <v>5</v>
      </c>
      <c r="I21" s="34" t="n">
        <f aca="false">IF(E21=0,0,(D21/(E21*3)))</f>
        <v>0.416666666666667</v>
      </c>
      <c r="J21" s="33" t="n">
        <f aca="false">SUMIF(CAL!B:C,B21,CAL!C:C)+SUMIF(CAL!J:J,B21,CAL!D:D)</f>
        <v>11</v>
      </c>
      <c r="K21" s="22" t="n">
        <f aca="false">SUMIF(CAL!B:D,B21,CAL!D:D)+SUMIF(CAL!J:L,B21,CAL!K:K)</f>
        <v>12</v>
      </c>
      <c r="L21" s="22" t="n">
        <f aca="false">J21-K21</f>
        <v>-1</v>
      </c>
      <c r="M21" s="35" t="n">
        <f aca="false">IF(E21=0,0,(J21/E21))</f>
        <v>0.916666666666667</v>
      </c>
      <c r="N21" s="35" t="n">
        <f aca="false">IF(E21=0,0,(K21/E21))</f>
        <v>1</v>
      </c>
      <c r="O21" s="22" t="n">
        <f aca="false">SUMIF(CAL!B:I,B21,CAL!I:I)+SUMIF(CAL!J:Q,B21,CAL!Q:Q)</f>
        <v>3</v>
      </c>
      <c r="P21" s="19" t="n">
        <f aca="false">Q21+R21</f>
        <v>3</v>
      </c>
      <c r="Q21" s="22" t="n">
        <v>2</v>
      </c>
      <c r="R21" s="22" t="n">
        <v>1</v>
      </c>
      <c r="S21" s="22" t="s">
        <v>5375</v>
      </c>
      <c r="T21" s="22" t="s">
        <v>5444</v>
      </c>
      <c r="U21" s="22" t="s">
        <v>5397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customFormat="false" ht="12" hidden="false" customHeight="true" outlineLevel="0" collapsed="false">
      <c r="A22" s="31" t="n">
        <v>21</v>
      </c>
      <c r="B22" s="32" t="s">
        <v>267</v>
      </c>
      <c r="C22" s="32" t="s">
        <v>5445</v>
      </c>
      <c r="D22" s="22" t="n">
        <f aca="false">SUMIF(CAL!B:E,B22,CAL!E:E)+SUMIF(CAL!J:M,B22,CAL!M:M)</f>
        <v>33</v>
      </c>
      <c r="E22" s="33" t="n">
        <f aca="false">COUNTIF(CAL!B:J,B22)</f>
        <v>24</v>
      </c>
      <c r="F22" s="22" t="n">
        <f aca="false">SUMIF(CAL!B:F,B22,CAL!F:F)+SUMIF(CAL!J:N,B22,CAL!N:N)</f>
        <v>10</v>
      </c>
      <c r="G22" s="22" t="n">
        <f aca="false">SUMIF(CAL!B:F,B22,CAL!G:G)+SUMIF(CAL!J:N,B22,CAL!O:O)</f>
        <v>3</v>
      </c>
      <c r="H22" s="22" t="n">
        <f aca="false">SUMIF(CAL!B:F,B22,CAL!H:H)+SUMIF(CAL!J:N,B22,CAL!P:P)</f>
        <v>11</v>
      </c>
      <c r="I22" s="34" t="n">
        <f aca="false">IF(E22=0,0,(D22/(E22*3)))</f>
        <v>0.458333333333333</v>
      </c>
      <c r="J22" s="33" t="n">
        <f aca="false">SUMIF(CAL!B:C,B22,CAL!C:C)+SUMIF(CAL!J:J,B22,CAL!D:D)</f>
        <v>32</v>
      </c>
      <c r="K22" s="22" t="n">
        <f aca="false">SUMIF(CAL!B:D,B22,CAL!D:D)+SUMIF(CAL!J:L,B22,CAL!K:K)</f>
        <v>31</v>
      </c>
      <c r="L22" s="22" t="n">
        <f aca="false">J22-K22</f>
        <v>1</v>
      </c>
      <c r="M22" s="35" t="n">
        <f aca="false">IF(E22=0,0,(J22/E22))</f>
        <v>1.33333333333333</v>
      </c>
      <c r="N22" s="35" t="n">
        <f aca="false">IF(E22=0,0,(K22/E22))</f>
        <v>1.29166666666667</v>
      </c>
      <c r="O22" s="22" t="n">
        <f aca="false">SUMIF(CAL!B:I,B22,CAL!I:I)+SUMIF(CAL!J:Q,B22,CAL!Q:Q)</f>
        <v>7</v>
      </c>
      <c r="P22" s="19" t="n">
        <f aca="false">Q22+R22</f>
        <v>3</v>
      </c>
      <c r="Q22" s="22" t="n">
        <v>2</v>
      </c>
      <c r="R22" s="22" t="n">
        <v>1</v>
      </c>
      <c r="S22" s="22" t="s">
        <v>5440</v>
      </c>
      <c r="T22" s="22" t="s">
        <v>5446</v>
      </c>
      <c r="U22" s="22" t="s">
        <v>5447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customFormat="false" ht="12" hidden="false" customHeight="true" outlineLevel="0" collapsed="false">
      <c r="A23" s="31" t="n">
        <v>22</v>
      </c>
      <c r="B23" s="32" t="s">
        <v>93</v>
      </c>
      <c r="C23" s="32" t="s">
        <v>5448</v>
      </c>
      <c r="D23" s="22" t="n">
        <f aca="false">SUMIF(CAL!B:E,B23,CAL!E:E)+SUMIF(CAL!J:M,B23,CAL!M:M)</f>
        <v>41</v>
      </c>
      <c r="E23" s="33" t="n">
        <f aca="false">COUNTIF(CAL!B:J,B23)</f>
        <v>20</v>
      </c>
      <c r="F23" s="22" t="n">
        <f aca="false">SUMIF(CAL!B:F,B23,CAL!F:F)+SUMIF(CAL!J:N,B23,CAL!N:N)</f>
        <v>11</v>
      </c>
      <c r="G23" s="22" t="n">
        <f aca="false">SUMIF(CAL!B:F,B23,CAL!G:G)+SUMIF(CAL!J:N,B23,CAL!O:O)</f>
        <v>8</v>
      </c>
      <c r="H23" s="22" t="n">
        <f aca="false">SUMIF(CAL!B:F,B23,CAL!H:H)+SUMIF(CAL!J:N,B23,CAL!P:P)</f>
        <v>1</v>
      </c>
      <c r="I23" s="34" t="n">
        <f aca="false">IF(E23=0,0,(D23/(E23*3)))</f>
        <v>0.683333333333333</v>
      </c>
      <c r="J23" s="33" t="n">
        <f aca="false">SUMIF(CAL!B:C,B23,CAL!C:C)+SUMIF(CAL!J:J,B23,CAL!D:D)</f>
        <v>36</v>
      </c>
      <c r="K23" s="22" t="n">
        <f aca="false">SUMIF(CAL!B:D,B23,CAL!D:D)+SUMIF(CAL!J:L,B23,CAL!K:K)</f>
        <v>12</v>
      </c>
      <c r="L23" s="22" t="n">
        <f aca="false">J23-K23</f>
        <v>24</v>
      </c>
      <c r="M23" s="35" t="n">
        <f aca="false">IF(E23=0,0,(J23/E23))</f>
        <v>1.8</v>
      </c>
      <c r="N23" s="35" t="n">
        <f aca="false">IF(E23=0,0,(K23/E23))</f>
        <v>0.6</v>
      </c>
      <c r="O23" s="22" t="n">
        <f aca="false">SUMIF(CAL!B:I,B23,CAL!I:I)+SUMIF(CAL!J:Q,B23,CAL!Q:Q)</f>
        <v>10</v>
      </c>
      <c r="P23" s="19" t="n">
        <f aca="false">Q23+R23</f>
        <v>3</v>
      </c>
      <c r="Q23" s="22" t="n">
        <v>2</v>
      </c>
      <c r="R23" s="22" t="n">
        <v>1</v>
      </c>
      <c r="S23" s="22" t="s">
        <v>5409</v>
      </c>
      <c r="T23" s="22" t="s">
        <v>5449</v>
      </c>
      <c r="U23" s="22" t="s">
        <v>5450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customFormat="false" ht="12" hidden="false" customHeight="true" outlineLevel="0" collapsed="false">
      <c r="A24" s="31" t="n">
        <v>23</v>
      </c>
      <c r="B24" s="32" t="s">
        <v>33</v>
      </c>
      <c r="C24" s="32" t="s">
        <v>5451</v>
      </c>
      <c r="D24" s="22" t="n">
        <f aca="false">SUMIF(CAL!B:E,B24,CAL!E:E)+SUMIF(CAL!J:M,B24,CAL!M:M)</f>
        <v>22</v>
      </c>
      <c r="E24" s="33" t="n">
        <f aca="false">COUNTIF(CAL!B:J,B24)</f>
        <v>14</v>
      </c>
      <c r="F24" s="22" t="n">
        <f aca="false">SUMIF(CAL!B:F,B24,CAL!F:F)+SUMIF(CAL!J:N,B24,CAL!N:N)</f>
        <v>6</v>
      </c>
      <c r="G24" s="22" t="n">
        <f aca="false">SUMIF(CAL!B:F,B24,CAL!G:G)+SUMIF(CAL!J:N,B24,CAL!O:O)</f>
        <v>4</v>
      </c>
      <c r="H24" s="22" t="n">
        <f aca="false">SUMIF(CAL!B:F,B24,CAL!H:H)+SUMIF(CAL!J:N,B24,CAL!P:P)</f>
        <v>4</v>
      </c>
      <c r="I24" s="34" t="n">
        <f aca="false">IF(E24=0,0,(D24/(E24*3)))</f>
        <v>0.523809523809524</v>
      </c>
      <c r="J24" s="33" t="n">
        <f aca="false">SUMIF(CAL!B:C,B24,CAL!C:C)+SUMIF(CAL!J:J,B24,CAL!D:D)</f>
        <v>14</v>
      </c>
      <c r="K24" s="22" t="n">
        <f aca="false">SUMIF(CAL!B:D,B24,CAL!D:D)+SUMIF(CAL!J:L,B24,CAL!K:K)</f>
        <v>16</v>
      </c>
      <c r="L24" s="22" t="n">
        <f aca="false">J24-K24</f>
        <v>-2</v>
      </c>
      <c r="M24" s="35" t="n">
        <f aca="false">IF(E24=0,0,(J24/E24))</f>
        <v>1</v>
      </c>
      <c r="N24" s="35" t="n">
        <f aca="false">IF(E24=0,0,(K24/E24))</f>
        <v>1.14285714285714</v>
      </c>
      <c r="O24" s="22" t="n">
        <f aca="false">SUMIF(CAL!B:I,B24,CAL!I:I)+SUMIF(CAL!J:Q,B24,CAL!Q:Q)</f>
        <v>6</v>
      </c>
      <c r="P24" s="19" t="n">
        <f aca="false">Q24+R24</f>
        <v>3</v>
      </c>
      <c r="Q24" s="22" t="n">
        <v>2</v>
      </c>
      <c r="R24" s="22" t="n">
        <v>1</v>
      </c>
      <c r="S24" s="22" t="s">
        <v>5375</v>
      </c>
      <c r="T24" s="22" t="s">
        <v>5452</v>
      </c>
      <c r="U24" s="22" t="s">
        <v>5453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customFormat="false" ht="12" hidden="false" customHeight="true" outlineLevel="0" collapsed="false">
      <c r="A25" s="31" t="n">
        <v>24</v>
      </c>
      <c r="B25" s="37" t="s">
        <v>303</v>
      </c>
      <c r="C25" s="37" t="s">
        <v>5454</v>
      </c>
      <c r="D25" s="22" t="n">
        <f aca="false">SUMIF(CAL!B:E,B25,CAL!E:E)+SUMIF(CAL!J:M,B25,CAL!M:M)</f>
        <v>29</v>
      </c>
      <c r="E25" s="33" t="n">
        <f aca="false">COUNTIF(CAL!B:J,B25)</f>
        <v>24</v>
      </c>
      <c r="F25" s="22" t="n">
        <f aca="false">SUMIF(CAL!B:F,B25,CAL!F:F)+SUMIF(CAL!J:N,B25,CAL!N:N)</f>
        <v>6</v>
      </c>
      <c r="G25" s="22" t="n">
        <f aca="false">SUMIF(CAL!B:F,B25,CAL!G:G)+SUMIF(CAL!J:N,B25,CAL!O:O)</f>
        <v>11</v>
      </c>
      <c r="H25" s="22" t="n">
        <f aca="false">SUMIF(CAL!B:F,B25,CAL!H:H)+SUMIF(CAL!J:N,B25,CAL!P:P)</f>
        <v>7</v>
      </c>
      <c r="I25" s="34" t="n">
        <f aca="false">IF(E25=0,0,(D25/(E25*3)))</f>
        <v>0.402777777777778</v>
      </c>
      <c r="J25" s="33" t="n">
        <f aca="false">SUMIF(CAL!B:C,B25,CAL!C:C)+SUMIF(CAL!J:J,B25,CAL!D:D)</f>
        <v>29</v>
      </c>
      <c r="K25" s="22" t="n">
        <f aca="false">SUMIF(CAL!B:D,B25,CAL!D:D)+SUMIF(CAL!J:L,B25,CAL!K:K)</f>
        <v>31</v>
      </c>
      <c r="L25" s="22" t="n">
        <f aca="false">J25-K25</f>
        <v>-2</v>
      </c>
      <c r="M25" s="35" t="n">
        <f aca="false">IF(E25=0,0,(J25/E25))</f>
        <v>1.20833333333333</v>
      </c>
      <c r="N25" s="35" t="n">
        <f aca="false">IF(E25=0,0,(K25/E25))</f>
        <v>1.29166666666667</v>
      </c>
      <c r="O25" s="22" t="n">
        <f aca="false">SUMIF(CAL!B:I,B25,CAL!I:I)+SUMIF(CAL!J:Q,B25,CAL!Q:Q)</f>
        <v>5</v>
      </c>
      <c r="P25" s="19" t="n">
        <f aca="false">Q25+R25</f>
        <v>3</v>
      </c>
      <c r="Q25" s="22" t="n">
        <v>2</v>
      </c>
      <c r="R25" s="22" t="n">
        <v>1</v>
      </c>
      <c r="S25" s="22" t="s">
        <v>5421</v>
      </c>
      <c r="T25" s="22" t="s">
        <v>5455</v>
      </c>
      <c r="U25" s="22" t="s">
        <v>5431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customFormat="false" ht="12" hidden="false" customHeight="true" outlineLevel="0" collapsed="false">
      <c r="A26" s="31" t="n">
        <v>25</v>
      </c>
      <c r="B26" s="32" t="s">
        <v>235</v>
      </c>
      <c r="C26" s="32" t="s">
        <v>5456</v>
      </c>
      <c r="D26" s="22" t="n">
        <f aca="false">SUMIF(CAL!B:E,B26,CAL!E:E)+SUMIF(CAL!J:M,B26,CAL!M:M)</f>
        <v>39</v>
      </c>
      <c r="E26" s="33" t="n">
        <f aca="false">COUNTIF(CAL!B:J,B26)</f>
        <v>21</v>
      </c>
      <c r="F26" s="22" t="n">
        <f aca="false">SUMIF(CAL!B:F,B26,CAL!F:F)+SUMIF(CAL!J:N,B26,CAL!N:N)</f>
        <v>12</v>
      </c>
      <c r="G26" s="22" t="n">
        <f aca="false">SUMIF(CAL!B:F,B26,CAL!G:G)+SUMIF(CAL!J:N,B26,CAL!O:O)</f>
        <v>3</v>
      </c>
      <c r="H26" s="22" t="n">
        <f aca="false">SUMIF(CAL!B:F,B26,CAL!H:H)+SUMIF(CAL!J:N,B26,CAL!P:P)</f>
        <v>6</v>
      </c>
      <c r="I26" s="34" t="n">
        <f aca="false">IF(E26=0,0,(D26/(E26*3)))</f>
        <v>0.619047619047619</v>
      </c>
      <c r="J26" s="33" t="n">
        <f aca="false">SUMIF(CAL!B:C,B26,CAL!C:C)+SUMIF(CAL!J:J,B26,CAL!D:D)</f>
        <v>30</v>
      </c>
      <c r="K26" s="22" t="n">
        <f aca="false">SUMIF(CAL!B:D,B26,CAL!D:D)+SUMIF(CAL!J:L,B26,CAL!K:K)</f>
        <v>22</v>
      </c>
      <c r="L26" s="22" t="n">
        <f aca="false">J26-K26</f>
        <v>8</v>
      </c>
      <c r="M26" s="35" t="n">
        <f aca="false">IF(E26=0,0,(J26/E26))</f>
        <v>1.42857142857143</v>
      </c>
      <c r="N26" s="35" t="n">
        <f aca="false">IF(E26=0,0,(K26/E26))</f>
        <v>1.04761904761905</v>
      </c>
      <c r="O26" s="22" t="n">
        <f aca="false">SUMIF(CAL!B:I,B26,CAL!I:I)+SUMIF(CAL!J:Q,B26,CAL!Q:Q)</f>
        <v>6</v>
      </c>
      <c r="P26" s="19" t="n">
        <f aca="false">Q26+R26</f>
        <v>3</v>
      </c>
      <c r="Q26" s="22" t="n">
        <v>2</v>
      </c>
      <c r="R26" s="22" t="n">
        <v>1</v>
      </c>
      <c r="S26" s="22" t="s">
        <v>5375</v>
      </c>
      <c r="T26" s="22" t="s">
        <v>5457</v>
      </c>
      <c r="U26" s="22" t="s">
        <v>5458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customFormat="false" ht="12" hidden="false" customHeight="true" outlineLevel="0" collapsed="false">
      <c r="A27" s="31" t="n">
        <v>26</v>
      </c>
      <c r="B27" s="32" t="s">
        <v>384</v>
      </c>
      <c r="C27" s="32" t="s">
        <v>5459</v>
      </c>
      <c r="D27" s="22" t="n">
        <f aca="false">SUMIF(CAL!B:E,B27,CAL!E:E)+SUMIF(CAL!J:M,B27,CAL!M:M)</f>
        <v>19</v>
      </c>
      <c r="E27" s="33" t="n">
        <f aca="false">COUNTIF(CAL!B:J,B27)</f>
        <v>12</v>
      </c>
      <c r="F27" s="22" t="n">
        <f aca="false">SUMIF(CAL!B:F,B27,CAL!F:F)+SUMIF(CAL!J:N,B27,CAL!N:N)</f>
        <v>5</v>
      </c>
      <c r="G27" s="22" t="n">
        <f aca="false">SUMIF(CAL!B:F,B27,CAL!G:G)+SUMIF(CAL!J:N,B27,CAL!O:O)</f>
        <v>4</v>
      </c>
      <c r="H27" s="22" t="n">
        <f aca="false">SUMIF(CAL!B:F,B27,CAL!H:H)+SUMIF(CAL!J:N,B27,CAL!P:P)</f>
        <v>3</v>
      </c>
      <c r="I27" s="34" t="n">
        <f aca="false">IF(E27=0,0,(D27/(E27*3)))</f>
        <v>0.527777777777778</v>
      </c>
      <c r="J27" s="33" t="n">
        <f aca="false">SUMIF(CAL!B:C,B27,CAL!C:C)+SUMIF(CAL!J:J,B27,CAL!D:D)</f>
        <v>23</v>
      </c>
      <c r="K27" s="22" t="n">
        <f aca="false">SUMIF(CAL!B:D,B27,CAL!D:D)+SUMIF(CAL!J:L,B27,CAL!K:K)</f>
        <v>15</v>
      </c>
      <c r="L27" s="22" t="n">
        <f aca="false">J27-K27</f>
        <v>8</v>
      </c>
      <c r="M27" s="35" t="n">
        <f aca="false">IF(E27=0,0,(J27/E27))</f>
        <v>1.91666666666667</v>
      </c>
      <c r="N27" s="35" t="n">
        <f aca="false">IF(E27=0,0,(K27/E27))</f>
        <v>1.25</v>
      </c>
      <c r="O27" s="22" t="n">
        <f aca="false">SUMIF(CAL!B:I,B27,CAL!I:I)+SUMIF(CAL!J:Q,B27,CAL!Q:Q)</f>
        <v>4</v>
      </c>
      <c r="P27" s="19" t="n">
        <f aca="false">Q27+R27</f>
        <v>3</v>
      </c>
      <c r="Q27" s="22" t="n">
        <v>2</v>
      </c>
      <c r="R27" s="22" t="n">
        <v>1</v>
      </c>
      <c r="S27" s="22" t="s">
        <v>5375</v>
      </c>
      <c r="T27" s="22" t="s">
        <v>5460</v>
      </c>
      <c r="U27" s="22" t="s">
        <v>5391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customFormat="false" ht="12" hidden="false" customHeight="true" outlineLevel="0" collapsed="false">
      <c r="A28" s="31" t="n">
        <v>27</v>
      </c>
      <c r="B28" s="32" t="s">
        <v>88</v>
      </c>
      <c r="C28" s="32" t="s">
        <v>5461</v>
      </c>
      <c r="D28" s="22" t="n">
        <f aca="false">SUMIF(CAL!B:E,B28,CAL!E:E)+SUMIF(CAL!J:M,B28,CAL!M:M)</f>
        <v>34</v>
      </c>
      <c r="E28" s="33" t="n">
        <f aca="false">COUNTIF(CAL!B:J,B28)</f>
        <v>23</v>
      </c>
      <c r="F28" s="22" t="n">
        <f aca="false">SUMIF(CAL!B:F,B28,CAL!F:F)+SUMIF(CAL!J:N,B28,CAL!N:N)</f>
        <v>9</v>
      </c>
      <c r="G28" s="22" t="n">
        <f aca="false">SUMIF(CAL!B:F,B28,CAL!G:G)+SUMIF(CAL!J:N,B28,CAL!O:O)</f>
        <v>7</v>
      </c>
      <c r="H28" s="22" t="n">
        <f aca="false">SUMIF(CAL!B:F,B28,CAL!H:H)+SUMIF(CAL!J:N,B28,CAL!P:P)</f>
        <v>7</v>
      </c>
      <c r="I28" s="34" t="n">
        <f aca="false">IF(E28=0,0,(D28/(E28*3)))</f>
        <v>0.492753623188406</v>
      </c>
      <c r="J28" s="33" t="n">
        <f aca="false">SUMIF(CAL!B:C,B28,CAL!C:C)+SUMIF(CAL!J:J,B28,CAL!D:D)</f>
        <v>33</v>
      </c>
      <c r="K28" s="22" t="n">
        <f aca="false">SUMIF(CAL!B:D,B28,CAL!D:D)+SUMIF(CAL!J:L,B28,CAL!K:K)</f>
        <v>26</v>
      </c>
      <c r="L28" s="22" t="n">
        <f aca="false">J28-K28</f>
        <v>7</v>
      </c>
      <c r="M28" s="35" t="n">
        <f aca="false">IF(E28=0,0,(J28/E28))</f>
        <v>1.43478260869565</v>
      </c>
      <c r="N28" s="35" t="n">
        <f aca="false">IF(E28=0,0,(K28/E28))</f>
        <v>1.1304347826087</v>
      </c>
      <c r="O28" s="22" t="n">
        <f aca="false">SUMIF(CAL!B:I,B28,CAL!I:I)+SUMIF(CAL!J:Q,B28,CAL!Q:Q)</f>
        <v>9</v>
      </c>
      <c r="P28" s="19" t="n">
        <f aca="false">Q28+R28</f>
        <v>3</v>
      </c>
      <c r="Q28" s="22" t="n">
        <v>2</v>
      </c>
      <c r="R28" s="22" t="n">
        <v>1</v>
      </c>
      <c r="S28" s="22" t="s">
        <v>5375</v>
      </c>
      <c r="T28" s="22" t="s">
        <v>5462</v>
      </c>
      <c r="U28" s="22" t="s">
        <v>5423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customFormat="false" ht="12" hidden="false" customHeight="true" outlineLevel="0" collapsed="false">
      <c r="A29" s="31" t="n">
        <v>28</v>
      </c>
      <c r="B29" s="32" t="s">
        <v>183</v>
      </c>
      <c r="C29" s="32" t="s">
        <v>5463</v>
      </c>
      <c r="D29" s="22" t="n">
        <f aca="false">SUMIF(CAL!B:E,B29,CAL!E:E)+SUMIF(CAL!J:M,B29,CAL!M:M)</f>
        <v>23</v>
      </c>
      <c r="E29" s="33" t="n">
        <f aca="false">COUNTIF(CAL!B:J,B29)</f>
        <v>15</v>
      </c>
      <c r="F29" s="22" t="n">
        <f aca="false">SUMIF(CAL!B:F,B29,CAL!F:F)+SUMIF(CAL!J:N,B29,CAL!N:N)</f>
        <v>6</v>
      </c>
      <c r="G29" s="22" t="n">
        <f aca="false">SUMIF(CAL!B:F,B29,CAL!G:G)+SUMIF(CAL!J:N,B29,CAL!O:O)</f>
        <v>5</v>
      </c>
      <c r="H29" s="22" t="n">
        <f aca="false">SUMIF(CAL!B:F,B29,CAL!H:H)+SUMIF(CAL!J:N,B29,CAL!P:P)</f>
        <v>4</v>
      </c>
      <c r="I29" s="34" t="n">
        <f aca="false">IF(E29=0,0,(D29/(E29*3)))</f>
        <v>0.511111111111111</v>
      </c>
      <c r="J29" s="33" t="n">
        <f aca="false">SUMIF(CAL!B:C,B29,CAL!C:C)+SUMIF(CAL!J:J,B29,CAL!D:D)</f>
        <v>25</v>
      </c>
      <c r="K29" s="22" t="n">
        <f aca="false">SUMIF(CAL!B:D,B29,CAL!D:D)+SUMIF(CAL!J:L,B29,CAL!K:K)</f>
        <v>18</v>
      </c>
      <c r="L29" s="22" t="n">
        <f aca="false">J29-K29</f>
        <v>7</v>
      </c>
      <c r="M29" s="35" t="n">
        <f aca="false">IF(E29=0,0,(J29/E29))</f>
        <v>1.66666666666667</v>
      </c>
      <c r="N29" s="35" t="n">
        <f aca="false">IF(E29=0,0,(K29/E29))</f>
        <v>1.2</v>
      </c>
      <c r="O29" s="22" t="n">
        <f aca="false">SUMIF(CAL!B:I,B29,CAL!I:I)+SUMIF(CAL!J:Q,B29,CAL!Q:Q)</f>
        <v>5</v>
      </c>
      <c r="P29" s="19" t="n">
        <f aca="false">Q29+R29</f>
        <v>3</v>
      </c>
      <c r="Q29" s="22" t="n">
        <v>1</v>
      </c>
      <c r="R29" s="22" t="n">
        <v>2</v>
      </c>
      <c r="S29" s="22" t="s">
        <v>5375</v>
      </c>
      <c r="T29" s="22" t="s">
        <v>5464</v>
      </c>
      <c r="U29" s="22" t="s">
        <v>5465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customFormat="false" ht="12" hidden="false" customHeight="true" outlineLevel="0" collapsed="false">
      <c r="A30" s="31" t="n">
        <v>29</v>
      </c>
      <c r="B30" s="32" t="s">
        <v>49</v>
      </c>
      <c r="C30" s="32" t="s">
        <v>5466</v>
      </c>
      <c r="D30" s="22" t="n">
        <f aca="false">SUMIF(CAL!B:E,B30,CAL!E:E)+SUMIF(CAL!J:M,B30,CAL!M:M)</f>
        <v>12</v>
      </c>
      <c r="E30" s="33" t="n">
        <f aca="false">COUNTIF(CAL!B:J,B30)</f>
        <v>12</v>
      </c>
      <c r="F30" s="22" t="n">
        <f aca="false">SUMIF(CAL!B:F,B30,CAL!F:F)+SUMIF(CAL!J:N,B30,CAL!N:N)</f>
        <v>2</v>
      </c>
      <c r="G30" s="22" t="n">
        <f aca="false">SUMIF(CAL!B:F,B30,CAL!G:G)+SUMIF(CAL!J:N,B30,CAL!O:O)</f>
        <v>6</v>
      </c>
      <c r="H30" s="22" t="n">
        <f aca="false">SUMIF(CAL!B:F,B30,CAL!H:H)+SUMIF(CAL!J:N,B30,CAL!P:P)</f>
        <v>4</v>
      </c>
      <c r="I30" s="34" t="n">
        <f aca="false">IF(E30=0,0,(D30/(E30*3)))</f>
        <v>0.333333333333333</v>
      </c>
      <c r="J30" s="33" t="n">
        <f aca="false">SUMIF(CAL!B:C,B30,CAL!C:C)+SUMIF(CAL!J:J,B30,CAL!D:D)</f>
        <v>15</v>
      </c>
      <c r="K30" s="22" t="n">
        <f aca="false">SUMIF(CAL!B:D,B30,CAL!D:D)+SUMIF(CAL!J:L,B30,CAL!K:K)</f>
        <v>19</v>
      </c>
      <c r="L30" s="22" t="n">
        <f aca="false">J30-K30</f>
        <v>-4</v>
      </c>
      <c r="M30" s="35" t="n">
        <f aca="false">IF(E30=0,0,(J30/E30))</f>
        <v>1.25</v>
      </c>
      <c r="N30" s="35" t="n">
        <f aca="false">IF(E30=0,0,(K30/E30))</f>
        <v>1.58333333333333</v>
      </c>
      <c r="O30" s="22" t="n">
        <f aca="false">SUMIF(CAL!B:I,B30,CAL!I:I)+SUMIF(CAL!J:Q,B30,CAL!Q:Q)</f>
        <v>3</v>
      </c>
      <c r="P30" s="19" t="n">
        <f aca="false">Q30+R30</f>
        <v>3</v>
      </c>
      <c r="Q30" s="22" t="n">
        <v>1</v>
      </c>
      <c r="R30" s="22" t="n">
        <v>2</v>
      </c>
      <c r="S30" s="22" t="s">
        <v>5375</v>
      </c>
      <c r="T30" s="22" t="s">
        <v>5467</v>
      </c>
      <c r="U30" s="22" t="s">
        <v>5434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customFormat="false" ht="12" hidden="false" customHeight="true" outlineLevel="0" collapsed="false">
      <c r="A31" s="31" t="n">
        <v>30</v>
      </c>
      <c r="B31" s="32" t="s">
        <v>195</v>
      </c>
      <c r="C31" s="32" t="s">
        <v>5468</v>
      </c>
      <c r="D31" s="22" t="n">
        <f aca="false">SUMIF(CAL!B:E,B31,CAL!E:E)+SUMIF(CAL!J:M,B31,CAL!M:M)</f>
        <v>22</v>
      </c>
      <c r="E31" s="33" t="n">
        <f aca="false">COUNTIF(CAL!B:J,B31)</f>
        <v>13</v>
      </c>
      <c r="F31" s="22" t="n">
        <f aca="false">SUMIF(CAL!B:F,B31,CAL!F:F)+SUMIF(CAL!J:N,B31,CAL!N:N)</f>
        <v>6</v>
      </c>
      <c r="G31" s="22" t="n">
        <f aca="false">SUMIF(CAL!B:F,B31,CAL!G:G)+SUMIF(CAL!J:N,B31,CAL!O:O)</f>
        <v>4</v>
      </c>
      <c r="H31" s="22" t="n">
        <f aca="false">SUMIF(CAL!B:F,B31,CAL!H:H)+SUMIF(CAL!J:N,B31,CAL!P:P)</f>
        <v>3</v>
      </c>
      <c r="I31" s="34" t="n">
        <f aca="false">IF(E31=0,0,(D31/(E31*3)))</f>
        <v>0.564102564102564</v>
      </c>
      <c r="J31" s="33" t="n">
        <f aca="false">SUMIF(CAL!B:C,B31,CAL!C:C)+SUMIF(CAL!J:J,B31,CAL!D:D)</f>
        <v>11</v>
      </c>
      <c r="K31" s="22" t="n">
        <f aca="false">SUMIF(CAL!B:D,B31,CAL!D:D)+SUMIF(CAL!J:L,B31,CAL!K:K)</f>
        <v>8</v>
      </c>
      <c r="L31" s="22" t="n">
        <f aca="false">J31-K31</f>
        <v>3</v>
      </c>
      <c r="M31" s="35" t="n">
        <f aca="false">IF(E31=0,0,(J31/E31))</f>
        <v>0.846153846153846</v>
      </c>
      <c r="N31" s="35" t="n">
        <f aca="false">IF(E31=0,0,(K31/E31))</f>
        <v>0.615384615384615</v>
      </c>
      <c r="O31" s="22" t="n">
        <f aca="false">SUMIF(CAL!B:I,B31,CAL!I:I)+SUMIF(CAL!J:Q,B31,CAL!Q:Q)</f>
        <v>8</v>
      </c>
      <c r="P31" s="19" t="n">
        <f aca="false">Q31+R31</f>
        <v>3</v>
      </c>
      <c r="Q31" s="22" t="n">
        <v>1</v>
      </c>
      <c r="R31" s="22" t="n">
        <v>2</v>
      </c>
      <c r="S31" s="22" t="s">
        <v>5440</v>
      </c>
      <c r="T31" s="22" t="s">
        <v>5436</v>
      </c>
      <c r="U31" s="22" t="s">
        <v>5380</v>
      </c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customFormat="false" ht="12" hidden="false" customHeight="true" outlineLevel="0" collapsed="false">
      <c r="A32" s="31" t="n">
        <v>31</v>
      </c>
      <c r="B32" s="32" t="s">
        <v>129</v>
      </c>
      <c r="C32" s="32" t="s">
        <v>5469</v>
      </c>
      <c r="D32" s="22" t="n">
        <f aca="false">SUMIF(CAL!B:E,B32,CAL!E:E)+SUMIF(CAL!J:M,B32,CAL!M:M)</f>
        <v>25</v>
      </c>
      <c r="E32" s="33" t="n">
        <f aca="false">COUNTIF(CAL!B:J,B32)</f>
        <v>14</v>
      </c>
      <c r="F32" s="22" t="n">
        <f aca="false">SUMIF(CAL!B:F,B32,CAL!F:F)+SUMIF(CAL!J:N,B32,CAL!N:N)</f>
        <v>7</v>
      </c>
      <c r="G32" s="22" t="n">
        <f aca="false">SUMIF(CAL!B:F,B32,CAL!G:G)+SUMIF(CAL!J:N,B32,CAL!O:O)</f>
        <v>4</v>
      </c>
      <c r="H32" s="22" t="n">
        <f aca="false">SUMIF(CAL!B:F,B32,CAL!H:H)+SUMIF(CAL!J:N,B32,CAL!P:P)</f>
        <v>3</v>
      </c>
      <c r="I32" s="34" t="n">
        <f aca="false">IF(E32=0,0,(D32/(E32*3)))</f>
        <v>0.595238095238095</v>
      </c>
      <c r="J32" s="33" t="n">
        <f aca="false">SUMIF(CAL!B:C,B32,CAL!C:C)+SUMIF(CAL!J:J,B32,CAL!D:D)</f>
        <v>11</v>
      </c>
      <c r="K32" s="22" t="n">
        <f aca="false">SUMIF(CAL!B:D,B32,CAL!D:D)+SUMIF(CAL!J:L,B32,CAL!K:K)</f>
        <v>6</v>
      </c>
      <c r="L32" s="22" t="n">
        <f aca="false">J32-K32</f>
        <v>5</v>
      </c>
      <c r="M32" s="35" t="n">
        <f aca="false">IF(E32=0,0,(J32/E32))</f>
        <v>0.785714285714286</v>
      </c>
      <c r="N32" s="35" t="n">
        <f aca="false">IF(E32=0,0,(K32/E32))</f>
        <v>0.428571428571429</v>
      </c>
      <c r="O32" s="22" t="n">
        <f aca="false">SUMIF(CAL!B:I,B32,CAL!I:I)+SUMIF(CAL!J:Q,B32,CAL!Q:Q)</f>
        <v>10</v>
      </c>
      <c r="P32" s="19" t="n">
        <f aca="false">Q32+R32</f>
        <v>3</v>
      </c>
      <c r="Q32" s="22" t="n">
        <v>1</v>
      </c>
      <c r="R32" s="22" t="n">
        <v>2</v>
      </c>
      <c r="S32" s="22" t="s">
        <v>5375</v>
      </c>
      <c r="T32" s="22" t="s">
        <v>5470</v>
      </c>
      <c r="U32" s="22" t="s">
        <v>5471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customFormat="false" ht="12" hidden="false" customHeight="true" outlineLevel="0" collapsed="false">
      <c r="A33" s="31" t="n">
        <v>32</v>
      </c>
      <c r="B33" s="32" t="s">
        <v>292</v>
      </c>
      <c r="C33" s="32" t="s">
        <v>5472</v>
      </c>
      <c r="D33" s="22" t="n">
        <f aca="false">SUMIF(CAL!B:E,B33,CAL!E:E)+SUMIF(CAL!J:M,B33,CAL!M:M)</f>
        <v>38</v>
      </c>
      <c r="E33" s="33" t="n">
        <f aca="false">COUNTIF(CAL!B:J,B33)</f>
        <v>19</v>
      </c>
      <c r="F33" s="22" t="n">
        <f aca="false">SUMIF(CAL!B:F,B33,CAL!F:F)+SUMIF(CAL!J:N,B33,CAL!N:N)</f>
        <v>10</v>
      </c>
      <c r="G33" s="22" t="n">
        <f aca="false">SUMIF(CAL!B:F,B33,CAL!G:G)+SUMIF(CAL!J:N,B33,CAL!O:O)</f>
        <v>8</v>
      </c>
      <c r="H33" s="22" t="n">
        <f aca="false">SUMIF(CAL!B:F,B33,CAL!H:H)+SUMIF(CAL!J:N,B33,CAL!P:P)</f>
        <v>1</v>
      </c>
      <c r="I33" s="34" t="n">
        <f aca="false">IF(E33=0,0,(D33/(E33*3)))</f>
        <v>0.666666666666667</v>
      </c>
      <c r="J33" s="33" t="n">
        <f aca="false">SUMIF(CAL!B:C,B33,CAL!C:C)+SUMIF(CAL!J:J,B33,CAL!D:D)</f>
        <v>28</v>
      </c>
      <c r="K33" s="22" t="n">
        <f aca="false">SUMIF(CAL!B:D,B33,CAL!D:D)+SUMIF(CAL!J:L,B33,CAL!K:K)</f>
        <v>18</v>
      </c>
      <c r="L33" s="22" t="n">
        <f aca="false">J33-K33</f>
        <v>10</v>
      </c>
      <c r="M33" s="35" t="n">
        <f aca="false">IF(E33=0,0,(J33/E33))</f>
        <v>1.47368421052632</v>
      </c>
      <c r="N33" s="35" t="n">
        <f aca="false">IF(E33=0,0,(K33/E33))</f>
        <v>0.947368421052632</v>
      </c>
      <c r="O33" s="22" t="n">
        <f aca="false">SUMIF(CAL!B:I,B33,CAL!I:I)+SUMIF(CAL!J:Q,B33,CAL!Q:Q)</f>
        <v>7</v>
      </c>
      <c r="P33" s="19" t="n">
        <f aca="false">Q33+R33</f>
        <v>3</v>
      </c>
      <c r="Q33" s="22" t="n">
        <v>1</v>
      </c>
      <c r="R33" s="22" t="n">
        <v>2</v>
      </c>
      <c r="S33" s="22" t="s">
        <v>5375</v>
      </c>
      <c r="T33" s="22" t="s">
        <v>5473</v>
      </c>
      <c r="U33" s="22" t="s">
        <v>5450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customFormat="false" ht="12" hidden="false" customHeight="true" outlineLevel="0" collapsed="false">
      <c r="A34" s="31" t="n">
        <v>33</v>
      </c>
      <c r="B34" s="32" t="s">
        <v>359</v>
      </c>
      <c r="C34" s="32" t="s">
        <v>5474</v>
      </c>
      <c r="D34" s="22" t="n">
        <f aca="false">SUMIF(CAL!B:E,B34,CAL!E:E)+SUMIF(CAL!J:M,B34,CAL!M:M)</f>
        <v>14</v>
      </c>
      <c r="E34" s="33" t="n">
        <f aca="false">COUNTIF(CAL!B:J,B34)</f>
        <v>11</v>
      </c>
      <c r="F34" s="22" t="n">
        <f aca="false">SUMIF(CAL!B:F,B34,CAL!F:F)+SUMIF(CAL!J:N,B34,CAL!N:N)</f>
        <v>4</v>
      </c>
      <c r="G34" s="22" t="n">
        <f aca="false">SUMIF(CAL!B:F,B34,CAL!G:G)+SUMIF(CAL!J:N,B34,CAL!O:O)</f>
        <v>2</v>
      </c>
      <c r="H34" s="22" t="n">
        <f aca="false">SUMIF(CAL!B:F,B34,CAL!H:H)+SUMIF(CAL!J:N,B34,CAL!P:P)</f>
        <v>5</v>
      </c>
      <c r="I34" s="34" t="n">
        <f aca="false">IF(E34=0,0,(D34/(E34*3)))</f>
        <v>0.424242424242424</v>
      </c>
      <c r="J34" s="33" t="n">
        <f aca="false">SUMIF(CAL!B:C,B34,CAL!C:C)+SUMIF(CAL!J:J,B34,CAL!D:D)</f>
        <v>10</v>
      </c>
      <c r="K34" s="22" t="n">
        <f aca="false">SUMIF(CAL!B:D,B34,CAL!D:D)+SUMIF(CAL!J:L,B34,CAL!K:K)</f>
        <v>14</v>
      </c>
      <c r="L34" s="22" t="n">
        <f aca="false">J34-K34</f>
        <v>-4</v>
      </c>
      <c r="M34" s="35" t="n">
        <f aca="false">IF(E34=0,0,(J34/E34))</f>
        <v>0.909090909090909</v>
      </c>
      <c r="N34" s="35" t="n">
        <f aca="false">IF(E34=0,0,(K34/E34))</f>
        <v>1.27272727272727</v>
      </c>
      <c r="O34" s="22" t="n">
        <f aca="false">SUMIF(CAL!B:I,B34,CAL!I:I)+SUMIF(CAL!J:Q,B34,CAL!Q:Q)</f>
        <v>4</v>
      </c>
      <c r="P34" s="19" t="n">
        <f aca="false">Q34+R34</f>
        <v>3</v>
      </c>
      <c r="Q34" s="22" t="n">
        <v>1</v>
      </c>
      <c r="R34" s="22" t="n">
        <v>2</v>
      </c>
      <c r="S34" s="22" t="s">
        <v>5375</v>
      </c>
      <c r="T34" s="22" t="s">
        <v>5475</v>
      </c>
      <c r="U34" s="22" t="s">
        <v>5476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customFormat="false" ht="12" hidden="false" customHeight="true" outlineLevel="0" collapsed="false">
      <c r="A35" s="31" t="n">
        <v>34</v>
      </c>
      <c r="B35" s="32" t="s">
        <v>434</v>
      </c>
      <c r="C35" s="32" t="s">
        <v>5477</v>
      </c>
      <c r="D35" s="22" t="n">
        <f aca="false">SUMIF(CAL!B:E,B35,CAL!E:E)+SUMIF(CAL!J:M,B35,CAL!M:M)</f>
        <v>4</v>
      </c>
      <c r="E35" s="33" t="n">
        <f aca="false">COUNTIF(CAL!B:J,B35)</f>
        <v>5</v>
      </c>
      <c r="F35" s="22" t="n">
        <f aca="false">SUMIF(CAL!B:F,B35,CAL!F:F)+SUMIF(CAL!J:N,B35,CAL!N:N)</f>
        <v>0</v>
      </c>
      <c r="G35" s="22" t="n">
        <f aca="false">SUMIF(CAL!B:F,B35,CAL!G:G)+SUMIF(CAL!J:N,B35,CAL!O:O)</f>
        <v>4</v>
      </c>
      <c r="H35" s="22" t="n">
        <f aca="false">SUMIF(CAL!B:F,B35,CAL!H:H)+SUMIF(CAL!J:N,B35,CAL!P:P)</f>
        <v>1</v>
      </c>
      <c r="I35" s="34" t="n">
        <f aca="false">IF(E35=0,0,(D35/(E35*3)))</f>
        <v>0.266666666666667</v>
      </c>
      <c r="J35" s="33" t="n">
        <f aca="false">SUMIF(CAL!B:C,B35,CAL!C:C)+SUMIF(CAL!J:J,B35,CAL!D:D)</f>
        <v>3</v>
      </c>
      <c r="K35" s="22" t="n">
        <f aca="false">SUMIF(CAL!B:D,B35,CAL!D:D)+SUMIF(CAL!J:L,B35,CAL!K:K)</f>
        <v>5</v>
      </c>
      <c r="L35" s="22" t="n">
        <f aca="false">J35-K35</f>
        <v>-2</v>
      </c>
      <c r="M35" s="35" t="n">
        <f aca="false">IF(E35=0,0,(J35/E35))</f>
        <v>0.6</v>
      </c>
      <c r="N35" s="35" t="n">
        <f aca="false">IF(E35=0,0,(K35/E35))</f>
        <v>1</v>
      </c>
      <c r="O35" s="22" t="n">
        <f aca="false">SUMIF(CAL!B:I,B35,CAL!I:I)+SUMIF(CAL!J:Q,B35,CAL!Q:Q)</f>
        <v>2</v>
      </c>
      <c r="P35" s="19" t="n">
        <f aca="false">Q35+R35</f>
        <v>3</v>
      </c>
      <c r="Q35" s="22" t="n">
        <v>0</v>
      </c>
      <c r="R35" s="22" t="n">
        <v>3</v>
      </c>
      <c r="S35" s="22" t="s">
        <v>5375</v>
      </c>
      <c r="T35" s="22" t="s">
        <v>5478</v>
      </c>
      <c r="U35" s="22" t="s">
        <v>5434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customFormat="false" ht="12" hidden="false" customHeight="true" outlineLevel="0" collapsed="false">
      <c r="A36" s="31" t="n">
        <v>35</v>
      </c>
      <c r="B36" s="32" t="s">
        <v>160</v>
      </c>
      <c r="C36" s="32" t="s">
        <v>5479</v>
      </c>
      <c r="D36" s="22" t="n">
        <f aca="false">SUMIF(CAL!B:E,B36,CAL!E:E)+SUMIF(CAL!J:M,B36,CAL!M:M)</f>
        <v>14</v>
      </c>
      <c r="E36" s="33" t="n">
        <f aca="false">COUNTIF(CAL!B:J,B36)</f>
        <v>10</v>
      </c>
      <c r="F36" s="22" t="n">
        <f aca="false">SUMIF(CAL!B:F,B36,CAL!F:F)+SUMIF(CAL!J:N,B36,CAL!N:N)</f>
        <v>3</v>
      </c>
      <c r="G36" s="22" t="n">
        <f aca="false">SUMIF(CAL!B:F,B36,CAL!G:G)+SUMIF(CAL!J:N,B36,CAL!O:O)</f>
        <v>5</v>
      </c>
      <c r="H36" s="22" t="n">
        <f aca="false">SUMIF(CAL!B:F,B36,CAL!H:H)+SUMIF(CAL!J:N,B36,CAL!P:P)</f>
        <v>2</v>
      </c>
      <c r="I36" s="34" t="n">
        <f aca="false">IF(E36=0,0,(D36/(E36*3)))</f>
        <v>0.466666666666667</v>
      </c>
      <c r="J36" s="33" t="n">
        <f aca="false">SUMIF(CAL!B:C,B36,CAL!C:C)+SUMIF(CAL!J:J,B36,CAL!D:D)</f>
        <v>8</v>
      </c>
      <c r="K36" s="22" t="n">
        <f aca="false">SUMIF(CAL!B:D,B36,CAL!D:D)+SUMIF(CAL!J:L,B36,CAL!K:K)</f>
        <v>9</v>
      </c>
      <c r="L36" s="22" t="n">
        <f aca="false">J36-K36</f>
        <v>-1</v>
      </c>
      <c r="M36" s="35" t="n">
        <f aca="false">IF(E36=0,0,(J36/E36))</f>
        <v>0.8</v>
      </c>
      <c r="N36" s="35" t="n">
        <f aca="false">IF(E36=0,0,(K36/E36))</f>
        <v>0.9</v>
      </c>
      <c r="O36" s="22" t="n">
        <f aca="false">SUMIF(CAL!B:I,B36,CAL!I:I)+SUMIF(CAL!J:Q,B36,CAL!Q:Q)</f>
        <v>3</v>
      </c>
      <c r="P36" s="19" t="n">
        <f aca="false">Q36+R36</f>
        <v>3</v>
      </c>
      <c r="Q36" s="22" t="n">
        <v>0</v>
      </c>
      <c r="R36" s="22" t="n">
        <v>3</v>
      </c>
      <c r="S36" s="22" t="s">
        <v>5409</v>
      </c>
      <c r="T36" s="22" t="s">
        <v>5480</v>
      </c>
      <c r="U36" s="22" t="s">
        <v>5453</v>
      </c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customFormat="false" ht="12" hidden="false" customHeight="true" outlineLevel="0" collapsed="false">
      <c r="A37" s="31" t="n">
        <v>36</v>
      </c>
      <c r="B37" s="32" t="s">
        <v>110</v>
      </c>
      <c r="C37" s="32" t="s">
        <v>5481</v>
      </c>
      <c r="D37" s="22" t="n">
        <f aca="false">SUMIF(CAL!B:E,B37,CAL!E:E)+SUMIF(CAL!J:M,B37,CAL!M:M)</f>
        <v>12</v>
      </c>
      <c r="E37" s="33" t="n">
        <f aca="false">COUNTIF(CAL!B:J,B37)</f>
        <v>14</v>
      </c>
      <c r="F37" s="22" t="n">
        <f aca="false">SUMIF(CAL!B:F,B37,CAL!F:F)+SUMIF(CAL!J:N,B37,CAL!N:N)</f>
        <v>2</v>
      </c>
      <c r="G37" s="22" t="n">
        <f aca="false">SUMIF(CAL!B:F,B37,CAL!G:G)+SUMIF(CAL!J:N,B37,CAL!O:O)</f>
        <v>6</v>
      </c>
      <c r="H37" s="22" t="n">
        <f aca="false">SUMIF(CAL!B:F,B37,CAL!H:H)+SUMIF(CAL!J:N,B37,CAL!P:P)</f>
        <v>6</v>
      </c>
      <c r="I37" s="34" t="n">
        <f aca="false">IF(E37=0,0,(D37/(E37*3)))</f>
        <v>0.285714285714286</v>
      </c>
      <c r="J37" s="33" t="n">
        <f aca="false">SUMIF(CAL!B:C,B37,CAL!C:C)+SUMIF(CAL!J:J,B37,CAL!D:D)</f>
        <v>8</v>
      </c>
      <c r="K37" s="22" t="n">
        <f aca="false">SUMIF(CAL!B:D,B37,CAL!D:D)+SUMIF(CAL!J:L,B37,CAL!K:K)</f>
        <v>15</v>
      </c>
      <c r="L37" s="22" t="n">
        <f aca="false">J37-K37</f>
        <v>-7</v>
      </c>
      <c r="M37" s="35" t="n">
        <f aca="false">IF(E37=0,0,(J37/E37))</f>
        <v>0.571428571428571</v>
      </c>
      <c r="N37" s="35" t="n">
        <f aca="false">IF(E37=0,0,(K37/E37))</f>
        <v>1.07142857142857</v>
      </c>
      <c r="O37" s="22" t="n">
        <f aca="false">SUMIF(CAL!B:I,B37,CAL!I:I)+SUMIF(CAL!J:Q,B37,CAL!Q:Q)</f>
        <v>4</v>
      </c>
      <c r="P37" s="19" t="n">
        <f aca="false">Q37+R37</f>
        <v>3</v>
      </c>
      <c r="Q37" s="22" t="n">
        <v>0</v>
      </c>
      <c r="R37" s="22" t="n">
        <v>3</v>
      </c>
      <c r="S37" s="22" t="s">
        <v>5409</v>
      </c>
      <c r="T37" s="22" t="s">
        <v>5482</v>
      </c>
      <c r="U37" s="22" t="s">
        <v>5483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customFormat="false" ht="12" hidden="false" customHeight="true" outlineLevel="0" collapsed="false">
      <c r="A38" s="31" t="n">
        <v>37</v>
      </c>
      <c r="B38" s="32" t="s">
        <v>193</v>
      </c>
      <c r="C38" s="32" t="s">
        <v>5484</v>
      </c>
      <c r="D38" s="22" t="n">
        <f aca="false">SUMIF(CAL!B:E,B38,CAL!E:E)+SUMIF(CAL!J:M,B38,CAL!M:M)</f>
        <v>22</v>
      </c>
      <c r="E38" s="33" t="n">
        <f aca="false">COUNTIF(CAL!B:J,B38)</f>
        <v>17</v>
      </c>
      <c r="F38" s="22" t="n">
        <f aca="false">SUMIF(CAL!B:F,B38,CAL!F:F)+SUMIF(CAL!J:N,B38,CAL!N:N)</f>
        <v>6</v>
      </c>
      <c r="G38" s="22" t="n">
        <f aca="false">SUMIF(CAL!B:F,B38,CAL!G:G)+SUMIF(CAL!J:N,B38,CAL!O:O)</f>
        <v>4</v>
      </c>
      <c r="H38" s="22" t="n">
        <f aca="false">SUMIF(CAL!B:F,B38,CAL!H:H)+SUMIF(CAL!J:N,B38,CAL!P:P)</f>
        <v>7</v>
      </c>
      <c r="I38" s="34" t="n">
        <f aca="false">IF(E38=0,0,(D38/(E38*3)))</f>
        <v>0.431372549019608</v>
      </c>
      <c r="J38" s="33" t="n">
        <f aca="false">SUMIF(CAL!B:C,B38,CAL!C:C)+SUMIF(CAL!J:J,B38,CAL!D:D)</f>
        <v>17</v>
      </c>
      <c r="K38" s="22" t="n">
        <f aca="false">SUMIF(CAL!B:D,B38,CAL!D:D)+SUMIF(CAL!J:L,B38,CAL!K:K)</f>
        <v>18</v>
      </c>
      <c r="L38" s="22" t="n">
        <f aca="false">J38-K38</f>
        <v>-1</v>
      </c>
      <c r="M38" s="35" t="n">
        <f aca="false">IF(E38=0,0,(J38/E38))</f>
        <v>1</v>
      </c>
      <c r="N38" s="35" t="n">
        <f aca="false">IF(E38=0,0,(K38/E38))</f>
        <v>1.05882352941176</v>
      </c>
      <c r="O38" s="22" t="n">
        <f aca="false">SUMIF(CAL!B:I,B38,CAL!I:I)+SUMIF(CAL!J:Q,B38,CAL!Q:Q)</f>
        <v>6</v>
      </c>
      <c r="P38" s="19" t="n">
        <f aca="false">Q38+R38</f>
        <v>3</v>
      </c>
      <c r="Q38" s="22" t="n">
        <v>0</v>
      </c>
      <c r="R38" s="22" t="n">
        <v>3</v>
      </c>
      <c r="S38" s="22" t="s">
        <v>5375</v>
      </c>
      <c r="T38" s="22" t="s">
        <v>5485</v>
      </c>
      <c r="U38" s="22" t="s">
        <v>5394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customFormat="false" ht="12" hidden="false" customHeight="true" outlineLevel="0" collapsed="false">
      <c r="A39" s="31" t="n">
        <v>38</v>
      </c>
      <c r="B39" s="32" t="s">
        <v>125</v>
      </c>
      <c r="C39" s="32" t="s">
        <v>5486</v>
      </c>
      <c r="D39" s="22" t="n">
        <f aca="false">SUMIF(CAL!B:E,B39,CAL!E:E)+SUMIF(CAL!J:M,B39,CAL!M:M)</f>
        <v>15</v>
      </c>
      <c r="E39" s="33" t="n">
        <f aca="false">COUNTIF(CAL!B:J,B39)</f>
        <v>15</v>
      </c>
      <c r="F39" s="22" t="n">
        <f aca="false">SUMIF(CAL!B:F,B39,CAL!F:F)+SUMIF(CAL!J:N,B39,CAL!N:N)</f>
        <v>2</v>
      </c>
      <c r="G39" s="22" t="n">
        <f aca="false">SUMIF(CAL!B:F,B39,CAL!G:G)+SUMIF(CAL!J:N,B39,CAL!O:O)</f>
        <v>9</v>
      </c>
      <c r="H39" s="22" t="n">
        <f aca="false">SUMIF(CAL!B:F,B39,CAL!H:H)+SUMIF(CAL!J:N,B39,CAL!P:P)</f>
        <v>4</v>
      </c>
      <c r="I39" s="34" t="n">
        <f aca="false">IF(E39=0,0,(D39/(E39*3)))</f>
        <v>0.333333333333333</v>
      </c>
      <c r="J39" s="33" t="n">
        <f aca="false">SUMIF(CAL!B:C,B39,CAL!C:C)+SUMIF(CAL!J:J,B39,CAL!D:D)</f>
        <v>14</v>
      </c>
      <c r="K39" s="22" t="n">
        <f aca="false">SUMIF(CAL!B:D,B39,CAL!D:D)+SUMIF(CAL!J:L,B39,CAL!K:K)</f>
        <v>20</v>
      </c>
      <c r="L39" s="22" t="n">
        <f aca="false">J39-K39</f>
        <v>-6</v>
      </c>
      <c r="M39" s="35" t="n">
        <f aca="false">IF(E39=0,0,(J39/E39))</f>
        <v>0.933333333333333</v>
      </c>
      <c r="N39" s="35" t="n">
        <f aca="false">IF(E39=0,0,(K39/E39))</f>
        <v>1.33333333333333</v>
      </c>
      <c r="O39" s="22" t="n">
        <f aca="false">SUMIF(CAL!B:I,B39,CAL!I:I)+SUMIF(CAL!J:Q,B39,CAL!Q:Q)</f>
        <v>4</v>
      </c>
      <c r="P39" s="19" t="n">
        <f aca="false">Q39+R39</f>
        <v>3</v>
      </c>
      <c r="Q39" s="22" t="n">
        <v>0</v>
      </c>
      <c r="R39" s="22" t="n">
        <v>3</v>
      </c>
      <c r="S39" s="22" t="s">
        <v>5421</v>
      </c>
      <c r="T39" s="22" t="s">
        <v>5487</v>
      </c>
      <c r="U39" s="22" t="s">
        <v>5453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customFormat="false" ht="12" hidden="false" customHeight="true" outlineLevel="0" collapsed="false">
      <c r="A40" s="31" t="n">
        <v>39</v>
      </c>
      <c r="B40" s="32" t="s">
        <v>35</v>
      </c>
      <c r="C40" s="32" t="s">
        <v>5488</v>
      </c>
      <c r="D40" s="22" t="n">
        <f aca="false">SUMIF(CAL!B:E,B40,CAL!E:E)+SUMIF(CAL!J:M,B40,CAL!M:M)</f>
        <v>13</v>
      </c>
      <c r="E40" s="33" t="n">
        <f aca="false">COUNTIF(CAL!B:J,B40)</f>
        <v>9</v>
      </c>
      <c r="F40" s="22" t="n">
        <f aca="false">SUMIF(CAL!B:F,B40,CAL!F:F)+SUMIF(CAL!J:N,B40,CAL!N:N)</f>
        <v>3</v>
      </c>
      <c r="G40" s="22" t="n">
        <f aca="false">SUMIF(CAL!B:F,B40,CAL!G:G)+SUMIF(CAL!J:N,B40,CAL!O:O)</f>
        <v>4</v>
      </c>
      <c r="H40" s="22" t="n">
        <f aca="false">SUMIF(CAL!B:F,B40,CAL!H:H)+SUMIF(CAL!J:N,B40,CAL!P:P)</f>
        <v>2</v>
      </c>
      <c r="I40" s="34" t="n">
        <f aca="false">IF(E40=0,0,(D40/(E40*3)))</f>
        <v>0.481481481481481</v>
      </c>
      <c r="J40" s="33" t="n">
        <f aca="false">SUMIF(CAL!B:C,B40,CAL!C:C)+SUMIF(CAL!J:J,B40,CAL!D:D)</f>
        <v>6</v>
      </c>
      <c r="K40" s="22" t="n">
        <f aca="false">SUMIF(CAL!B:D,B40,CAL!D:D)+SUMIF(CAL!J:L,B40,CAL!K:K)</f>
        <v>5</v>
      </c>
      <c r="L40" s="22" t="n">
        <f aca="false">J40-K40</f>
        <v>1</v>
      </c>
      <c r="M40" s="35" t="n">
        <f aca="false">IF(E40=0,0,(J40/E40))</f>
        <v>0.666666666666667</v>
      </c>
      <c r="N40" s="35" t="n">
        <f aca="false">IF(E40=0,0,(K40/E40))</f>
        <v>0.555555555555556</v>
      </c>
      <c r="O40" s="22" t="n">
        <f aca="false">SUMIF(CAL!B:I,B40,CAL!I:I)+SUMIF(CAL!J:Q,B40,CAL!Q:Q)</f>
        <v>5</v>
      </c>
      <c r="P40" s="19" t="n">
        <f aca="false">Q40+R40</f>
        <v>3</v>
      </c>
      <c r="Q40" s="22" t="n">
        <v>0</v>
      </c>
      <c r="R40" s="22" t="n">
        <v>3</v>
      </c>
      <c r="S40" s="22" t="s">
        <v>5409</v>
      </c>
      <c r="T40" s="22" t="s">
        <v>5489</v>
      </c>
      <c r="U40" s="22" t="s">
        <v>5450</v>
      </c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customFormat="false" ht="12" hidden="false" customHeight="true" outlineLevel="0" collapsed="false">
      <c r="A41" s="31" t="n">
        <v>40</v>
      </c>
      <c r="B41" s="32" t="s">
        <v>107</v>
      </c>
      <c r="C41" s="32" t="s">
        <v>5490</v>
      </c>
      <c r="D41" s="22" t="n">
        <f aca="false">SUMIF(CAL!B:E,B41,CAL!E:E)+SUMIF(CAL!J:M,B41,CAL!M:M)</f>
        <v>25</v>
      </c>
      <c r="E41" s="33" t="n">
        <f aca="false">COUNTIF(CAL!B:J,B41)</f>
        <v>18</v>
      </c>
      <c r="F41" s="22" t="n">
        <f aca="false">SUMIF(CAL!B:F,B41,CAL!F:F)+SUMIF(CAL!J:N,B41,CAL!N:N)</f>
        <v>7</v>
      </c>
      <c r="G41" s="22" t="n">
        <f aca="false">SUMIF(CAL!B:F,B41,CAL!G:G)+SUMIF(CAL!J:N,B41,CAL!O:O)</f>
        <v>4</v>
      </c>
      <c r="H41" s="22" t="n">
        <f aca="false">SUMIF(CAL!B:F,B41,CAL!H:H)+SUMIF(CAL!J:N,B41,CAL!P:P)</f>
        <v>7</v>
      </c>
      <c r="I41" s="34" t="n">
        <f aca="false">IF(E41=0,0,(D41/(E41*3)))</f>
        <v>0.462962962962963</v>
      </c>
      <c r="J41" s="33" t="n">
        <f aca="false">SUMIF(CAL!B:C,B41,CAL!C:C)+SUMIF(CAL!J:J,B41,CAL!D:D)</f>
        <v>25</v>
      </c>
      <c r="K41" s="22" t="n">
        <f aca="false">SUMIF(CAL!B:D,B41,CAL!D:D)+SUMIF(CAL!J:L,B41,CAL!K:K)</f>
        <v>25</v>
      </c>
      <c r="L41" s="22" t="n">
        <f aca="false">J41-K41</f>
        <v>0</v>
      </c>
      <c r="M41" s="35" t="n">
        <f aca="false">IF(E41=0,0,(J41/E41))</f>
        <v>1.38888888888889</v>
      </c>
      <c r="N41" s="35" t="n">
        <f aca="false">IF(E41=0,0,(K41/E41))</f>
        <v>1.38888888888889</v>
      </c>
      <c r="O41" s="22" t="n">
        <f aca="false">SUMIF(CAL!B:I,B41,CAL!I:I)+SUMIF(CAL!J:Q,B41,CAL!Q:Q)</f>
        <v>4</v>
      </c>
      <c r="P41" s="19" t="n">
        <f aca="false">Q41+R41</f>
        <v>2</v>
      </c>
      <c r="Q41" s="22" t="n">
        <v>2</v>
      </c>
      <c r="R41" s="22" t="n">
        <v>0</v>
      </c>
      <c r="S41" s="22" t="s">
        <v>5421</v>
      </c>
      <c r="T41" s="22" t="s">
        <v>5491</v>
      </c>
      <c r="U41" s="22" t="s">
        <v>5404</v>
      </c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customFormat="false" ht="12" hidden="false" customHeight="true" outlineLevel="0" collapsed="false">
      <c r="A42" s="31" t="n">
        <v>41</v>
      </c>
      <c r="B42" s="32" t="s">
        <v>217</v>
      </c>
      <c r="C42" s="32" t="s">
        <v>5492</v>
      </c>
      <c r="D42" s="22" t="n">
        <f aca="false">SUMIF(CAL!B:E,B42,CAL!E:E)+SUMIF(CAL!J:M,B42,CAL!M:M)</f>
        <v>17</v>
      </c>
      <c r="E42" s="33" t="n">
        <f aca="false">COUNTIF(CAL!B:J,B42)</f>
        <v>14</v>
      </c>
      <c r="F42" s="22" t="n">
        <f aca="false">SUMIF(CAL!B:F,B42,CAL!F:F)+SUMIF(CAL!J:N,B42,CAL!N:N)</f>
        <v>5</v>
      </c>
      <c r="G42" s="22" t="n">
        <f aca="false">SUMIF(CAL!B:F,B42,CAL!G:G)+SUMIF(CAL!J:N,B42,CAL!O:O)</f>
        <v>2</v>
      </c>
      <c r="H42" s="22" t="n">
        <f aca="false">SUMIF(CAL!B:F,B42,CAL!H:H)+SUMIF(CAL!J:N,B42,CAL!P:P)</f>
        <v>7</v>
      </c>
      <c r="I42" s="34" t="n">
        <f aca="false">IF(E42=0,0,(D42/(E42*3)))</f>
        <v>0.404761904761905</v>
      </c>
      <c r="J42" s="33" t="n">
        <f aca="false">SUMIF(CAL!B:C,B42,CAL!C:C)+SUMIF(CAL!J:J,B42,CAL!D:D)</f>
        <v>14</v>
      </c>
      <c r="K42" s="22" t="n">
        <f aca="false">SUMIF(CAL!B:D,B42,CAL!D:D)+SUMIF(CAL!J:L,B42,CAL!K:K)</f>
        <v>13</v>
      </c>
      <c r="L42" s="22" t="n">
        <f aca="false">J42-K42</f>
        <v>1</v>
      </c>
      <c r="M42" s="35" t="n">
        <f aca="false">IF(E42=0,0,(J42/E42))</f>
        <v>1</v>
      </c>
      <c r="N42" s="35" t="n">
        <f aca="false">IF(E42=0,0,(K42/E42))</f>
        <v>0.928571428571429</v>
      </c>
      <c r="O42" s="22" t="n">
        <f aca="false">SUMIF(CAL!B:I,B42,CAL!I:I)+SUMIF(CAL!J:Q,B42,CAL!Q:Q)</f>
        <v>3</v>
      </c>
      <c r="P42" s="19" t="n">
        <f aca="false">Q42+R42</f>
        <v>2</v>
      </c>
      <c r="Q42" s="22" t="n">
        <v>2</v>
      </c>
      <c r="R42" s="22" t="n">
        <v>0</v>
      </c>
      <c r="S42" s="22" t="s">
        <v>5375</v>
      </c>
      <c r="T42" s="22" t="s">
        <v>5493</v>
      </c>
      <c r="U42" s="22" t="s">
        <v>5447</v>
      </c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customFormat="false" ht="12" hidden="false" customHeight="true" outlineLevel="0" collapsed="false">
      <c r="A43" s="31" t="n">
        <v>42</v>
      </c>
      <c r="B43" s="32" t="s">
        <v>76</v>
      </c>
      <c r="C43" s="32" t="s">
        <v>5494</v>
      </c>
      <c r="D43" s="22" t="n">
        <f aca="false">SUMIF(CAL!B:E,B43,CAL!E:E)+SUMIF(CAL!J:M,B43,CAL!M:M)</f>
        <v>37</v>
      </c>
      <c r="E43" s="33" t="n">
        <f aca="false">COUNTIF(CAL!B:J,B43)</f>
        <v>21</v>
      </c>
      <c r="F43" s="22" t="n">
        <f aca="false">SUMIF(CAL!B:F,B43,CAL!F:F)+SUMIF(CAL!J:N,B43,CAL!N:N)</f>
        <v>11</v>
      </c>
      <c r="G43" s="22" t="n">
        <f aca="false">SUMIF(CAL!B:F,B43,CAL!G:G)+SUMIF(CAL!J:N,B43,CAL!O:O)</f>
        <v>4</v>
      </c>
      <c r="H43" s="22" t="n">
        <f aca="false">SUMIF(CAL!B:F,B43,CAL!H:H)+SUMIF(CAL!J:N,B43,CAL!P:P)</f>
        <v>6</v>
      </c>
      <c r="I43" s="34" t="n">
        <f aca="false">IF(E43=0,0,(D43/(E43*3)))</f>
        <v>0.587301587301587</v>
      </c>
      <c r="J43" s="33" t="n">
        <f aca="false">SUMIF(CAL!B:C,B43,CAL!C:C)+SUMIF(CAL!J:J,B43,CAL!D:D)</f>
        <v>32</v>
      </c>
      <c r="K43" s="22" t="n">
        <f aca="false">SUMIF(CAL!B:D,B43,CAL!D:D)+SUMIF(CAL!J:L,B43,CAL!K:K)</f>
        <v>20</v>
      </c>
      <c r="L43" s="22" t="n">
        <f aca="false">J43-K43</f>
        <v>12</v>
      </c>
      <c r="M43" s="35" t="n">
        <f aca="false">IF(E43=0,0,(J43/E43))</f>
        <v>1.52380952380952</v>
      </c>
      <c r="N43" s="35" t="n">
        <f aca="false">IF(E43=0,0,(K43/E43))</f>
        <v>0.952380952380952</v>
      </c>
      <c r="O43" s="22" t="n">
        <f aca="false">SUMIF(CAL!B:I,B43,CAL!I:I)+SUMIF(CAL!J:Q,B43,CAL!Q:Q)</f>
        <v>7</v>
      </c>
      <c r="P43" s="19" t="n">
        <f aca="false">Q43+R43</f>
        <v>2</v>
      </c>
      <c r="Q43" s="22" t="n">
        <v>2</v>
      </c>
      <c r="R43" s="22" t="n">
        <v>0</v>
      </c>
      <c r="S43" s="22" t="s">
        <v>5375</v>
      </c>
      <c r="T43" s="22" t="s">
        <v>5495</v>
      </c>
      <c r="U43" s="22" t="s">
        <v>5483</v>
      </c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customFormat="false" ht="12" hidden="false" customHeight="true" outlineLevel="0" collapsed="false">
      <c r="A44" s="31" t="n">
        <v>43</v>
      </c>
      <c r="B44" s="32" t="s">
        <v>207</v>
      </c>
      <c r="C44" s="32" t="s">
        <v>5496</v>
      </c>
      <c r="D44" s="22" t="n">
        <f aca="false">SUMIF(CAL!B:E,B44,CAL!E:E)+SUMIF(CAL!J:M,B44,CAL!M:M)</f>
        <v>37</v>
      </c>
      <c r="E44" s="33" t="n">
        <f aca="false">COUNTIF(CAL!B:J,B44)</f>
        <v>23</v>
      </c>
      <c r="F44" s="22" t="n">
        <f aca="false">SUMIF(CAL!B:F,B44,CAL!F:F)+SUMIF(CAL!J:N,B44,CAL!N:N)</f>
        <v>11</v>
      </c>
      <c r="G44" s="22" t="n">
        <f aca="false">SUMIF(CAL!B:F,B44,CAL!G:G)+SUMIF(CAL!J:N,B44,CAL!O:O)</f>
        <v>4</v>
      </c>
      <c r="H44" s="22" t="n">
        <f aca="false">SUMIF(CAL!B:F,B44,CAL!H:H)+SUMIF(CAL!J:N,B44,CAL!P:P)</f>
        <v>8</v>
      </c>
      <c r="I44" s="34" t="n">
        <f aca="false">IF(E44=0,0,(D44/(E44*3)))</f>
        <v>0.536231884057971</v>
      </c>
      <c r="J44" s="33" t="n">
        <f aca="false">SUMIF(CAL!B:C,B44,CAL!C:C)+SUMIF(CAL!J:J,B44,CAL!D:D)</f>
        <v>44</v>
      </c>
      <c r="K44" s="22" t="n">
        <f aca="false">SUMIF(CAL!B:D,B44,CAL!D:D)+SUMIF(CAL!J:L,B44,CAL!K:K)</f>
        <v>25</v>
      </c>
      <c r="L44" s="22" t="n">
        <f aca="false">J44-K44</f>
        <v>19</v>
      </c>
      <c r="M44" s="35" t="n">
        <f aca="false">IF(E44=0,0,(J44/E44))</f>
        <v>1.91304347826087</v>
      </c>
      <c r="N44" s="35" t="n">
        <f aca="false">IF(E44=0,0,(K44/E44))</f>
        <v>1.08695652173913</v>
      </c>
      <c r="O44" s="22" t="n">
        <f aca="false">SUMIF(CAL!B:I,B44,CAL!I:I)+SUMIF(CAL!J:Q,B44,CAL!Q:Q)</f>
        <v>8</v>
      </c>
      <c r="P44" s="19" t="n">
        <f aca="false">Q44+R44</f>
        <v>2</v>
      </c>
      <c r="Q44" s="22" t="n">
        <v>2</v>
      </c>
      <c r="R44" s="22" t="n">
        <v>0</v>
      </c>
      <c r="S44" s="22" t="s">
        <v>5375</v>
      </c>
      <c r="T44" s="22" t="s">
        <v>5464</v>
      </c>
      <c r="U44" s="22" t="s">
        <v>5465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customFormat="false" ht="12" hidden="false" customHeight="true" outlineLevel="0" collapsed="false">
      <c r="A45" s="31" t="n">
        <v>44</v>
      </c>
      <c r="B45" s="32" t="s">
        <v>321</v>
      </c>
      <c r="C45" s="32" t="s">
        <v>5497</v>
      </c>
      <c r="D45" s="22" t="n">
        <f aca="false">SUMIF(CAL!B:E,B45,CAL!E:E)+SUMIF(CAL!J:M,B45,CAL!M:M)</f>
        <v>21</v>
      </c>
      <c r="E45" s="33" t="n">
        <f aca="false">COUNTIF(CAL!B:J,B45)</f>
        <v>14</v>
      </c>
      <c r="F45" s="22" t="n">
        <f aca="false">SUMIF(CAL!B:F,B45,CAL!F:F)+SUMIF(CAL!J:N,B45,CAL!N:N)</f>
        <v>6</v>
      </c>
      <c r="G45" s="22" t="n">
        <f aca="false">SUMIF(CAL!B:F,B45,CAL!G:G)+SUMIF(CAL!J:N,B45,CAL!O:O)</f>
        <v>3</v>
      </c>
      <c r="H45" s="22" t="n">
        <f aca="false">SUMIF(CAL!B:F,B45,CAL!H:H)+SUMIF(CAL!J:N,B45,CAL!P:P)</f>
        <v>5</v>
      </c>
      <c r="I45" s="34" t="n">
        <f aca="false">IF(E45=0,0,(D45/(E45*3)))</f>
        <v>0.5</v>
      </c>
      <c r="J45" s="33" t="n">
        <f aca="false">SUMIF(CAL!B:C,B45,CAL!C:C)+SUMIF(CAL!J:J,B45,CAL!D:D)</f>
        <v>19</v>
      </c>
      <c r="K45" s="22" t="n">
        <f aca="false">SUMIF(CAL!B:D,B45,CAL!D:D)+SUMIF(CAL!J:L,B45,CAL!K:K)</f>
        <v>20</v>
      </c>
      <c r="L45" s="22" t="n">
        <f aca="false">J45-K45</f>
        <v>-1</v>
      </c>
      <c r="M45" s="35" t="n">
        <f aca="false">IF(E45=0,0,(J45/E45))</f>
        <v>1.35714285714286</v>
      </c>
      <c r="N45" s="35" t="n">
        <f aca="false">IF(E45=0,0,(K45/E45))</f>
        <v>1.42857142857143</v>
      </c>
      <c r="O45" s="22" t="n">
        <f aca="false">SUMIF(CAL!B:I,B45,CAL!I:I)+SUMIF(CAL!J:Q,B45,CAL!Q:Q)</f>
        <v>3</v>
      </c>
      <c r="P45" s="19" t="n">
        <f aca="false">Q45+R45</f>
        <v>2</v>
      </c>
      <c r="Q45" s="22" t="n">
        <v>2</v>
      </c>
      <c r="R45" s="22" t="n">
        <v>0</v>
      </c>
      <c r="S45" s="22" t="s">
        <v>5375</v>
      </c>
      <c r="T45" s="22" t="s">
        <v>5498</v>
      </c>
      <c r="U45" s="22" t="s">
        <v>5380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customFormat="false" ht="12" hidden="false" customHeight="true" outlineLevel="0" collapsed="false">
      <c r="A46" s="31" t="n">
        <v>45</v>
      </c>
      <c r="B46" s="32" t="s">
        <v>234</v>
      </c>
      <c r="C46" s="32" t="s">
        <v>5499</v>
      </c>
      <c r="D46" s="22" t="n">
        <f aca="false">SUMIF(CAL!B:E,B46,CAL!E:E)+SUMIF(CAL!J:M,B46,CAL!M:M)</f>
        <v>17</v>
      </c>
      <c r="E46" s="33" t="n">
        <f aca="false">COUNTIF(CAL!B:J,B46)</f>
        <v>18</v>
      </c>
      <c r="F46" s="22" t="n">
        <f aca="false">SUMIF(CAL!B:F,B46,CAL!F:F)+SUMIF(CAL!J:N,B46,CAL!N:N)</f>
        <v>4</v>
      </c>
      <c r="G46" s="22" t="n">
        <f aca="false">SUMIF(CAL!B:F,B46,CAL!G:G)+SUMIF(CAL!J:N,B46,CAL!O:O)</f>
        <v>5</v>
      </c>
      <c r="H46" s="22" t="n">
        <f aca="false">SUMIF(CAL!B:F,B46,CAL!H:H)+SUMIF(CAL!J:N,B46,CAL!P:P)</f>
        <v>9</v>
      </c>
      <c r="I46" s="34" t="n">
        <f aca="false">IF(E46=0,0,(D46/(E46*3)))</f>
        <v>0.314814814814815</v>
      </c>
      <c r="J46" s="33" t="n">
        <f aca="false">SUMIF(CAL!B:C,B46,CAL!C:C)+SUMIF(CAL!J:J,B46,CAL!D:D)</f>
        <v>21</v>
      </c>
      <c r="K46" s="22" t="n">
        <f aca="false">SUMIF(CAL!B:D,B46,CAL!D:D)+SUMIF(CAL!J:L,B46,CAL!K:K)</f>
        <v>22</v>
      </c>
      <c r="L46" s="22" t="n">
        <f aca="false">J46-K46</f>
        <v>-1</v>
      </c>
      <c r="M46" s="35" t="n">
        <f aca="false">IF(E46=0,0,(J46/E46))</f>
        <v>1.16666666666667</v>
      </c>
      <c r="N46" s="35" t="n">
        <f aca="false">IF(E46=0,0,(K46/E46))</f>
        <v>1.22222222222222</v>
      </c>
      <c r="O46" s="22" t="n">
        <f aca="false">SUMIF(CAL!B:I,B46,CAL!I:I)+SUMIF(CAL!J:Q,B46,CAL!Q:Q)</f>
        <v>4</v>
      </c>
      <c r="P46" s="19" t="n">
        <f aca="false">Q46+R46</f>
        <v>2</v>
      </c>
      <c r="Q46" s="22" t="n">
        <v>2</v>
      </c>
      <c r="R46" s="22" t="n">
        <v>0</v>
      </c>
      <c r="S46" s="22" t="s">
        <v>5375</v>
      </c>
      <c r="T46" s="22" t="s">
        <v>5464</v>
      </c>
      <c r="U46" s="22" t="s">
        <v>5465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customFormat="false" ht="12" hidden="false" customHeight="true" outlineLevel="0" collapsed="false">
      <c r="A47" s="31" t="n">
        <v>46</v>
      </c>
      <c r="B47" s="32" t="s">
        <v>73</v>
      </c>
      <c r="C47" s="32" t="s">
        <v>5500</v>
      </c>
      <c r="D47" s="22" t="n">
        <f aca="false">SUMIF(CAL!B:E,B47,CAL!E:E)+SUMIF(CAL!J:M,B47,CAL!M:M)</f>
        <v>31</v>
      </c>
      <c r="E47" s="33" t="n">
        <f aca="false">COUNTIF(CAL!B:J,B47)</f>
        <v>14</v>
      </c>
      <c r="F47" s="22" t="n">
        <f aca="false">SUMIF(CAL!B:F,B47,CAL!F:F)+SUMIF(CAL!J:N,B47,CAL!N:N)</f>
        <v>10</v>
      </c>
      <c r="G47" s="22" t="n">
        <f aca="false">SUMIF(CAL!B:F,B47,CAL!G:G)+SUMIF(CAL!J:N,B47,CAL!O:O)</f>
        <v>1</v>
      </c>
      <c r="H47" s="22" t="n">
        <f aca="false">SUMIF(CAL!B:F,B47,CAL!H:H)+SUMIF(CAL!J:N,B47,CAL!P:P)</f>
        <v>3</v>
      </c>
      <c r="I47" s="34" t="n">
        <f aca="false">IF(E47=0,0,(D47/(E47*3)))</f>
        <v>0.738095238095238</v>
      </c>
      <c r="J47" s="33" t="n">
        <f aca="false">SUMIF(CAL!B:C,B47,CAL!C:C)+SUMIF(CAL!J:J,B47,CAL!D:D)</f>
        <v>28</v>
      </c>
      <c r="K47" s="22" t="n">
        <f aca="false">SUMIF(CAL!B:D,B47,CAL!D:D)+SUMIF(CAL!J:L,B47,CAL!K:K)</f>
        <v>12</v>
      </c>
      <c r="L47" s="22" t="n">
        <f aca="false">J47-K47</f>
        <v>16</v>
      </c>
      <c r="M47" s="35" t="n">
        <f aca="false">IF(E47=0,0,(J47/E47))</f>
        <v>2</v>
      </c>
      <c r="N47" s="35" t="n">
        <f aca="false">IF(E47=0,0,(K47/E47))</f>
        <v>0.857142857142857</v>
      </c>
      <c r="O47" s="22" t="n">
        <f aca="false">SUMIF(CAL!B:I,B47,CAL!I:I)+SUMIF(CAL!J:Q,B47,CAL!Q:Q)</f>
        <v>7</v>
      </c>
      <c r="P47" s="19" t="n">
        <f aca="false">Q47+R47</f>
        <v>2</v>
      </c>
      <c r="Q47" s="22" t="n">
        <v>2</v>
      </c>
      <c r="R47" s="22" t="n">
        <v>0</v>
      </c>
      <c r="S47" s="22" t="s">
        <v>5375</v>
      </c>
      <c r="T47" s="22" t="s">
        <v>5482</v>
      </c>
      <c r="U47" s="22" t="s">
        <v>5483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customFormat="false" ht="12" hidden="false" customHeight="true" outlineLevel="0" collapsed="false">
      <c r="A48" s="31" t="n">
        <v>47</v>
      </c>
      <c r="B48" s="32" t="s">
        <v>274</v>
      </c>
      <c r="C48" s="32" t="s">
        <v>5501</v>
      </c>
      <c r="D48" s="22" t="n">
        <f aca="false">SUMIF(CAL!B:E,B48,CAL!E:E)+SUMIF(CAL!J:M,B48,CAL!M:M)</f>
        <v>26</v>
      </c>
      <c r="E48" s="33" t="n">
        <f aca="false">COUNTIF(CAL!B:J,B48)</f>
        <v>19</v>
      </c>
      <c r="F48" s="22" t="n">
        <f aca="false">SUMIF(CAL!B:F,B48,CAL!F:F)+SUMIF(CAL!J:N,B48,CAL!N:N)</f>
        <v>7</v>
      </c>
      <c r="G48" s="22" t="n">
        <f aca="false">SUMIF(CAL!B:F,B48,CAL!G:G)+SUMIF(CAL!J:N,B48,CAL!O:O)</f>
        <v>5</v>
      </c>
      <c r="H48" s="22" t="n">
        <f aca="false">SUMIF(CAL!B:F,B48,CAL!H:H)+SUMIF(CAL!J:N,B48,CAL!P:P)</f>
        <v>7</v>
      </c>
      <c r="I48" s="34" t="n">
        <f aca="false">IF(E48=0,0,(D48/(E48*3)))</f>
        <v>0.456140350877193</v>
      </c>
      <c r="J48" s="33" t="n">
        <f aca="false">SUMIF(CAL!B:C,B48,CAL!C:C)+SUMIF(CAL!J:J,B48,CAL!D:D)</f>
        <v>21</v>
      </c>
      <c r="K48" s="22" t="n">
        <f aca="false">SUMIF(CAL!B:D,B48,CAL!D:D)+SUMIF(CAL!J:L,B48,CAL!K:K)</f>
        <v>17</v>
      </c>
      <c r="L48" s="22" t="n">
        <f aca="false">J48-K48</f>
        <v>4</v>
      </c>
      <c r="M48" s="35" t="n">
        <f aca="false">IF(E48=0,0,(J48/E48))</f>
        <v>1.10526315789474</v>
      </c>
      <c r="N48" s="35" t="n">
        <f aca="false">IF(E48=0,0,(K48/E48))</f>
        <v>0.894736842105263</v>
      </c>
      <c r="O48" s="22" t="n">
        <f aca="false">SUMIF(CAL!B:I,B48,CAL!I:I)+SUMIF(CAL!J:Q,B48,CAL!Q:Q)</f>
        <v>6</v>
      </c>
      <c r="P48" s="19" t="n">
        <f aca="false">Q48+R48</f>
        <v>2</v>
      </c>
      <c r="Q48" s="22" t="n">
        <v>2</v>
      </c>
      <c r="R48" s="22" t="n">
        <v>0</v>
      </c>
      <c r="S48" s="22" t="s">
        <v>5375</v>
      </c>
      <c r="T48" s="22" t="s">
        <v>5396</v>
      </c>
      <c r="U48" s="22" t="s">
        <v>5397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customFormat="false" ht="12" hidden="false" customHeight="true" outlineLevel="0" collapsed="false">
      <c r="A49" s="31" t="n">
        <v>48</v>
      </c>
      <c r="B49" s="32" t="s">
        <v>243</v>
      </c>
      <c r="C49" s="32" t="s">
        <v>5502</v>
      </c>
      <c r="D49" s="22" t="n">
        <f aca="false">SUMIF(CAL!B:E,B49,CAL!E:E)+SUMIF(CAL!J:M,B49,CAL!M:M)</f>
        <v>30</v>
      </c>
      <c r="E49" s="33" t="n">
        <f aca="false">COUNTIF(CAL!B:J,B49)</f>
        <v>21</v>
      </c>
      <c r="F49" s="22" t="n">
        <f aca="false">SUMIF(CAL!B:F,B49,CAL!F:F)+SUMIF(CAL!J:N,B49,CAL!N:N)</f>
        <v>8</v>
      </c>
      <c r="G49" s="22" t="n">
        <f aca="false">SUMIF(CAL!B:F,B49,CAL!G:G)+SUMIF(CAL!J:N,B49,CAL!O:O)</f>
        <v>6</v>
      </c>
      <c r="H49" s="22" t="n">
        <f aca="false">SUMIF(CAL!B:F,B49,CAL!H:H)+SUMIF(CAL!J:N,B49,CAL!P:P)</f>
        <v>7</v>
      </c>
      <c r="I49" s="34" t="n">
        <f aca="false">IF(E49=0,0,(D49/(E49*3)))</f>
        <v>0.476190476190476</v>
      </c>
      <c r="J49" s="33" t="n">
        <f aca="false">SUMIF(CAL!B:C,B49,CAL!C:C)+SUMIF(CAL!J:J,B49,CAL!D:D)</f>
        <v>25</v>
      </c>
      <c r="K49" s="22" t="n">
        <f aca="false">SUMIF(CAL!B:D,B49,CAL!D:D)+SUMIF(CAL!J:L,B49,CAL!K:K)</f>
        <v>20</v>
      </c>
      <c r="L49" s="22" t="n">
        <f aca="false">J49-K49</f>
        <v>5</v>
      </c>
      <c r="M49" s="35" t="n">
        <f aca="false">IF(E49=0,0,(J49/E49))</f>
        <v>1.19047619047619</v>
      </c>
      <c r="N49" s="35" t="n">
        <f aca="false">IF(E49=0,0,(K49/E49))</f>
        <v>0.952380952380952</v>
      </c>
      <c r="O49" s="22" t="n">
        <f aca="false">SUMIF(CAL!B:I,B49,CAL!I:I)+SUMIF(CAL!J:Q,B49,CAL!Q:Q)</f>
        <v>10</v>
      </c>
      <c r="P49" s="19" t="n">
        <f aca="false">Q49+R49</f>
        <v>2</v>
      </c>
      <c r="Q49" s="22" t="n">
        <v>2</v>
      </c>
      <c r="R49" s="22" t="n">
        <v>0</v>
      </c>
      <c r="S49" s="22" t="s">
        <v>5375</v>
      </c>
      <c r="T49" s="22" t="s">
        <v>5503</v>
      </c>
      <c r="U49" s="22" t="s">
        <v>5450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customFormat="false" ht="12" hidden="false" customHeight="true" outlineLevel="0" collapsed="false">
      <c r="A50" s="31" t="n">
        <v>49</v>
      </c>
      <c r="B50" s="37" t="s">
        <v>83</v>
      </c>
      <c r="C50" s="37" t="s">
        <v>5504</v>
      </c>
      <c r="D50" s="22" t="n">
        <f aca="false">SUMIF(CAL!B:E,B50,CAL!E:E)+SUMIF(CAL!J:M,B50,CAL!M:M)</f>
        <v>46</v>
      </c>
      <c r="E50" s="33" t="n">
        <f aca="false">COUNTIF(CAL!B:J,B50)</f>
        <v>23</v>
      </c>
      <c r="F50" s="22" t="n">
        <f aca="false">SUMIF(CAL!B:F,B50,CAL!F:F)+SUMIF(CAL!J:N,B50,CAL!N:N)</f>
        <v>13</v>
      </c>
      <c r="G50" s="22" t="n">
        <f aca="false">SUMIF(CAL!B:F,B50,CAL!G:G)+SUMIF(CAL!J:N,B50,CAL!O:O)</f>
        <v>7</v>
      </c>
      <c r="H50" s="22" t="n">
        <f aca="false">SUMIF(CAL!B:F,B50,CAL!H:H)+SUMIF(CAL!J:N,B50,CAL!P:P)</f>
        <v>3</v>
      </c>
      <c r="I50" s="34" t="n">
        <f aca="false">IF(E50=0,0,(D50/(E50*3)))</f>
        <v>0.666666666666667</v>
      </c>
      <c r="J50" s="33" t="n">
        <f aca="false">SUMIF(CAL!B:C,B50,CAL!C:C)+SUMIF(CAL!J:J,B50,CAL!D:D)</f>
        <v>38</v>
      </c>
      <c r="K50" s="22" t="n">
        <f aca="false">SUMIF(CAL!B:D,B50,CAL!D:D)+SUMIF(CAL!J:L,B50,CAL!K:K)</f>
        <v>15</v>
      </c>
      <c r="L50" s="22" t="n">
        <f aca="false">J50-K50</f>
        <v>23</v>
      </c>
      <c r="M50" s="35" t="n">
        <f aca="false">IF(E50=0,0,(J50/E50))</f>
        <v>1.65217391304348</v>
      </c>
      <c r="N50" s="35" t="n">
        <f aca="false">IF(E50=0,0,(K50/E50))</f>
        <v>0.652173913043478</v>
      </c>
      <c r="O50" s="22" t="n">
        <f aca="false">SUMIF(CAL!B:I,B50,CAL!I:I)+SUMIF(CAL!J:Q,B50,CAL!Q:Q)</f>
        <v>15</v>
      </c>
      <c r="P50" s="19" t="n">
        <f aca="false">Q50+R50</f>
        <v>2</v>
      </c>
      <c r="Q50" s="22" t="n">
        <v>1</v>
      </c>
      <c r="R50" s="22" t="n">
        <v>1</v>
      </c>
      <c r="S50" s="22" t="s">
        <v>5421</v>
      </c>
      <c r="T50" s="22" t="s">
        <v>5505</v>
      </c>
      <c r="U50" s="22" t="s">
        <v>5414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customFormat="false" ht="12" hidden="false" customHeight="true" outlineLevel="0" collapsed="false">
      <c r="A51" s="31" t="n">
        <v>50</v>
      </c>
      <c r="B51" s="32" t="s">
        <v>38</v>
      </c>
      <c r="C51" s="32" t="s">
        <v>5506</v>
      </c>
      <c r="D51" s="22" t="n">
        <f aca="false">SUMIF(CAL!B:E,B51,CAL!E:E)+SUMIF(CAL!J:M,B51,CAL!M:M)</f>
        <v>35</v>
      </c>
      <c r="E51" s="33" t="n">
        <f aca="false">COUNTIF(CAL!B:J,B51)</f>
        <v>24</v>
      </c>
      <c r="F51" s="22" t="n">
        <f aca="false">SUMIF(CAL!B:F,B51,CAL!F:F)+SUMIF(CAL!J:N,B51,CAL!N:N)</f>
        <v>9</v>
      </c>
      <c r="G51" s="22" t="n">
        <f aca="false">SUMIF(CAL!B:F,B51,CAL!G:G)+SUMIF(CAL!J:N,B51,CAL!O:O)</f>
        <v>8</v>
      </c>
      <c r="H51" s="22" t="n">
        <f aca="false">SUMIF(CAL!B:F,B51,CAL!H:H)+SUMIF(CAL!J:N,B51,CAL!P:P)</f>
        <v>7</v>
      </c>
      <c r="I51" s="34" t="n">
        <f aca="false">IF(E51=0,0,(D51/(E51*3)))</f>
        <v>0.486111111111111</v>
      </c>
      <c r="J51" s="33" t="n">
        <f aca="false">SUMIF(CAL!B:C,B51,CAL!C:C)+SUMIF(CAL!J:J,B51,CAL!D:D)</f>
        <v>32</v>
      </c>
      <c r="K51" s="22" t="n">
        <f aca="false">SUMIF(CAL!B:D,B51,CAL!D:D)+SUMIF(CAL!J:L,B51,CAL!K:K)</f>
        <v>29</v>
      </c>
      <c r="L51" s="22" t="n">
        <f aca="false">J51-K51</f>
        <v>3</v>
      </c>
      <c r="M51" s="35" t="n">
        <f aca="false">IF(E51=0,0,(J51/E51))</f>
        <v>1.33333333333333</v>
      </c>
      <c r="N51" s="35" t="n">
        <f aca="false">IF(E51=0,0,(K51/E51))</f>
        <v>1.20833333333333</v>
      </c>
      <c r="O51" s="22" t="n">
        <f aca="false">SUMIF(CAL!B:I,B51,CAL!I:I)+SUMIF(CAL!J:Q,B51,CAL!Q:Q)</f>
        <v>6</v>
      </c>
      <c r="P51" s="19" t="n">
        <f aca="false">Q51+R51</f>
        <v>2</v>
      </c>
      <c r="Q51" s="22" t="n">
        <v>1</v>
      </c>
      <c r="R51" s="22" t="n">
        <v>1</v>
      </c>
      <c r="S51" s="22" t="s">
        <v>5375</v>
      </c>
      <c r="T51" s="22" t="s">
        <v>5507</v>
      </c>
      <c r="U51" s="22" t="s">
        <v>5431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customFormat="false" ht="12" hidden="false" customHeight="true" outlineLevel="0" collapsed="false">
      <c r="A52" s="31" t="n">
        <v>51</v>
      </c>
      <c r="B52" s="32" t="s">
        <v>136</v>
      </c>
      <c r="C52" s="32" t="s">
        <v>5508</v>
      </c>
      <c r="D52" s="22" t="n">
        <f aca="false">SUMIF(CAL!B:E,B52,CAL!E:E)+SUMIF(CAL!J:M,B52,CAL!M:M)</f>
        <v>17</v>
      </c>
      <c r="E52" s="33" t="n">
        <f aca="false">COUNTIF(CAL!B:J,B52)</f>
        <v>15</v>
      </c>
      <c r="F52" s="22" t="n">
        <f aca="false">SUMIF(CAL!B:F,B52,CAL!F:F)+SUMIF(CAL!J:N,B52,CAL!N:N)</f>
        <v>4</v>
      </c>
      <c r="G52" s="22" t="n">
        <f aca="false">SUMIF(CAL!B:F,B52,CAL!G:G)+SUMIF(CAL!J:N,B52,CAL!O:O)</f>
        <v>5</v>
      </c>
      <c r="H52" s="22" t="n">
        <f aca="false">SUMIF(CAL!B:F,B52,CAL!H:H)+SUMIF(CAL!J:N,B52,CAL!P:P)</f>
        <v>6</v>
      </c>
      <c r="I52" s="34" t="n">
        <f aca="false">IF(E52=0,0,(D52/(E52*3)))</f>
        <v>0.377777777777778</v>
      </c>
      <c r="J52" s="33" t="n">
        <f aca="false">SUMIF(CAL!B:C,B52,CAL!C:C)+SUMIF(CAL!J:J,B52,CAL!D:D)</f>
        <v>17</v>
      </c>
      <c r="K52" s="22" t="n">
        <f aca="false">SUMIF(CAL!B:D,B52,CAL!D:D)+SUMIF(CAL!J:L,B52,CAL!K:K)</f>
        <v>20</v>
      </c>
      <c r="L52" s="22" t="n">
        <f aca="false">J52-K52</f>
        <v>-3</v>
      </c>
      <c r="M52" s="35" t="n">
        <f aca="false">IF(E52=0,0,(J52/E52))</f>
        <v>1.13333333333333</v>
      </c>
      <c r="N52" s="35" t="n">
        <f aca="false">IF(E52=0,0,(K52/E52))</f>
        <v>1.33333333333333</v>
      </c>
      <c r="O52" s="22" t="n">
        <f aca="false">SUMIF(CAL!B:I,B52,CAL!I:I)+SUMIF(CAL!J:Q,B52,CAL!Q:Q)</f>
        <v>4</v>
      </c>
      <c r="P52" s="19" t="n">
        <f aca="false">Q52+R52</f>
        <v>2</v>
      </c>
      <c r="Q52" s="22" t="n">
        <v>1</v>
      </c>
      <c r="R52" s="22" t="n">
        <v>1</v>
      </c>
      <c r="S52" s="22" t="s">
        <v>5375</v>
      </c>
      <c r="T52" s="22" t="s">
        <v>5509</v>
      </c>
      <c r="U52" s="22" t="s">
        <v>5380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customFormat="false" ht="12" hidden="false" customHeight="true" outlineLevel="0" collapsed="false">
      <c r="A53" s="31" t="n">
        <v>52</v>
      </c>
      <c r="B53" s="32" t="s">
        <v>188</v>
      </c>
      <c r="C53" s="32" t="s">
        <v>5510</v>
      </c>
      <c r="D53" s="22" t="n">
        <f aca="false">SUMIF(CAL!B:E,B53,CAL!E:E)+SUMIF(CAL!J:M,B53,CAL!M:M)</f>
        <v>8</v>
      </c>
      <c r="E53" s="33" t="n">
        <f aca="false">COUNTIF(CAL!B:J,B53)</f>
        <v>9</v>
      </c>
      <c r="F53" s="22" t="n">
        <f aca="false">SUMIF(CAL!B:F,B53,CAL!F:F)+SUMIF(CAL!J:N,B53,CAL!N:N)</f>
        <v>2</v>
      </c>
      <c r="G53" s="22" t="n">
        <f aca="false">SUMIF(CAL!B:F,B53,CAL!G:G)+SUMIF(CAL!J:N,B53,CAL!O:O)</f>
        <v>2</v>
      </c>
      <c r="H53" s="22" t="n">
        <f aca="false">SUMIF(CAL!B:F,B53,CAL!H:H)+SUMIF(CAL!J:N,B53,CAL!P:P)</f>
        <v>5</v>
      </c>
      <c r="I53" s="34" t="n">
        <f aca="false">IF(E53=0,0,(D53/(E53*3)))</f>
        <v>0.296296296296296</v>
      </c>
      <c r="J53" s="33" t="n">
        <f aca="false">SUMIF(CAL!B:C,B53,CAL!C:C)+SUMIF(CAL!J:J,B53,CAL!D:D)</f>
        <v>10</v>
      </c>
      <c r="K53" s="22" t="n">
        <f aca="false">SUMIF(CAL!B:D,B53,CAL!D:D)+SUMIF(CAL!J:L,B53,CAL!K:K)</f>
        <v>17</v>
      </c>
      <c r="L53" s="22" t="n">
        <f aca="false">J53-K53</f>
        <v>-7</v>
      </c>
      <c r="M53" s="35" t="n">
        <f aca="false">IF(E53=0,0,(J53/E53))</f>
        <v>1.11111111111111</v>
      </c>
      <c r="N53" s="35" t="n">
        <f aca="false">IF(E53=0,0,(K53/E53))</f>
        <v>1.88888888888889</v>
      </c>
      <c r="O53" s="22" t="n">
        <f aca="false">SUMIF(CAL!B:I,B53,CAL!I:I)+SUMIF(CAL!J:Q,B53,CAL!Q:Q)</f>
        <v>0</v>
      </c>
      <c r="P53" s="19" t="n">
        <f aca="false">Q53+R53</f>
        <v>2</v>
      </c>
      <c r="Q53" s="22" t="n">
        <v>1</v>
      </c>
      <c r="R53" s="22" t="n">
        <v>1</v>
      </c>
      <c r="S53" s="22" t="s">
        <v>5421</v>
      </c>
      <c r="T53" s="22" t="s">
        <v>5505</v>
      </c>
      <c r="U53" s="22" t="s">
        <v>5414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customFormat="false" ht="12" hidden="false" customHeight="true" outlineLevel="0" collapsed="false">
      <c r="A54" s="31" t="n">
        <v>53</v>
      </c>
      <c r="B54" s="32" t="s">
        <v>62</v>
      </c>
      <c r="C54" s="32" t="s">
        <v>5511</v>
      </c>
      <c r="D54" s="22" t="n">
        <f aca="false">SUMIF(CAL!B:E,B54,CAL!E:E)+SUMIF(CAL!J:M,B54,CAL!M:M)</f>
        <v>12</v>
      </c>
      <c r="E54" s="33" t="n">
        <f aca="false">COUNTIF(CAL!B:J,B54)</f>
        <v>9</v>
      </c>
      <c r="F54" s="22" t="n">
        <f aca="false">SUMIF(CAL!B:F,B54,CAL!F:F)+SUMIF(CAL!J:N,B54,CAL!N:N)</f>
        <v>2</v>
      </c>
      <c r="G54" s="22" t="n">
        <f aca="false">SUMIF(CAL!B:F,B54,CAL!G:G)+SUMIF(CAL!J:N,B54,CAL!O:O)</f>
        <v>6</v>
      </c>
      <c r="H54" s="22" t="n">
        <f aca="false">SUMIF(CAL!B:F,B54,CAL!H:H)+SUMIF(CAL!J:N,B54,CAL!P:P)</f>
        <v>1</v>
      </c>
      <c r="I54" s="34" t="n">
        <f aca="false">IF(E54=0,0,(D54/(E54*3)))</f>
        <v>0.444444444444444</v>
      </c>
      <c r="J54" s="33" t="n">
        <f aca="false">SUMIF(CAL!B:C,B54,CAL!C:C)+SUMIF(CAL!J:J,B54,CAL!D:D)</f>
        <v>9</v>
      </c>
      <c r="K54" s="22" t="n">
        <f aca="false">SUMIF(CAL!B:D,B54,CAL!D:D)+SUMIF(CAL!J:L,B54,CAL!K:K)</f>
        <v>7</v>
      </c>
      <c r="L54" s="22" t="n">
        <f aca="false">J54-K54</f>
        <v>2</v>
      </c>
      <c r="M54" s="35" t="n">
        <f aca="false">IF(E54=0,0,(J54/E54))</f>
        <v>1</v>
      </c>
      <c r="N54" s="35" t="n">
        <f aca="false">IF(E54=0,0,(K54/E54))</f>
        <v>0.777777777777778</v>
      </c>
      <c r="O54" s="22" t="n">
        <f aca="false">SUMIF(CAL!B:I,B54,CAL!I:I)+SUMIF(CAL!J:Q,B54,CAL!Q:Q)</f>
        <v>3</v>
      </c>
      <c r="P54" s="19" t="n">
        <f aca="false">Q54+R54</f>
        <v>2</v>
      </c>
      <c r="Q54" s="22" t="n">
        <v>1</v>
      </c>
      <c r="R54" s="22" t="n">
        <v>1</v>
      </c>
      <c r="S54" s="22" t="s">
        <v>5375</v>
      </c>
      <c r="T54" s="22" t="s">
        <v>5512</v>
      </c>
      <c r="U54" s="22" t="s">
        <v>5380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customFormat="false" ht="12" hidden="false" customHeight="true" outlineLevel="0" collapsed="false">
      <c r="A55" s="31" t="n">
        <v>54</v>
      </c>
      <c r="B55" s="32" t="s">
        <v>53</v>
      </c>
      <c r="C55" s="32" t="s">
        <v>5513</v>
      </c>
      <c r="D55" s="22" t="n">
        <f aca="false">SUMIF(CAL!B:E,B55,CAL!E:E)+SUMIF(CAL!J:M,B55,CAL!M:M)</f>
        <v>20</v>
      </c>
      <c r="E55" s="33" t="n">
        <f aca="false">COUNTIF(CAL!B:J,B55)</f>
        <v>13</v>
      </c>
      <c r="F55" s="22" t="n">
        <f aca="false">SUMIF(CAL!B:F,B55,CAL!F:F)+SUMIF(CAL!J:N,B55,CAL!N:N)</f>
        <v>6</v>
      </c>
      <c r="G55" s="22" t="n">
        <f aca="false">SUMIF(CAL!B:F,B55,CAL!G:G)+SUMIF(CAL!J:N,B55,CAL!O:O)</f>
        <v>2</v>
      </c>
      <c r="H55" s="22" t="n">
        <f aca="false">SUMIF(CAL!B:F,B55,CAL!H:H)+SUMIF(CAL!J:N,B55,CAL!P:P)</f>
        <v>5</v>
      </c>
      <c r="I55" s="34" t="n">
        <f aca="false">IF(E55=0,0,(D55/(E55*3)))</f>
        <v>0.512820512820513</v>
      </c>
      <c r="J55" s="33" t="n">
        <f aca="false">SUMIF(CAL!B:C,B55,CAL!C:C)+SUMIF(CAL!J:J,B55,CAL!D:D)</f>
        <v>16</v>
      </c>
      <c r="K55" s="22" t="n">
        <f aca="false">SUMIF(CAL!B:D,B55,CAL!D:D)+SUMIF(CAL!J:L,B55,CAL!K:K)</f>
        <v>11</v>
      </c>
      <c r="L55" s="22" t="n">
        <f aca="false">J55-K55</f>
        <v>5</v>
      </c>
      <c r="M55" s="35" t="n">
        <f aca="false">IF(E55=0,0,(J55/E55))</f>
        <v>1.23076923076923</v>
      </c>
      <c r="N55" s="35" t="n">
        <f aca="false">IF(E55=0,0,(K55/E55))</f>
        <v>0.846153846153846</v>
      </c>
      <c r="O55" s="22" t="n">
        <f aca="false">SUMIF(CAL!B:I,B55,CAL!I:I)+SUMIF(CAL!J:Q,B55,CAL!Q:Q)</f>
        <v>5</v>
      </c>
      <c r="P55" s="19" t="n">
        <f aca="false">Q55+R55</f>
        <v>2</v>
      </c>
      <c r="Q55" s="22" t="n">
        <v>1</v>
      </c>
      <c r="R55" s="22" t="n">
        <v>1</v>
      </c>
      <c r="S55" s="22" t="s">
        <v>5375</v>
      </c>
      <c r="T55" s="22" t="s">
        <v>5410</v>
      </c>
      <c r="U55" s="22" t="s">
        <v>5411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customFormat="false" ht="12" hidden="false" customHeight="true" outlineLevel="0" collapsed="false">
      <c r="A56" s="31" t="n">
        <v>55</v>
      </c>
      <c r="B56" s="32" t="s">
        <v>111</v>
      </c>
      <c r="C56" s="32" t="s">
        <v>5514</v>
      </c>
      <c r="D56" s="22" t="n">
        <f aca="false">SUMIF(CAL!B:E,B56,CAL!E:E)+SUMIF(CAL!J:M,B56,CAL!M:M)</f>
        <v>15</v>
      </c>
      <c r="E56" s="33" t="n">
        <f aca="false">COUNTIF(CAL!B:J,B56)</f>
        <v>10</v>
      </c>
      <c r="F56" s="22" t="n">
        <f aca="false">SUMIF(CAL!B:F,B56,CAL!F:F)+SUMIF(CAL!J:N,B56,CAL!N:N)</f>
        <v>3</v>
      </c>
      <c r="G56" s="22" t="n">
        <f aca="false">SUMIF(CAL!B:F,B56,CAL!G:G)+SUMIF(CAL!J:N,B56,CAL!O:O)</f>
        <v>6</v>
      </c>
      <c r="H56" s="22" t="n">
        <f aca="false">SUMIF(CAL!B:F,B56,CAL!H:H)+SUMIF(CAL!J:N,B56,CAL!P:P)</f>
        <v>1</v>
      </c>
      <c r="I56" s="34" t="n">
        <f aca="false">IF(E56=0,0,(D56/(E56*3)))</f>
        <v>0.5</v>
      </c>
      <c r="J56" s="33" t="n">
        <f aca="false">SUMIF(CAL!B:C,B56,CAL!C:C)+SUMIF(CAL!J:J,B56,CAL!D:D)</f>
        <v>15</v>
      </c>
      <c r="K56" s="22" t="n">
        <f aca="false">SUMIF(CAL!B:D,B56,CAL!D:D)+SUMIF(CAL!J:L,B56,CAL!K:K)</f>
        <v>8</v>
      </c>
      <c r="L56" s="22" t="n">
        <f aca="false">J56-K56</f>
        <v>7</v>
      </c>
      <c r="M56" s="35" t="n">
        <f aca="false">IF(E56=0,0,(J56/E56))</f>
        <v>1.5</v>
      </c>
      <c r="N56" s="35" t="n">
        <f aca="false">IF(E56=0,0,(K56/E56))</f>
        <v>0.8</v>
      </c>
      <c r="O56" s="22" t="n">
        <f aca="false">SUMIF(CAL!B:I,B56,CAL!I:I)+SUMIF(CAL!J:Q,B56,CAL!Q:Q)</f>
        <v>5</v>
      </c>
      <c r="P56" s="19" t="n">
        <f aca="false">Q56+R56</f>
        <v>2</v>
      </c>
      <c r="Q56" s="22" t="n">
        <v>1</v>
      </c>
      <c r="R56" s="22" t="n">
        <v>1</v>
      </c>
      <c r="S56" s="22" t="s">
        <v>5375</v>
      </c>
      <c r="T56" s="22" t="s">
        <v>5515</v>
      </c>
      <c r="U56" s="22" t="s">
        <v>5417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customFormat="false" ht="12" hidden="false" customHeight="true" outlineLevel="0" collapsed="false">
      <c r="A57" s="31" t="n">
        <v>56</v>
      </c>
      <c r="B57" s="32" t="s">
        <v>201</v>
      </c>
      <c r="C57" s="32" t="s">
        <v>5516</v>
      </c>
      <c r="D57" s="22" t="n">
        <f aca="false">SUMIF(CAL!B:E,B57,CAL!E:E)+SUMIF(CAL!J:M,B57,CAL!M:M)</f>
        <v>20</v>
      </c>
      <c r="E57" s="33" t="n">
        <f aca="false">COUNTIF(CAL!B:J,B57)</f>
        <v>13</v>
      </c>
      <c r="F57" s="22" t="n">
        <f aca="false">SUMIF(CAL!B:F,B57,CAL!F:F)+SUMIF(CAL!J:N,B57,CAL!N:N)</f>
        <v>6</v>
      </c>
      <c r="G57" s="22" t="n">
        <f aca="false">SUMIF(CAL!B:F,B57,CAL!G:G)+SUMIF(CAL!J:N,B57,CAL!O:O)</f>
        <v>2</v>
      </c>
      <c r="H57" s="22" t="n">
        <f aca="false">SUMIF(CAL!B:F,B57,CAL!H:H)+SUMIF(CAL!J:N,B57,CAL!P:P)</f>
        <v>5</v>
      </c>
      <c r="I57" s="34" t="n">
        <f aca="false">IF(E57=0,0,(D57/(E57*3)))</f>
        <v>0.512820512820513</v>
      </c>
      <c r="J57" s="33" t="n">
        <f aca="false">SUMIF(CAL!B:C,B57,CAL!C:C)+SUMIF(CAL!J:J,B57,CAL!D:D)</f>
        <v>16</v>
      </c>
      <c r="K57" s="22" t="n">
        <f aca="false">SUMIF(CAL!B:D,B57,CAL!D:D)+SUMIF(CAL!J:L,B57,CAL!K:K)</f>
        <v>12</v>
      </c>
      <c r="L57" s="22" t="n">
        <f aca="false">J57-K57</f>
        <v>4</v>
      </c>
      <c r="M57" s="35" t="n">
        <f aca="false">IF(E57=0,0,(J57/E57))</f>
        <v>1.23076923076923</v>
      </c>
      <c r="N57" s="35" t="n">
        <f aca="false">IF(E57=0,0,(K57/E57))</f>
        <v>0.923076923076923</v>
      </c>
      <c r="O57" s="22" t="n">
        <f aca="false">SUMIF(CAL!B:I,B57,CAL!I:I)+SUMIF(CAL!J:Q,B57,CAL!Q:Q)</f>
        <v>6</v>
      </c>
      <c r="P57" s="19" t="n">
        <f aca="false">Q57+R57</f>
        <v>2</v>
      </c>
      <c r="Q57" s="22" t="n">
        <v>1</v>
      </c>
      <c r="R57" s="22" t="n">
        <v>1</v>
      </c>
      <c r="S57" s="22" t="s">
        <v>5375</v>
      </c>
      <c r="T57" s="22" t="s">
        <v>5517</v>
      </c>
      <c r="U57" s="22" t="s">
        <v>5518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customFormat="false" ht="12" hidden="false" customHeight="true" outlineLevel="0" collapsed="false">
      <c r="A58" s="31" t="n">
        <v>57</v>
      </c>
      <c r="B58" s="32" t="s">
        <v>155</v>
      </c>
      <c r="C58" s="32" t="s">
        <v>5519</v>
      </c>
      <c r="D58" s="22" t="n">
        <f aca="false">SUMIF(CAL!B:E,B58,CAL!E:E)+SUMIF(CAL!J:M,B58,CAL!M:M)</f>
        <v>20</v>
      </c>
      <c r="E58" s="33" t="n">
        <f aca="false">COUNTIF(CAL!B:J,B58)</f>
        <v>17</v>
      </c>
      <c r="F58" s="22" t="n">
        <f aca="false">SUMIF(CAL!B:F,B58,CAL!F:F)+SUMIF(CAL!J:N,B58,CAL!N:N)</f>
        <v>5</v>
      </c>
      <c r="G58" s="22" t="n">
        <f aca="false">SUMIF(CAL!B:F,B58,CAL!G:G)+SUMIF(CAL!J:N,B58,CAL!O:O)</f>
        <v>5</v>
      </c>
      <c r="H58" s="22" t="n">
        <f aca="false">SUMIF(CAL!B:F,B58,CAL!H:H)+SUMIF(CAL!J:N,B58,CAL!P:P)</f>
        <v>7</v>
      </c>
      <c r="I58" s="34" t="n">
        <f aca="false">IF(E58=0,0,(D58/(E58*3)))</f>
        <v>0.392156862745098</v>
      </c>
      <c r="J58" s="33" t="n">
        <f aca="false">SUMIF(CAL!B:C,B58,CAL!C:C)+SUMIF(CAL!J:J,B58,CAL!D:D)</f>
        <v>18</v>
      </c>
      <c r="K58" s="22" t="n">
        <f aca="false">SUMIF(CAL!B:D,B58,CAL!D:D)+SUMIF(CAL!J:L,B58,CAL!K:K)</f>
        <v>19</v>
      </c>
      <c r="L58" s="22" t="n">
        <f aca="false">J58-K58</f>
        <v>-1</v>
      </c>
      <c r="M58" s="35" t="n">
        <f aca="false">IF(E58=0,0,(J58/E58))</f>
        <v>1.05882352941176</v>
      </c>
      <c r="N58" s="35" t="n">
        <f aca="false">IF(E58=0,0,(K58/E58))</f>
        <v>1.11764705882353</v>
      </c>
      <c r="O58" s="22" t="n">
        <f aca="false">SUMIF(CAL!B:I,B58,CAL!I:I)+SUMIF(CAL!J:Q,B58,CAL!Q:Q)</f>
        <v>5</v>
      </c>
      <c r="P58" s="19" t="n">
        <f aca="false">Q58+R58</f>
        <v>2</v>
      </c>
      <c r="Q58" s="22" t="n">
        <v>1</v>
      </c>
      <c r="R58" s="22" t="n">
        <v>1</v>
      </c>
      <c r="S58" s="22" t="s">
        <v>5375</v>
      </c>
      <c r="T58" s="22" t="s">
        <v>5520</v>
      </c>
      <c r="U58" s="22" t="s">
        <v>5414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customFormat="false" ht="12" hidden="false" customHeight="true" outlineLevel="0" collapsed="false">
      <c r="A59" s="31" t="n">
        <v>58</v>
      </c>
      <c r="B59" s="32" t="s">
        <v>114</v>
      </c>
      <c r="C59" s="32" t="s">
        <v>5521</v>
      </c>
      <c r="D59" s="22" t="n">
        <f aca="false">SUMIF(CAL!B:E,B59,CAL!E:E)+SUMIF(CAL!J:M,B59,CAL!M:M)</f>
        <v>20</v>
      </c>
      <c r="E59" s="33" t="n">
        <f aca="false">COUNTIF(CAL!B:J,B59)</f>
        <v>16</v>
      </c>
      <c r="F59" s="22" t="n">
        <f aca="false">SUMIF(CAL!B:F,B59,CAL!F:F)+SUMIF(CAL!J:N,B59,CAL!N:N)</f>
        <v>5</v>
      </c>
      <c r="G59" s="22" t="n">
        <f aca="false">SUMIF(CAL!B:F,B59,CAL!G:G)+SUMIF(CAL!J:N,B59,CAL!O:O)</f>
        <v>5</v>
      </c>
      <c r="H59" s="22" t="n">
        <f aca="false">SUMIF(CAL!B:F,B59,CAL!H:H)+SUMIF(CAL!J:N,B59,CAL!P:P)</f>
        <v>6</v>
      </c>
      <c r="I59" s="34" t="n">
        <f aca="false">IF(E59=0,0,(D59/(E59*3)))</f>
        <v>0.416666666666667</v>
      </c>
      <c r="J59" s="33" t="n">
        <f aca="false">SUMIF(CAL!B:C,B59,CAL!C:C)+SUMIF(CAL!J:J,B59,CAL!D:D)</f>
        <v>19</v>
      </c>
      <c r="K59" s="22" t="n">
        <f aca="false">SUMIF(CAL!B:D,B59,CAL!D:D)+SUMIF(CAL!J:L,B59,CAL!K:K)</f>
        <v>20</v>
      </c>
      <c r="L59" s="22" t="n">
        <f aca="false">J59-K59</f>
        <v>-1</v>
      </c>
      <c r="M59" s="35" t="n">
        <f aca="false">IF(E59=0,0,(J59/E59))</f>
        <v>1.1875</v>
      </c>
      <c r="N59" s="35" t="n">
        <f aca="false">IF(E59=0,0,(K59/E59))</f>
        <v>1.25</v>
      </c>
      <c r="O59" s="22" t="n">
        <f aca="false">SUMIF(CAL!B:I,B59,CAL!I:I)+SUMIF(CAL!J:Q,B59,CAL!Q:Q)</f>
        <v>4</v>
      </c>
      <c r="P59" s="19" t="n">
        <f aca="false">Q59+R59</f>
        <v>2</v>
      </c>
      <c r="Q59" s="22" t="n">
        <v>1</v>
      </c>
      <c r="R59" s="22" t="n">
        <v>1</v>
      </c>
      <c r="S59" s="22" t="s">
        <v>5375</v>
      </c>
      <c r="T59" s="22" t="s">
        <v>5522</v>
      </c>
      <c r="U59" s="22" t="s">
        <v>5523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customFormat="false" ht="12" hidden="false" customHeight="true" outlineLevel="0" collapsed="false">
      <c r="A60" s="31" t="n">
        <v>59</v>
      </c>
      <c r="B60" s="32" t="s">
        <v>199</v>
      </c>
      <c r="C60" s="32" t="s">
        <v>5524</v>
      </c>
      <c r="D60" s="22" t="n">
        <f aca="false">SUMIF(CAL!B:E,B60,CAL!E:E)+SUMIF(CAL!J:M,B60,CAL!M:M)</f>
        <v>22</v>
      </c>
      <c r="E60" s="33" t="n">
        <f aca="false">COUNTIF(CAL!B:J,B60)</f>
        <v>18</v>
      </c>
      <c r="F60" s="22" t="n">
        <f aca="false">SUMIF(CAL!B:F,B60,CAL!F:F)+SUMIF(CAL!J:N,B60,CAL!N:N)</f>
        <v>4</v>
      </c>
      <c r="G60" s="22" t="n">
        <f aca="false">SUMIF(CAL!B:F,B60,CAL!G:G)+SUMIF(CAL!J:N,B60,CAL!O:O)</f>
        <v>10</v>
      </c>
      <c r="H60" s="22" t="n">
        <f aca="false">SUMIF(CAL!B:F,B60,CAL!H:H)+SUMIF(CAL!J:N,B60,CAL!P:P)</f>
        <v>4</v>
      </c>
      <c r="I60" s="34" t="n">
        <f aca="false">IF(E60=0,0,(D60/(E60*3)))</f>
        <v>0.407407407407407</v>
      </c>
      <c r="J60" s="33" t="n">
        <f aca="false">SUMIF(CAL!B:C,B60,CAL!C:C)+SUMIF(CAL!J:J,B60,CAL!D:D)</f>
        <v>20</v>
      </c>
      <c r="K60" s="22" t="n">
        <f aca="false">SUMIF(CAL!B:D,B60,CAL!D:D)+SUMIF(CAL!J:L,B60,CAL!K:K)</f>
        <v>20</v>
      </c>
      <c r="L60" s="22" t="n">
        <f aca="false">J60-K60</f>
        <v>0</v>
      </c>
      <c r="M60" s="35" t="n">
        <f aca="false">IF(E60=0,0,(J60/E60))</f>
        <v>1.11111111111111</v>
      </c>
      <c r="N60" s="35" t="n">
        <f aca="false">IF(E60=0,0,(K60/E60))</f>
        <v>1.11111111111111</v>
      </c>
      <c r="O60" s="22" t="n">
        <f aca="false">SUMIF(CAL!B:I,B60,CAL!I:I)+SUMIF(CAL!J:Q,B60,CAL!Q:Q)</f>
        <v>5</v>
      </c>
      <c r="P60" s="19" t="n">
        <f aca="false">Q60+R60</f>
        <v>2</v>
      </c>
      <c r="Q60" s="22" t="n">
        <v>0</v>
      </c>
      <c r="R60" s="22" t="n">
        <v>2</v>
      </c>
      <c r="S60" s="22" t="s">
        <v>5421</v>
      </c>
      <c r="T60" s="22" t="s">
        <v>5525</v>
      </c>
      <c r="U60" s="22" t="s">
        <v>5380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customFormat="false" ht="12" hidden="false" customHeight="true" outlineLevel="0" collapsed="false">
      <c r="A61" s="31" t="n">
        <v>60</v>
      </c>
      <c r="B61" s="32" t="s">
        <v>51</v>
      </c>
      <c r="C61" s="32" t="s">
        <v>5526</v>
      </c>
      <c r="D61" s="22" t="n">
        <f aca="false">SUMIF(CAL!B:E,B61,CAL!E:E)+SUMIF(CAL!J:M,B61,CAL!M:M)</f>
        <v>31</v>
      </c>
      <c r="E61" s="33" t="n">
        <f aca="false">COUNTIF(CAL!B:J,B61)</f>
        <v>20</v>
      </c>
      <c r="F61" s="22" t="n">
        <f aca="false">SUMIF(CAL!B:F,B61,CAL!F:F)+SUMIF(CAL!J:N,B61,CAL!N:N)</f>
        <v>8</v>
      </c>
      <c r="G61" s="22" t="n">
        <f aca="false">SUMIF(CAL!B:F,B61,CAL!G:G)+SUMIF(CAL!J:N,B61,CAL!O:O)</f>
        <v>7</v>
      </c>
      <c r="H61" s="22" t="n">
        <f aca="false">SUMIF(CAL!B:F,B61,CAL!H:H)+SUMIF(CAL!J:N,B61,CAL!P:P)</f>
        <v>5</v>
      </c>
      <c r="I61" s="34" t="n">
        <f aca="false">IF(E61=0,0,(D61/(E61*3)))</f>
        <v>0.516666666666667</v>
      </c>
      <c r="J61" s="33" t="n">
        <f aca="false">SUMIF(CAL!B:C,B61,CAL!C:C)+SUMIF(CAL!J:J,B61,CAL!D:D)</f>
        <v>25</v>
      </c>
      <c r="K61" s="22" t="n">
        <f aca="false">SUMIF(CAL!B:D,B61,CAL!D:D)+SUMIF(CAL!J:L,B61,CAL!K:K)</f>
        <v>21</v>
      </c>
      <c r="L61" s="22" t="n">
        <f aca="false">J61-K61</f>
        <v>4</v>
      </c>
      <c r="M61" s="35" t="n">
        <f aca="false">IF(E61=0,0,(J61/E61))</f>
        <v>1.25</v>
      </c>
      <c r="N61" s="35" t="n">
        <f aca="false">IF(E61=0,0,(K61/E61))</f>
        <v>1.05</v>
      </c>
      <c r="O61" s="22" t="n">
        <f aca="false">SUMIF(CAL!B:I,B61,CAL!I:I)+SUMIF(CAL!J:Q,B61,CAL!Q:Q)</f>
        <v>7</v>
      </c>
      <c r="P61" s="19" t="n">
        <f aca="false">Q61+R61</f>
        <v>2</v>
      </c>
      <c r="Q61" s="22" t="n">
        <v>0</v>
      </c>
      <c r="R61" s="22" t="n">
        <v>2</v>
      </c>
      <c r="S61" s="22" t="s">
        <v>5409</v>
      </c>
      <c r="T61" s="22" t="s">
        <v>5527</v>
      </c>
      <c r="U61" s="22" t="s">
        <v>5450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customFormat="false" ht="12" hidden="false" customHeight="true" outlineLevel="0" collapsed="false">
      <c r="A62" s="31" t="n">
        <v>61</v>
      </c>
      <c r="B62" s="36" t="s">
        <v>153</v>
      </c>
      <c r="C62" s="32" t="s">
        <v>5528</v>
      </c>
      <c r="D62" s="22" t="n">
        <f aca="false">SUMIF(CAL!B:E,B62,CAL!E:E)+SUMIF(CAL!J:M,B62,CAL!M:M)</f>
        <v>18</v>
      </c>
      <c r="E62" s="33" t="n">
        <f aca="false">COUNTIF(CAL!B:J,B62)</f>
        <v>12</v>
      </c>
      <c r="F62" s="22" t="n">
        <f aca="false">SUMIF(CAL!B:F,B62,CAL!F:F)+SUMIF(CAL!J:N,B62,CAL!N:N)</f>
        <v>4</v>
      </c>
      <c r="G62" s="22" t="n">
        <f aca="false">SUMIF(CAL!B:F,B62,CAL!G:G)+SUMIF(CAL!J:N,B62,CAL!O:O)</f>
        <v>6</v>
      </c>
      <c r="H62" s="22" t="n">
        <f aca="false">SUMIF(CAL!B:F,B62,CAL!H:H)+SUMIF(CAL!J:N,B62,CAL!P:P)</f>
        <v>2</v>
      </c>
      <c r="I62" s="34" t="n">
        <f aca="false">IF(E62=0,0,(D62/(E62*3)))</f>
        <v>0.5</v>
      </c>
      <c r="J62" s="33" t="n">
        <f aca="false">SUMIF(CAL!B:C,B62,CAL!C:C)+SUMIF(CAL!J:J,B62,CAL!D:D)</f>
        <v>18</v>
      </c>
      <c r="K62" s="22" t="n">
        <f aca="false">SUMIF(CAL!B:D,B62,CAL!D:D)+SUMIF(CAL!J:L,B62,CAL!K:K)</f>
        <v>13</v>
      </c>
      <c r="L62" s="22" t="n">
        <f aca="false">J62-K62</f>
        <v>5</v>
      </c>
      <c r="M62" s="35" t="n">
        <f aca="false">IF(E62=0,0,(J62/E62))</f>
        <v>1.5</v>
      </c>
      <c r="N62" s="35" t="n">
        <f aca="false">IF(E62=0,0,(K62/E62))</f>
        <v>1.08333333333333</v>
      </c>
      <c r="O62" s="22" t="n">
        <f aca="false">SUMIF(CAL!B:I,B62,CAL!I:I)+SUMIF(CAL!J:Q,B62,CAL!Q:Q)</f>
        <v>4</v>
      </c>
      <c r="P62" s="19" t="n">
        <f aca="false">Q62+R62</f>
        <v>2</v>
      </c>
      <c r="Q62" s="22" t="n">
        <v>0</v>
      </c>
      <c r="R62" s="22" t="n">
        <v>2</v>
      </c>
      <c r="S62" s="22" t="s">
        <v>5440</v>
      </c>
      <c r="T62" s="22" t="s">
        <v>5529</v>
      </c>
      <c r="U62" s="22" t="s">
        <v>5458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customFormat="false" ht="12" hidden="false" customHeight="true" outlineLevel="0" collapsed="false">
      <c r="A63" s="31" t="n">
        <v>62</v>
      </c>
      <c r="B63" s="32" t="s">
        <v>203</v>
      </c>
      <c r="C63" s="32" t="s">
        <v>5530</v>
      </c>
      <c r="D63" s="22" t="n">
        <f aca="false">SUMIF(CAL!B:E,B63,CAL!E:E)+SUMIF(CAL!J:M,B63,CAL!M:M)</f>
        <v>4</v>
      </c>
      <c r="E63" s="33" t="n">
        <f aca="false">COUNTIF(CAL!B:J,B63)</f>
        <v>8</v>
      </c>
      <c r="F63" s="22" t="n">
        <f aca="false">SUMIF(CAL!B:F,B63,CAL!F:F)+SUMIF(CAL!J:N,B63,CAL!N:N)</f>
        <v>0</v>
      </c>
      <c r="G63" s="22" t="n">
        <f aca="false">SUMIF(CAL!B:F,B63,CAL!G:G)+SUMIF(CAL!J:N,B63,CAL!O:O)</f>
        <v>4</v>
      </c>
      <c r="H63" s="22" t="n">
        <f aca="false">SUMIF(CAL!B:F,B63,CAL!H:H)+SUMIF(CAL!J:N,B63,CAL!P:P)</f>
        <v>4</v>
      </c>
      <c r="I63" s="34" t="n">
        <f aca="false">IF(E63=0,0,(D63/(E63*3)))</f>
        <v>0.166666666666667</v>
      </c>
      <c r="J63" s="33" t="n">
        <f aca="false">SUMIF(CAL!B:C,B63,CAL!C:C)+SUMIF(CAL!J:J,B63,CAL!D:D)</f>
        <v>6</v>
      </c>
      <c r="K63" s="22" t="n">
        <f aca="false">SUMIF(CAL!B:D,B63,CAL!D:D)+SUMIF(CAL!J:L,B63,CAL!K:K)</f>
        <v>13</v>
      </c>
      <c r="L63" s="22" t="n">
        <f aca="false">J63-K63</f>
        <v>-7</v>
      </c>
      <c r="M63" s="35" t="n">
        <f aca="false">IF(E63=0,0,(J63/E63))</f>
        <v>0.75</v>
      </c>
      <c r="N63" s="35" t="n">
        <f aca="false">IF(E63=0,0,(K63/E63))</f>
        <v>1.625</v>
      </c>
      <c r="O63" s="22" t="n">
        <f aca="false">SUMIF(CAL!B:I,B63,CAL!I:I)+SUMIF(CAL!J:Q,B63,CAL!Q:Q)</f>
        <v>1</v>
      </c>
      <c r="P63" s="19" t="n">
        <f aca="false">Q63+R63</f>
        <v>2</v>
      </c>
      <c r="Q63" s="22" t="n">
        <v>0</v>
      </c>
      <c r="R63" s="22" t="n">
        <v>2</v>
      </c>
      <c r="S63" s="22" t="s">
        <v>5440</v>
      </c>
      <c r="T63" s="22" t="s">
        <v>5531</v>
      </c>
      <c r="U63" s="22" t="s">
        <v>5434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customFormat="false" ht="12" hidden="false" customHeight="true" outlineLevel="0" collapsed="false">
      <c r="A64" s="31" t="n">
        <v>63</v>
      </c>
      <c r="B64" s="36" t="s">
        <v>253</v>
      </c>
      <c r="C64" s="32" t="s">
        <v>5532</v>
      </c>
      <c r="D64" s="22" t="n">
        <f aca="false">SUMIF(CAL!B:E,B64,CAL!E:E)+SUMIF(CAL!J:M,B64,CAL!M:M)</f>
        <v>25</v>
      </c>
      <c r="E64" s="33" t="n">
        <f aca="false">COUNTIF(CAL!B:J,B64)</f>
        <v>16</v>
      </c>
      <c r="F64" s="22" t="n">
        <f aca="false">SUMIF(CAL!B:F,B64,CAL!F:F)+SUMIF(CAL!J:N,B64,CAL!N:N)</f>
        <v>6</v>
      </c>
      <c r="G64" s="22" t="n">
        <f aca="false">SUMIF(CAL!B:F,B64,CAL!G:G)+SUMIF(CAL!J:N,B64,CAL!O:O)</f>
        <v>7</v>
      </c>
      <c r="H64" s="22" t="n">
        <f aca="false">SUMIF(CAL!B:F,B64,CAL!H:H)+SUMIF(CAL!J:N,B64,CAL!P:P)</f>
        <v>3</v>
      </c>
      <c r="I64" s="34" t="n">
        <f aca="false">IF(E64=0,0,(D64/(E64*3)))</f>
        <v>0.520833333333333</v>
      </c>
      <c r="J64" s="33" t="n">
        <f aca="false">SUMIF(CAL!B:C,B64,CAL!C:C)+SUMIF(CAL!J:J,B64,CAL!D:D)</f>
        <v>20</v>
      </c>
      <c r="K64" s="22" t="n">
        <f aca="false">SUMIF(CAL!B:D,B64,CAL!D:D)+SUMIF(CAL!J:L,B64,CAL!K:K)</f>
        <v>13</v>
      </c>
      <c r="L64" s="22" t="n">
        <f aca="false">J64-K64</f>
        <v>7</v>
      </c>
      <c r="M64" s="35" t="n">
        <f aca="false">IF(E64=0,0,(J64/E64))</f>
        <v>1.25</v>
      </c>
      <c r="N64" s="35" t="n">
        <f aca="false">IF(E64=0,0,(K64/E64))</f>
        <v>0.8125</v>
      </c>
      <c r="O64" s="22" t="n">
        <f aca="false">SUMIF(CAL!B:I,B64,CAL!I:I)+SUMIF(CAL!J:Q,B64,CAL!Q:Q)</f>
        <v>5</v>
      </c>
      <c r="P64" s="19" t="n">
        <f aca="false">Q64+R64</f>
        <v>2</v>
      </c>
      <c r="Q64" s="22" t="n">
        <v>0</v>
      </c>
      <c r="R64" s="22" t="n">
        <v>2</v>
      </c>
      <c r="S64" s="22" t="s">
        <v>5375</v>
      </c>
      <c r="T64" s="22" t="s">
        <v>5533</v>
      </c>
      <c r="U64" s="22" t="s">
        <v>5431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customFormat="false" ht="12" hidden="false" customHeight="true" outlineLevel="0" collapsed="false">
      <c r="A65" s="31" t="n">
        <v>64</v>
      </c>
      <c r="B65" s="32" t="s">
        <v>214</v>
      </c>
      <c r="C65" s="32" t="s">
        <v>5534</v>
      </c>
      <c r="D65" s="22" t="n">
        <f aca="false">SUMIF(CAL!B:E,B65,CAL!E:E)+SUMIF(CAL!J:M,B65,CAL!M:M)</f>
        <v>27</v>
      </c>
      <c r="E65" s="33" t="n">
        <f aca="false">COUNTIF(CAL!B:J,B65)</f>
        <v>16</v>
      </c>
      <c r="F65" s="22" t="n">
        <f aca="false">SUMIF(CAL!B:F,B65,CAL!F:F)+SUMIF(CAL!J:N,B65,CAL!N:N)</f>
        <v>7</v>
      </c>
      <c r="G65" s="22" t="n">
        <f aca="false">SUMIF(CAL!B:F,B65,CAL!G:G)+SUMIF(CAL!J:N,B65,CAL!O:O)</f>
        <v>6</v>
      </c>
      <c r="H65" s="22" t="n">
        <f aca="false">SUMIF(CAL!B:F,B65,CAL!H:H)+SUMIF(CAL!J:N,B65,CAL!P:P)</f>
        <v>3</v>
      </c>
      <c r="I65" s="34" t="n">
        <f aca="false">IF(E65=0,0,(D65/(E65*3)))</f>
        <v>0.5625</v>
      </c>
      <c r="J65" s="33" t="n">
        <f aca="false">SUMIF(CAL!B:C,B65,CAL!C:C)+SUMIF(CAL!J:J,B65,CAL!D:D)</f>
        <v>28</v>
      </c>
      <c r="K65" s="22" t="n">
        <f aca="false">SUMIF(CAL!B:D,B65,CAL!D:D)+SUMIF(CAL!J:L,B65,CAL!K:K)</f>
        <v>15</v>
      </c>
      <c r="L65" s="22" t="n">
        <f aca="false">J65-K65</f>
        <v>13</v>
      </c>
      <c r="M65" s="35" t="n">
        <f aca="false">IF(E65=0,0,(J65/E65))</f>
        <v>1.75</v>
      </c>
      <c r="N65" s="35" t="n">
        <f aca="false">IF(E65=0,0,(K65/E65))</f>
        <v>0.9375</v>
      </c>
      <c r="O65" s="22" t="n">
        <f aca="false">SUMIF(CAL!B:I,B65,CAL!I:I)+SUMIF(CAL!J:Q,B65,CAL!Q:Q)</f>
        <v>5</v>
      </c>
      <c r="P65" s="19" t="n">
        <f aca="false">Q65+R65</f>
        <v>1</v>
      </c>
      <c r="Q65" s="22" t="n">
        <v>1</v>
      </c>
      <c r="R65" s="22" t="n">
        <v>0</v>
      </c>
      <c r="S65" s="22" t="s">
        <v>5375</v>
      </c>
      <c r="T65" s="22" t="s">
        <v>5535</v>
      </c>
      <c r="U65" s="22" t="s">
        <v>5471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customFormat="false" ht="12" hidden="false" customHeight="true" outlineLevel="0" collapsed="false">
      <c r="A66" s="31" t="n">
        <v>65</v>
      </c>
      <c r="B66" s="32" t="s">
        <v>106</v>
      </c>
      <c r="C66" s="32" t="s">
        <v>5536</v>
      </c>
      <c r="D66" s="22" t="n">
        <f aca="false">SUMIF(CAL!B:E,B66,CAL!E:E)+SUMIF(CAL!J:M,B66,CAL!M:M)</f>
        <v>38</v>
      </c>
      <c r="E66" s="33" t="n">
        <f aca="false">COUNTIF(CAL!B:J,B66)</f>
        <v>23</v>
      </c>
      <c r="F66" s="22" t="n">
        <f aca="false">SUMIF(CAL!B:F,B66,CAL!F:F)+SUMIF(CAL!J:N,B66,CAL!N:N)</f>
        <v>11</v>
      </c>
      <c r="G66" s="22" t="n">
        <f aca="false">SUMIF(CAL!B:F,B66,CAL!G:G)+SUMIF(CAL!J:N,B66,CAL!O:O)</f>
        <v>5</v>
      </c>
      <c r="H66" s="22" t="n">
        <f aca="false">SUMIF(CAL!B:F,B66,CAL!H:H)+SUMIF(CAL!J:N,B66,CAL!P:P)</f>
        <v>7</v>
      </c>
      <c r="I66" s="34" t="n">
        <f aca="false">IF(E66=0,0,(D66/(E66*3)))</f>
        <v>0.550724637681159</v>
      </c>
      <c r="J66" s="33" t="n">
        <f aca="false">SUMIF(CAL!B:C,B66,CAL!C:C)+SUMIF(CAL!J:J,B66,CAL!D:D)</f>
        <v>26</v>
      </c>
      <c r="K66" s="22" t="n">
        <f aca="false">SUMIF(CAL!B:D,B66,CAL!D:D)+SUMIF(CAL!J:L,B66,CAL!K:K)</f>
        <v>19</v>
      </c>
      <c r="L66" s="22" t="n">
        <f aca="false">J66-K66</f>
        <v>7</v>
      </c>
      <c r="M66" s="35" t="n">
        <f aca="false">IF(E66=0,0,(J66/E66))</f>
        <v>1.1304347826087</v>
      </c>
      <c r="N66" s="35" t="n">
        <f aca="false">IF(E66=0,0,(K66/E66))</f>
        <v>0.826086956521739</v>
      </c>
      <c r="O66" s="22" t="n">
        <f aca="false">SUMIF(CAL!B:I,B66,CAL!I:I)+SUMIF(CAL!J:Q,B66,CAL!Q:Q)</f>
        <v>12</v>
      </c>
      <c r="P66" s="19" t="n">
        <f aca="false">Q66+R66</f>
        <v>1</v>
      </c>
      <c r="Q66" s="22" t="n">
        <v>1</v>
      </c>
      <c r="R66" s="22" t="n">
        <v>0</v>
      </c>
      <c r="S66" s="22" t="s">
        <v>5440</v>
      </c>
      <c r="T66" s="22" t="s">
        <v>5441</v>
      </c>
      <c r="U66" s="22" t="s">
        <v>5423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customFormat="false" ht="12" hidden="false" customHeight="true" outlineLevel="0" collapsed="false">
      <c r="A67" s="31" t="n">
        <v>66</v>
      </c>
      <c r="B67" s="32" t="s">
        <v>442</v>
      </c>
      <c r="C67" s="32" t="s">
        <v>5537</v>
      </c>
      <c r="D67" s="22" t="n">
        <f aca="false">SUMIF(CAL!B:E,B67,CAL!E:E)+SUMIF(CAL!J:M,B67,CAL!M:M)</f>
        <v>3</v>
      </c>
      <c r="E67" s="33" t="n">
        <f aca="false">COUNTIF(CAL!B:J,B67)</f>
        <v>1</v>
      </c>
      <c r="F67" s="22" t="n">
        <f aca="false">SUMIF(CAL!B:F,B67,CAL!F:F)+SUMIF(CAL!J:N,B67,CAL!N:N)</f>
        <v>1</v>
      </c>
      <c r="G67" s="22" t="n">
        <f aca="false">SUMIF(CAL!B:F,B67,CAL!G:G)+SUMIF(CAL!J:N,B67,CAL!O:O)</f>
        <v>0</v>
      </c>
      <c r="H67" s="22" t="n">
        <f aca="false">SUMIF(CAL!B:F,B67,CAL!H:H)+SUMIF(CAL!J:N,B67,CAL!P:P)</f>
        <v>0</v>
      </c>
      <c r="I67" s="34" t="n">
        <f aca="false">IF(E67=0,0,(D67/(E67*3)))</f>
        <v>1</v>
      </c>
      <c r="J67" s="33" t="n">
        <f aca="false">SUMIF(CAL!B:C,B67,CAL!C:C)+SUMIF(CAL!J:J,B67,CAL!D:D)</f>
        <v>3</v>
      </c>
      <c r="K67" s="22" t="n">
        <f aca="false">SUMIF(CAL!B:D,B67,CAL!D:D)+SUMIF(CAL!J:L,B67,CAL!K:K)</f>
        <v>0</v>
      </c>
      <c r="L67" s="22" t="n">
        <f aca="false">J67-K67</f>
        <v>3</v>
      </c>
      <c r="M67" s="35" t="n">
        <f aca="false">IF(E67=0,0,(J67/E67))</f>
        <v>3</v>
      </c>
      <c r="N67" s="35" t="n">
        <f aca="false">IF(E67=0,0,(K67/E67))</f>
        <v>0</v>
      </c>
      <c r="O67" s="22" t="n">
        <f aca="false">SUMIF(CAL!B:I,B67,CAL!I:I)+SUMIF(CAL!J:Q,B67,CAL!Q:Q)</f>
        <v>1</v>
      </c>
      <c r="P67" s="19" t="n">
        <f aca="false">Q67+R67</f>
        <v>1</v>
      </c>
      <c r="Q67" s="22" t="n">
        <v>1</v>
      </c>
      <c r="R67" s="22" t="n">
        <v>0</v>
      </c>
      <c r="S67" s="22" t="s">
        <v>5440</v>
      </c>
      <c r="T67" s="22" t="s">
        <v>5538</v>
      </c>
      <c r="U67" s="22" t="s">
        <v>5453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customFormat="false" ht="12" hidden="false" customHeight="true" outlineLevel="0" collapsed="false">
      <c r="A68" s="31" t="n">
        <v>67</v>
      </c>
      <c r="B68" s="32" t="s">
        <v>445</v>
      </c>
      <c r="C68" s="32" t="s">
        <v>5539</v>
      </c>
      <c r="D68" s="22" t="n">
        <f aca="false">SUMIF(CAL!B:E,B68,CAL!E:E)+SUMIF(CAL!J:M,B68,CAL!M:M)</f>
        <v>3</v>
      </c>
      <c r="E68" s="33" t="n">
        <f aca="false">COUNTIF(CAL!B:J,B68)</f>
        <v>1</v>
      </c>
      <c r="F68" s="22" t="n">
        <f aca="false">SUMIF(CAL!B:F,B68,CAL!F:F)+SUMIF(CAL!J:N,B68,CAL!N:N)</f>
        <v>1</v>
      </c>
      <c r="G68" s="22" t="n">
        <f aca="false">SUMIF(CAL!B:F,B68,CAL!G:G)+SUMIF(CAL!J:N,B68,CAL!O:O)</f>
        <v>0</v>
      </c>
      <c r="H68" s="22" t="n">
        <f aca="false">SUMIF(CAL!B:F,B68,CAL!H:H)+SUMIF(CAL!J:N,B68,CAL!P:P)</f>
        <v>0</v>
      </c>
      <c r="I68" s="34" t="n">
        <f aca="false">IF(E68=0,0,(D68/(E68*3)))</f>
        <v>1</v>
      </c>
      <c r="J68" s="33" t="n">
        <f aca="false">SUMIF(CAL!B:C,B68,CAL!C:C)+SUMIF(CAL!J:J,B68,CAL!D:D)</f>
        <v>2</v>
      </c>
      <c r="K68" s="22" t="n">
        <f aca="false">SUMIF(CAL!B:D,B68,CAL!D:D)+SUMIF(CAL!J:L,B68,CAL!K:K)</f>
        <v>1</v>
      </c>
      <c r="L68" s="22" t="n">
        <f aca="false">J68-K68</f>
        <v>1</v>
      </c>
      <c r="M68" s="35" t="n">
        <f aca="false">IF(E68=0,0,(J68/E68))</f>
        <v>2</v>
      </c>
      <c r="N68" s="35" t="n">
        <f aca="false">IF(E68=0,0,(K68/E68))</f>
        <v>1</v>
      </c>
      <c r="O68" s="22" t="n">
        <f aca="false">SUMIF(CAL!B:I,B68,CAL!I:I)+SUMIF(CAL!J:Q,B68,CAL!Q:Q)</f>
        <v>0</v>
      </c>
      <c r="P68" s="19" t="n">
        <f aca="false">Q68+R68</f>
        <v>1</v>
      </c>
      <c r="Q68" s="22" t="n">
        <v>1</v>
      </c>
      <c r="R68" s="22" t="n">
        <v>0</v>
      </c>
      <c r="S68" s="22" t="s">
        <v>5375</v>
      </c>
      <c r="T68" s="22" t="s">
        <v>5540</v>
      </c>
      <c r="U68" s="22" t="s">
        <v>5471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customFormat="false" ht="12" hidden="false" customHeight="true" outlineLevel="0" collapsed="false">
      <c r="A69" s="31" t="n">
        <v>68</v>
      </c>
      <c r="B69" s="32" t="s">
        <v>39</v>
      </c>
      <c r="C69" s="32" t="s">
        <v>5541</v>
      </c>
      <c r="D69" s="22" t="n">
        <f aca="false">SUMIF(CAL!B:E,B69,CAL!E:E)+SUMIF(CAL!J:M,B69,CAL!M:M)</f>
        <v>20</v>
      </c>
      <c r="E69" s="33" t="n">
        <f aca="false">COUNTIF(CAL!B:J,B69)</f>
        <v>12</v>
      </c>
      <c r="F69" s="22" t="n">
        <f aca="false">SUMIF(CAL!B:F,B69,CAL!F:F)+SUMIF(CAL!J:N,B69,CAL!N:N)</f>
        <v>5</v>
      </c>
      <c r="G69" s="22" t="n">
        <f aca="false">SUMIF(CAL!B:F,B69,CAL!G:G)+SUMIF(CAL!J:N,B69,CAL!O:O)</f>
        <v>5</v>
      </c>
      <c r="H69" s="22" t="n">
        <f aca="false">SUMIF(CAL!B:F,B69,CAL!H:H)+SUMIF(CAL!J:N,B69,CAL!P:P)</f>
        <v>2</v>
      </c>
      <c r="I69" s="34" t="n">
        <f aca="false">IF(E69=0,0,(D69/(E69*3)))</f>
        <v>0.555555555555556</v>
      </c>
      <c r="J69" s="33" t="n">
        <f aca="false">SUMIF(CAL!B:C,B69,CAL!C:C)+SUMIF(CAL!J:J,B69,CAL!D:D)</f>
        <v>13</v>
      </c>
      <c r="K69" s="22" t="n">
        <f aca="false">SUMIF(CAL!B:D,B69,CAL!D:D)+SUMIF(CAL!J:L,B69,CAL!K:K)</f>
        <v>12</v>
      </c>
      <c r="L69" s="22" t="n">
        <f aca="false">J69-K69</f>
        <v>1</v>
      </c>
      <c r="M69" s="35" t="n">
        <f aca="false">IF(E69=0,0,(J69/E69))</f>
        <v>1.08333333333333</v>
      </c>
      <c r="N69" s="35" t="n">
        <f aca="false">IF(E69=0,0,(K69/E69))</f>
        <v>1</v>
      </c>
      <c r="O69" s="22" t="n">
        <f aca="false">SUMIF(CAL!B:I,B69,CAL!I:I)+SUMIF(CAL!J:Q,B69,CAL!Q:Q)</f>
        <v>4</v>
      </c>
      <c r="P69" s="19" t="n">
        <f aca="false">Q69+R69</f>
        <v>1</v>
      </c>
      <c r="Q69" s="22" t="n">
        <v>1</v>
      </c>
      <c r="R69" s="22" t="n">
        <v>0</v>
      </c>
      <c r="S69" s="22" t="s">
        <v>5375</v>
      </c>
      <c r="T69" s="22" t="s">
        <v>5542</v>
      </c>
      <c r="U69" s="22" t="s">
        <v>5434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customFormat="false" ht="12" hidden="false" customHeight="true" outlineLevel="0" collapsed="false">
      <c r="A70" s="31" t="n">
        <v>69</v>
      </c>
      <c r="B70" s="32" t="s">
        <v>151</v>
      </c>
      <c r="C70" s="32" t="s">
        <v>5543</v>
      </c>
      <c r="D70" s="22" t="n">
        <f aca="false">SUMIF(CAL!B:E,B70,CAL!E:E)+SUMIF(CAL!J:M,B70,CAL!M:M)</f>
        <v>30</v>
      </c>
      <c r="E70" s="33" t="n">
        <f aca="false">COUNTIF(CAL!B:J,B70)</f>
        <v>20</v>
      </c>
      <c r="F70" s="22" t="n">
        <f aca="false">SUMIF(CAL!B:F,B70,CAL!F:F)+SUMIF(CAL!J:N,B70,CAL!N:N)</f>
        <v>8</v>
      </c>
      <c r="G70" s="22" t="n">
        <f aca="false">SUMIF(CAL!B:F,B70,CAL!G:G)+SUMIF(CAL!J:N,B70,CAL!O:O)</f>
        <v>6</v>
      </c>
      <c r="H70" s="22" t="n">
        <f aca="false">SUMIF(CAL!B:F,B70,CAL!H:H)+SUMIF(CAL!J:N,B70,CAL!P:P)</f>
        <v>6</v>
      </c>
      <c r="I70" s="34" t="n">
        <f aca="false">IF(E70=0,0,(D70/(E70*3)))</f>
        <v>0.5</v>
      </c>
      <c r="J70" s="33" t="n">
        <f aca="false">SUMIF(CAL!B:C,B70,CAL!C:C)+SUMIF(CAL!J:J,B70,CAL!D:D)</f>
        <v>20</v>
      </c>
      <c r="K70" s="22" t="n">
        <f aca="false">SUMIF(CAL!B:D,B70,CAL!D:D)+SUMIF(CAL!J:L,B70,CAL!K:K)</f>
        <v>15</v>
      </c>
      <c r="L70" s="22" t="n">
        <f aca="false">J70-K70</f>
        <v>5</v>
      </c>
      <c r="M70" s="35" t="n">
        <f aca="false">IF(E70=0,0,(J70/E70))</f>
        <v>1</v>
      </c>
      <c r="N70" s="35" t="n">
        <f aca="false">IF(E70=0,0,(K70/E70))</f>
        <v>0.75</v>
      </c>
      <c r="O70" s="22" t="n">
        <f aca="false">SUMIF(CAL!B:I,B70,CAL!I:I)+SUMIF(CAL!J:Q,B70,CAL!Q:Q)</f>
        <v>11</v>
      </c>
      <c r="P70" s="19" t="n">
        <f aca="false">Q70+R70</f>
        <v>1</v>
      </c>
      <c r="Q70" s="22" t="n">
        <v>1</v>
      </c>
      <c r="R70" s="22" t="n">
        <v>0</v>
      </c>
      <c r="S70" s="22" t="s">
        <v>5409</v>
      </c>
      <c r="T70" s="22" t="s">
        <v>5544</v>
      </c>
      <c r="U70" s="22" t="s">
        <v>5414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customFormat="false" ht="12" hidden="false" customHeight="true" outlineLevel="0" collapsed="false">
      <c r="A71" s="31" t="n">
        <v>70</v>
      </c>
      <c r="B71" s="32" t="s">
        <v>228</v>
      </c>
      <c r="C71" s="32" t="s">
        <v>5545</v>
      </c>
      <c r="D71" s="22" t="n">
        <f aca="false">SUMIF(CAL!B:E,B71,CAL!E:E)+SUMIF(CAL!J:M,B71,CAL!M:M)</f>
        <v>31</v>
      </c>
      <c r="E71" s="33" t="n">
        <f aca="false">COUNTIF(CAL!B:J,B71)</f>
        <v>22</v>
      </c>
      <c r="F71" s="22" t="n">
        <f aca="false">SUMIF(CAL!B:F,B71,CAL!F:F)+SUMIF(CAL!J:N,B71,CAL!N:N)</f>
        <v>8</v>
      </c>
      <c r="G71" s="22" t="n">
        <f aca="false">SUMIF(CAL!B:F,B71,CAL!G:G)+SUMIF(CAL!J:N,B71,CAL!O:O)</f>
        <v>7</v>
      </c>
      <c r="H71" s="22" t="n">
        <f aca="false">SUMIF(CAL!B:F,B71,CAL!H:H)+SUMIF(CAL!J:N,B71,CAL!P:P)</f>
        <v>7</v>
      </c>
      <c r="I71" s="34" t="n">
        <f aca="false">IF(E71=0,0,(D71/(E71*3)))</f>
        <v>0.46969696969697</v>
      </c>
      <c r="J71" s="33" t="n">
        <f aca="false">SUMIF(CAL!B:C,B71,CAL!C:C)+SUMIF(CAL!J:J,B71,CAL!D:D)</f>
        <v>23</v>
      </c>
      <c r="K71" s="22" t="n">
        <f aca="false">SUMIF(CAL!B:D,B71,CAL!D:D)+SUMIF(CAL!J:L,B71,CAL!K:K)</f>
        <v>19</v>
      </c>
      <c r="L71" s="22" t="n">
        <f aca="false">J71-K71</f>
        <v>4</v>
      </c>
      <c r="M71" s="35" t="n">
        <f aca="false">IF(E71=0,0,(J71/E71))</f>
        <v>1.04545454545455</v>
      </c>
      <c r="N71" s="35" t="n">
        <f aca="false">IF(E71=0,0,(K71/E71))</f>
        <v>0.863636363636364</v>
      </c>
      <c r="O71" s="22" t="n">
        <f aca="false">SUMIF(CAL!B:I,B71,CAL!I:I)+SUMIF(CAL!J:Q,B71,CAL!Q:Q)</f>
        <v>9</v>
      </c>
      <c r="P71" s="19" t="n">
        <f aca="false">Q71+R71</f>
        <v>1</v>
      </c>
      <c r="Q71" s="22" t="n">
        <v>1</v>
      </c>
      <c r="R71" s="22" t="n">
        <v>0</v>
      </c>
      <c r="S71" s="22" t="s">
        <v>5409</v>
      </c>
      <c r="T71" s="22" t="s">
        <v>5422</v>
      </c>
      <c r="U71" s="22" t="s">
        <v>5423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customFormat="false" ht="12" hidden="false" customHeight="true" outlineLevel="0" collapsed="false">
      <c r="A72" s="31" t="n">
        <v>71</v>
      </c>
      <c r="B72" s="32" t="s">
        <v>116</v>
      </c>
      <c r="C72" s="32" t="s">
        <v>5546</v>
      </c>
      <c r="D72" s="22" t="n">
        <f aca="false">SUMIF(CAL!B:E,B72,CAL!E:E)+SUMIF(CAL!J:M,B72,CAL!M:M)</f>
        <v>34</v>
      </c>
      <c r="E72" s="33" t="n">
        <f aca="false">COUNTIF(CAL!B:J,B72)</f>
        <v>22</v>
      </c>
      <c r="F72" s="22" t="n">
        <f aca="false">SUMIF(CAL!B:F,B72,CAL!F:F)+SUMIF(CAL!J:N,B72,CAL!N:N)</f>
        <v>10</v>
      </c>
      <c r="G72" s="22" t="n">
        <f aca="false">SUMIF(CAL!B:F,B72,CAL!G:G)+SUMIF(CAL!J:N,B72,CAL!O:O)</f>
        <v>4</v>
      </c>
      <c r="H72" s="22" t="n">
        <f aca="false">SUMIF(CAL!B:F,B72,CAL!H:H)+SUMIF(CAL!J:N,B72,CAL!P:P)</f>
        <v>8</v>
      </c>
      <c r="I72" s="34" t="n">
        <f aca="false">IF(E72=0,0,(D72/(E72*3)))</f>
        <v>0.515151515151515</v>
      </c>
      <c r="J72" s="33" t="n">
        <f aca="false">SUMIF(CAL!B:C,B72,CAL!C:C)+SUMIF(CAL!J:J,B72,CAL!D:D)</f>
        <v>31</v>
      </c>
      <c r="K72" s="22" t="n">
        <f aca="false">SUMIF(CAL!B:D,B72,CAL!D:D)+SUMIF(CAL!J:L,B72,CAL!K:K)</f>
        <v>28</v>
      </c>
      <c r="L72" s="22" t="n">
        <f aca="false">J72-K72</f>
        <v>3</v>
      </c>
      <c r="M72" s="35" t="n">
        <f aca="false">IF(E72=0,0,(J72/E72))</f>
        <v>1.40909090909091</v>
      </c>
      <c r="N72" s="35" t="n">
        <f aca="false">IF(E72=0,0,(K72/E72))</f>
        <v>1.27272727272727</v>
      </c>
      <c r="O72" s="22" t="n">
        <f aca="false">SUMIF(CAL!B:I,B72,CAL!I:I)+SUMIF(CAL!J:Q,B72,CAL!Q:Q)</f>
        <v>8</v>
      </c>
      <c r="P72" s="19" t="n">
        <f aca="false">Q72+R72</f>
        <v>1</v>
      </c>
      <c r="Q72" s="22" t="n">
        <v>1</v>
      </c>
      <c r="R72" s="22" t="n">
        <v>0</v>
      </c>
      <c r="S72" s="22" t="s">
        <v>5421</v>
      </c>
      <c r="T72" s="22" t="s">
        <v>5491</v>
      </c>
      <c r="U72" s="22" t="s">
        <v>5404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customFormat="false" ht="12" hidden="false" customHeight="true" outlineLevel="0" collapsed="false">
      <c r="A73" s="31" t="n">
        <v>72</v>
      </c>
      <c r="B73" s="32" t="s">
        <v>119</v>
      </c>
      <c r="C73" s="32" t="s">
        <v>5547</v>
      </c>
      <c r="D73" s="22" t="n">
        <f aca="false">SUMIF(CAL!B:E,B73,CAL!E:E)+SUMIF(CAL!J:M,B73,CAL!M:M)</f>
        <v>10</v>
      </c>
      <c r="E73" s="33" t="n">
        <f aca="false">COUNTIF(CAL!B:J,B73)</f>
        <v>9</v>
      </c>
      <c r="F73" s="22" t="n">
        <f aca="false">SUMIF(CAL!B:F,B73,CAL!F:F)+SUMIF(CAL!J:N,B73,CAL!N:N)</f>
        <v>3</v>
      </c>
      <c r="G73" s="22" t="n">
        <f aca="false">SUMIF(CAL!B:F,B73,CAL!G:G)+SUMIF(CAL!J:N,B73,CAL!O:O)</f>
        <v>1</v>
      </c>
      <c r="H73" s="22" t="n">
        <f aca="false">SUMIF(CAL!B:F,B73,CAL!H:H)+SUMIF(CAL!J:N,B73,CAL!P:P)</f>
        <v>5</v>
      </c>
      <c r="I73" s="34" t="n">
        <f aca="false">IF(E73=0,0,(D73/(E73*3)))</f>
        <v>0.37037037037037</v>
      </c>
      <c r="J73" s="33" t="n">
        <f aca="false">SUMIF(CAL!B:C,B73,CAL!C:C)+SUMIF(CAL!J:J,B73,CAL!D:D)</f>
        <v>4</v>
      </c>
      <c r="K73" s="22" t="n">
        <f aca="false">SUMIF(CAL!B:D,B73,CAL!D:D)+SUMIF(CAL!J:L,B73,CAL!K:K)</f>
        <v>8</v>
      </c>
      <c r="L73" s="22" t="n">
        <f aca="false">J73-K73</f>
        <v>-4</v>
      </c>
      <c r="M73" s="35" t="n">
        <f aca="false">IF(E73=0,0,(J73/E73))</f>
        <v>0.444444444444444</v>
      </c>
      <c r="N73" s="35" t="n">
        <f aca="false">IF(E73=0,0,(K73/E73))</f>
        <v>0.888888888888889</v>
      </c>
      <c r="O73" s="22" t="n">
        <f aca="false">SUMIF(CAL!B:I,B73,CAL!I:I)+SUMIF(CAL!J:Q,B73,CAL!Q:Q)</f>
        <v>4</v>
      </c>
      <c r="P73" s="19" t="n">
        <f aca="false">Q73+R73</f>
        <v>1</v>
      </c>
      <c r="Q73" s="22" t="n">
        <v>1</v>
      </c>
      <c r="R73" s="22" t="n">
        <v>0</v>
      </c>
      <c r="S73" s="22" t="s">
        <v>5375</v>
      </c>
      <c r="T73" s="22" t="s">
        <v>5548</v>
      </c>
      <c r="U73" s="22" t="s">
        <v>5414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customFormat="false" ht="12" hidden="false" customHeight="true" outlineLevel="0" collapsed="false">
      <c r="A74" s="31" t="n">
        <v>73</v>
      </c>
      <c r="B74" s="32" t="s">
        <v>44</v>
      </c>
      <c r="C74" s="32" t="s">
        <v>5549</v>
      </c>
      <c r="D74" s="22" t="n">
        <f aca="false">SUMIF(CAL!B:E,B74,CAL!E:E)+SUMIF(CAL!J:M,B74,CAL!M:M)</f>
        <v>14</v>
      </c>
      <c r="E74" s="33" t="n">
        <f aca="false">COUNTIF(CAL!B:J,B74)</f>
        <v>11</v>
      </c>
      <c r="F74" s="22" t="n">
        <f aca="false">SUMIF(CAL!B:F,B74,CAL!F:F)+SUMIF(CAL!J:N,B74,CAL!N:N)</f>
        <v>4</v>
      </c>
      <c r="G74" s="22" t="n">
        <f aca="false">SUMIF(CAL!B:F,B74,CAL!G:G)+SUMIF(CAL!J:N,B74,CAL!O:O)</f>
        <v>2</v>
      </c>
      <c r="H74" s="22" t="n">
        <f aca="false">SUMIF(CAL!B:F,B74,CAL!H:H)+SUMIF(CAL!J:N,B74,CAL!P:P)</f>
        <v>5</v>
      </c>
      <c r="I74" s="34" t="n">
        <f aca="false">IF(E74=0,0,(D74/(E74*3)))</f>
        <v>0.424242424242424</v>
      </c>
      <c r="J74" s="33" t="n">
        <f aca="false">SUMIF(CAL!B:C,B74,CAL!C:C)+SUMIF(CAL!J:J,B74,CAL!D:D)</f>
        <v>9</v>
      </c>
      <c r="K74" s="22" t="n">
        <f aca="false">SUMIF(CAL!B:D,B74,CAL!D:D)+SUMIF(CAL!J:L,B74,CAL!K:K)</f>
        <v>12</v>
      </c>
      <c r="L74" s="22" t="n">
        <f aca="false">J74-K74</f>
        <v>-3</v>
      </c>
      <c r="M74" s="35" t="n">
        <f aca="false">IF(E74=0,0,(J74/E74))</f>
        <v>0.818181818181818</v>
      </c>
      <c r="N74" s="35" t="n">
        <f aca="false">IF(E74=0,0,(K74/E74))</f>
        <v>1.09090909090909</v>
      </c>
      <c r="O74" s="22" t="n">
        <f aca="false">SUMIF(CAL!B:I,B74,CAL!I:I)+SUMIF(CAL!J:Q,B74,CAL!Q:Q)</f>
        <v>4</v>
      </c>
      <c r="P74" s="19" t="n">
        <f aca="false">Q74+R74</f>
        <v>1</v>
      </c>
      <c r="Q74" s="22" t="n">
        <v>1</v>
      </c>
      <c r="R74" s="22" t="n">
        <v>0</v>
      </c>
      <c r="S74" s="22" t="s">
        <v>5409</v>
      </c>
      <c r="T74" s="22" t="s">
        <v>5491</v>
      </c>
      <c r="U74" s="22" t="s">
        <v>5404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customFormat="false" ht="12" hidden="false" customHeight="true" outlineLevel="0" collapsed="false">
      <c r="A75" s="31" t="n">
        <v>74</v>
      </c>
      <c r="B75" s="32" t="s">
        <v>328</v>
      </c>
      <c r="C75" s="32" t="s">
        <v>5550</v>
      </c>
      <c r="D75" s="22" t="n">
        <f aca="false">SUMIF(CAL!B:E,B75,CAL!E:E)+SUMIF(CAL!J:M,B75,CAL!M:M)</f>
        <v>24</v>
      </c>
      <c r="E75" s="33" t="n">
        <f aca="false">COUNTIF(CAL!B:J,B75)</f>
        <v>15</v>
      </c>
      <c r="F75" s="22" t="n">
        <f aca="false">SUMIF(CAL!B:F,B75,CAL!F:F)+SUMIF(CAL!J:N,B75,CAL!N:N)</f>
        <v>7</v>
      </c>
      <c r="G75" s="22" t="n">
        <f aca="false">SUMIF(CAL!B:F,B75,CAL!G:G)+SUMIF(CAL!J:N,B75,CAL!O:O)</f>
        <v>3</v>
      </c>
      <c r="H75" s="22" t="n">
        <f aca="false">SUMIF(CAL!B:F,B75,CAL!H:H)+SUMIF(CAL!J:N,B75,CAL!P:P)</f>
        <v>5</v>
      </c>
      <c r="I75" s="34" t="n">
        <f aca="false">IF(E75=0,0,(D75/(E75*3)))</f>
        <v>0.533333333333333</v>
      </c>
      <c r="J75" s="33" t="n">
        <f aca="false">SUMIF(CAL!B:C,B75,CAL!C:C)+SUMIF(CAL!J:J,B75,CAL!D:D)</f>
        <v>31</v>
      </c>
      <c r="K75" s="22" t="n">
        <f aca="false">SUMIF(CAL!B:D,B75,CAL!D:D)+SUMIF(CAL!J:L,B75,CAL!K:K)</f>
        <v>21</v>
      </c>
      <c r="L75" s="22" t="n">
        <f aca="false">J75-K75</f>
        <v>10</v>
      </c>
      <c r="M75" s="35" t="n">
        <f aca="false">IF(E75=0,0,(J75/E75))</f>
        <v>2.06666666666667</v>
      </c>
      <c r="N75" s="35" t="n">
        <f aca="false">IF(E75=0,0,(K75/E75))</f>
        <v>1.4</v>
      </c>
      <c r="O75" s="22" t="n">
        <f aca="false">SUMIF(CAL!B:I,B75,CAL!I:I)+SUMIF(CAL!J:Q,B75,CAL!Q:Q)</f>
        <v>5</v>
      </c>
      <c r="P75" s="19" t="n">
        <f aca="false">Q75+R75</f>
        <v>1</v>
      </c>
      <c r="Q75" s="22" t="n">
        <v>1</v>
      </c>
      <c r="R75" s="22" t="n">
        <v>0</v>
      </c>
      <c r="S75" s="22" t="s">
        <v>5375</v>
      </c>
      <c r="T75" s="22" t="s">
        <v>5551</v>
      </c>
      <c r="U75" s="22" t="s">
        <v>5397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customFormat="false" ht="12" hidden="false" customHeight="true" outlineLevel="0" collapsed="false">
      <c r="A76" s="31" t="n">
        <v>75</v>
      </c>
      <c r="B76" s="32" t="s">
        <v>55</v>
      </c>
      <c r="C76" s="32" t="s">
        <v>5552</v>
      </c>
      <c r="D76" s="22" t="n">
        <f aca="false">SUMIF(CAL!B:E,B76,CAL!E:E)+SUMIF(CAL!J:M,B76,CAL!M:M)</f>
        <v>10</v>
      </c>
      <c r="E76" s="33" t="n">
        <f aca="false">COUNTIF(CAL!B:J,B76)</f>
        <v>15</v>
      </c>
      <c r="F76" s="22" t="n">
        <f aca="false">SUMIF(CAL!B:F,B76,CAL!F:F)+SUMIF(CAL!J:N,B76,CAL!N:N)</f>
        <v>3</v>
      </c>
      <c r="G76" s="22" t="n">
        <f aca="false">SUMIF(CAL!B:F,B76,CAL!G:G)+SUMIF(CAL!J:N,B76,CAL!O:O)</f>
        <v>1</v>
      </c>
      <c r="H76" s="22" t="n">
        <f aca="false">SUMIF(CAL!B:F,B76,CAL!H:H)+SUMIF(CAL!J:N,B76,CAL!P:P)</f>
        <v>11</v>
      </c>
      <c r="I76" s="34" t="n">
        <f aca="false">IF(E76=0,0,(D76/(E76*3)))</f>
        <v>0.222222222222222</v>
      </c>
      <c r="J76" s="33" t="n">
        <f aca="false">SUMIF(CAL!B:C,B76,CAL!C:C)+SUMIF(CAL!J:J,B76,CAL!D:D)</f>
        <v>12</v>
      </c>
      <c r="K76" s="22" t="n">
        <f aca="false">SUMIF(CAL!B:D,B76,CAL!D:D)+SUMIF(CAL!J:L,B76,CAL!K:K)</f>
        <v>27</v>
      </c>
      <c r="L76" s="22" t="n">
        <f aca="false">J76-K76</f>
        <v>-15</v>
      </c>
      <c r="M76" s="35" t="n">
        <f aca="false">IF(E76=0,0,(J76/E76))</f>
        <v>0.8</v>
      </c>
      <c r="N76" s="35" t="n">
        <f aca="false">IF(E76=0,0,(K76/E76))</f>
        <v>1.8</v>
      </c>
      <c r="O76" s="22" t="n">
        <f aca="false">SUMIF(CAL!B:I,B76,CAL!I:I)+SUMIF(CAL!J:Q,B76,CAL!Q:Q)</f>
        <v>4</v>
      </c>
      <c r="P76" s="19" t="n">
        <f aca="false">Q76+R76</f>
        <v>1</v>
      </c>
      <c r="Q76" s="22" t="n">
        <v>1</v>
      </c>
      <c r="R76" s="22" t="n">
        <v>0</v>
      </c>
      <c r="S76" s="22" t="s">
        <v>5375</v>
      </c>
      <c r="T76" s="22" t="s">
        <v>5553</v>
      </c>
      <c r="U76" s="22" t="s">
        <v>5400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customFormat="false" ht="12" hidden="false" customHeight="true" outlineLevel="0" collapsed="false">
      <c r="A77" s="31" t="n">
        <v>76</v>
      </c>
      <c r="B77" s="36" t="s">
        <v>74</v>
      </c>
      <c r="C77" s="32" t="s">
        <v>5554</v>
      </c>
      <c r="D77" s="22" t="n">
        <f aca="false">SUMIF(CAL!B:E,B77,CAL!E:E)+SUMIF(CAL!J:M,B77,CAL!M:M)</f>
        <v>16</v>
      </c>
      <c r="E77" s="33" t="n">
        <f aca="false">COUNTIF(CAL!B:J,B77)</f>
        <v>12</v>
      </c>
      <c r="F77" s="22" t="n">
        <f aca="false">SUMIF(CAL!B:F,B77,CAL!F:F)+SUMIF(CAL!J:N,B77,CAL!N:N)</f>
        <v>4</v>
      </c>
      <c r="G77" s="22" t="n">
        <f aca="false">SUMIF(CAL!B:F,B77,CAL!G:G)+SUMIF(CAL!J:N,B77,CAL!O:O)</f>
        <v>4</v>
      </c>
      <c r="H77" s="22" t="n">
        <f aca="false">SUMIF(CAL!B:F,B77,CAL!H:H)+SUMIF(CAL!J:N,B77,CAL!P:P)</f>
        <v>4</v>
      </c>
      <c r="I77" s="34" t="n">
        <f aca="false">IF(E77=0,0,(D77/(E77*3)))</f>
        <v>0.444444444444444</v>
      </c>
      <c r="J77" s="33" t="n">
        <f aca="false">SUMIF(CAL!B:C,B77,CAL!C:C)+SUMIF(CAL!J:J,B77,CAL!D:D)</f>
        <v>19</v>
      </c>
      <c r="K77" s="22" t="n">
        <f aca="false">SUMIF(CAL!B:D,B77,CAL!D:D)+SUMIF(CAL!J:L,B77,CAL!K:K)</f>
        <v>17</v>
      </c>
      <c r="L77" s="22" t="n">
        <f aca="false">J77-K77</f>
        <v>2</v>
      </c>
      <c r="M77" s="35" t="n">
        <f aca="false">IF(E77=0,0,(J77/E77))</f>
        <v>1.58333333333333</v>
      </c>
      <c r="N77" s="35" t="n">
        <f aca="false">IF(E77=0,0,(K77/E77))</f>
        <v>1.41666666666667</v>
      </c>
      <c r="O77" s="22" t="n">
        <f aca="false">SUMIF(CAL!B:I,B77,CAL!I:I)+SUMIF(CAL!J:Q,B77,CAL!Q:Q)</f>
        <v>3</v>
      </c>
      <c r="P77" s="19" t="n">
        <f aca="false">Q77+R77</f>
        <v>1</v>
      </c>
      <c r="Q77" s="22" t="n">
        <v>1</v>
      </c>
      <c r="R77" s="22" t="n">
        <v>0</v>
      </c>
      <c r="S77" s="22" t="s">
        <v>5375</v>
      </c>
      <c r="T77" s="22" t="s">
        <v>5555</v>
      </c>
      <c r="U77" s="22" t="s">
        <v>5404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customFormat="false" ht="12" hidden="false" customHeight="true" outlineLevel="0" collapsed="false">
      <c r="A78" s="31" t="n">
        <v>77</v>
      </c>
      <c r="B78" s="32" t="s">
        <v>269</v>
      </c>
      <c r="C78" s="32" t="s">
        <v>5556</v>
      </c>
      <c r="D78" s="22" t="n">
        <f aca="false">SUMIF(CAL!B:E,B78,CAL!E:E)+SUMIF(CAL!J:M,B78,CAL!M:M)</f>
        <v>10</v>
      </c>
      <c r="E78" s="33" t="n">
        <f aca="false">COUNTIF(CAL!B:J,B78)</f>
        <v>13</v>
      </c>
      <c r="F78" s="22" t="n">
        <f aca="false">SUMIF(CAL!B:F,B78,CAL!F:F)+SUMIF(CAL!J:N,B78,CAL!N:N)</f>
        <v>3</v>
      </c>
      <c r="G78" s="22" t="n">
        <f aca="false">SUMIF(CAL!B:F,B78,CAL!G:G)+SUMIF(CAL!J:N,B78,CAL!O:O)</f>
        <v>1</v>
      </c>
      <c r="H78" s="22" t="n">
        <f aca="false">SUMIF(CAL!B:F,B78,CAL!H:H)+SUMIF(CAL!J:N,B78,CAL!P:P)</f>
        <v>9</v>
      </c>
      <c r="I78" s="34" t="n">
        <f aca="false">IF(E78=0,0,(D78/(E78*3)))</f>
        <v>0.256410256410256</v>
      </c>
      <c r="J78" s="33" t="n">
        <f aca="false">SUMIF(CAL!B:C,B78,CAL!C:C)+SUMIF(CAL!J:J,B78,CAL!D:D)</f>
        <v>13</v>
      </c>
      <c r="K78" s="22" t="n">
        <f aca="false">SUMIF(CAL!B:D,B78,CAL!D:D)+SUMIF(CAL!J:L,B78,CAL!K:K)</f>
        <v>26</v>
      </c>
      <c r="L78" s="22" t="n">
        <f aca="false">J78-K78</f>
        <v>-13</v>
      </c>
      <c r="M78" s="35" t="n">
        <f aca="false">IF(E78=0,0,(J78/E78))</f>
        <v>1</v>
      </c>
      <c r="N78" s="35" t="n">
        <f aca="false">IF(E78=0,0,(K78/E78))</f>
        <v>2</v>
      </c>
      <c r="O78" s="22" t="n">
        <f aca="false">SUMIF(CAL!B:I,B78,CAL!I:I)+SUMIF(CAL!J:Q,B78,CAL!Q:Q)</f>
        <v>2</v>
      </c>
      <c r="P78" s="19" t="n">
        <f aca="false">Q78+R78</f>
        <v>1</v>
      </c>
      <c r="Q78" s="22" t="n">
        <v>1</v>
      </c>
      <c r="R78" s="22" t="n">
        <v>0</v>
      </c>
      <c r="S78" s="22" t="s">
        <v>5375</v>
      </c>
      <c r="T78" s="22" t="s">
        <v>5557</v>
      </c>
      <c r="U78" s="22" t="s">
        <v>5483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customFormat="false" ht="12" hidden="false" customHeight="true" outlineLevel="0" collapsed="false">
      <c r="A79" s="31" t="n">
        <v>78</v>
      </c>
      <c r="B79" s="36" t="s">
        <v>50</v>
      </c>
      <c r="C79" s="32" t="s">
        <v>5558</v>
      </c>
      <c r="D79" s="22" t="n">
        <f aca="false">SUMIF(CAL!B:E,B79,CAL!E:E)+SUMIF(CAL!J:M,B79,CAL!M:M)</f>
        <v>23</v>
      </c>
      <c r="E79" s="33" t="n">
        <f aca="false">COUNTIF(CAL!B:J,B79)</f>
        <v>12</v>
      </c>
      <c r="F79" s="22" t="n">
        <f aca="false">SUMIF(CAL!B:F,B79,CAL!F:F)+SUMIF(CAL!J:N,B79,CAL!N:N)</f>
        <v>7</v>
      </c>
      <c r="G79" s="22" t="n">
        <f aca="false">SUMIF(CAL!B:F,B79,CAL!G:G)+SUMIF(CAL!J:N,B79,CAL!O:O)</f>
        <v>2</v>
      </c>
      <c r="H79" s="22" t="n">
        <f aca="false">SUMIF(CAL!B:F,B79,CAL!H:H)+SUMIF(CAL!J:N,B79,CAL!P:P)</f>
        <v>3</v>
      </c>
      <c r="I79" s="34" t="n">
        <f aca="false">IF(E79=0,0,(D79/(E79*3)))</f>
        <v>0.638888888888889</v>
      </c>
      <c r="J79" s="33" t="n">
        <f aca="false">SUMIF(CAL!B:C,B79,CAL!C:C)+SUMIF(CAL!J:J,B79,CAL!D:D)</f>
        <v>25</v>
      </c>
      <c r="K79" s="22" t="n">
        <f aca="false">SUMIF(CAL!B:D,B79,CAL!D:D)+SUMIF(CAL!J:L,B79,CAL!K:K)</f>
        <v>14</v>
      </c>
      <c r="L79" s="22" t="n">
        <f aca="false">J79-K79</f>
        <v>11</v>
      </c>
      <c r="M79" s="35" t="n">
        <f aca="false">IF(E79=0,0,(J79/E79))</f>
        <v>2.08333333333333</v>
      </c>
      <c r="N79" s="35" t="n">
        <f aca="false">IF(E79=0,0,(K79/E79))</f>
        <v>1.16666666666667</v>
      </c>
      <c r="O79" s="22" t="n">
        <f aca="false">SUMIF(CAL!B:I,B79,CAL!I:I)+SUMIF(CAL!J:Q,B79,CAL!Q:Q)</f>
        <v>3</v>
      </c>
      <c r="P79" s="19" t="n">
        <f aca="false">Q79+R79</f>
        <v>1</v>
      </c>
      <c r="Q79" s="22" t="n">
        <v>1</v>
      </c>
      <c r="R79" s="22" t="n">
        <v>0</v>
      </c>
      <c r="S79" s="22" t="s">
        <v>5375</v>
      </c>
      <c r="T79" s="22" t="s">
        <v>5455</v>
      </c>
      <c r="U79" s="22" t="s">
        <v>5431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customFormat="false" ht="12" hidden="false" customHeight="true" outlineLevel="0" collapsed="false">
      <c r="A80" s="31" t="n">
        <v>79</v>
      </c>
      <c r="B80" s="36" t="s">
        <v>91</v>
      </c>
      <c r="C80" s="32" t="s">
        <v>5559</v>
      </c>
      <c r="D80" s="22" t="n">
        <f aca="false">SUMIF(CAL!B:E,B80,CAL!E:E)+SUMIF(CAL!J:M,B80,CAL!M:M)</f>
        <v>14</v>
      </c>
      <c r="E80" s="33" t="n">
        <f aca="false">COUNTIF(CAL!B:J,B80)</f>
        <v>8</v>
      </c>
      <c r="F80" s="22" t="n">
        <f aca="false">SUMIF(CAL!B:F,B80,CAL!F:F)+SUMIF(CAL!J:N,B80,CAL!N:N)</f>
        <v>4</v>
      </c>
      <c r="G80" s="22" t="n">
        <f aca="false">SUMIF(CAL!B:F,B80,CAL!G:G)+SUMIF(CAL!J:N,B80,CAL!O:O)</f>
        <v>2</v>
      </c>
      <c r="H80" s="22" t="n">
        <f aca="false">SUMIF(CAL!B:F,B80,CAL!H:H)+SUMIF(CAL!J:N,B80,CAL!P:P)</f>
        <v>2</v>
      </c>
      <c r="I80" s="34" t="n">
        <f aca="false">IF(E80=0,0,(D80/(E80*3)))</f>
        <v>0.583333333333333</v>
      </c>
      <c r="J80" s="33" t="n">
        <f aca="false">SUMIF(CAL!B:C,B80,CAL!C:C)+SUMIF(CAL!J:J,B80,CAL!D:D)</f>
        <v>12</v>
      </c>
      <c r="K80" s="22" t="n">
        <f aca="false">SUMIF(CAL!B:D,B80,CAL!D:D)+SUMIF(CAL!J:L,B80,CAL!K:K)</f>
        <v>16</v>
      </c>
      <c r="L80" s="22" t="n">
        <f aca="false">J80-K80</f>
        <v>-4</v>
      </c>
      <c r="M80" s="35" t="n">
        <f aca="false">IF(E80=0,0,(J80/E80))</f>
        <v>1.5</v>
      </c>
      <c r="N80" s="35" t="n">
        <f aca="false">IF(E80=0,0,(K80/E80))</f>
        <v>2</v>
      </c>
      <c r="O80" s="22" t="n">
        <f aca="false">SUMIF(CAL!B:I,B80,CAL!I:I)+SUMIF(CAL!J:Q,B80,CAL!Q:Q)</f>
        <v>1</v>
      </c>
      <c r="P80" s="19" t="n">
        <f aca="false">Q80+R80</f>
        <v>1</v>
      </c>
      <c r="Q80" s="22" t="n">
        <v>1</v>
      </c>
      <c r="R80" s="22" t="n">
        <v>0</v>
      </c>
      <c r="S80" s="22" t="s">
        <v>5375</v>
      </c>
      <c r="T80" s="22" t="s">
        <v>5560</v>
      </c>
      <c r="U80" s="22" t="s">
        <v>5434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customFormat="false" ht="12" hidden="false" customHeight="true" outlineLevel="0" collapsed="false">
      <c r="A81" s="31" t="n">
        <v>80</v>
      </c>
      <c r="B81" s="32" t="s">
        <v>117</v>
      </c>
      <c r="C81" s="32" t="s">
        <v>5561</v>
      </c>
      <c r="D81" s="22" t="n">
        <f aca="false">SUMIF(CAL!B:E,B81,CAL!E:E)+SUMIF(CAL!J:M,B81,CAL!M:M)</f>
        <v>16</v>
      </c>
      <c r="E81" s="33" t="n">
        <f aca="false">COUNTIF(CAL!B:J,B81)</f>
        <v>11</v>
      </c>
      <c r="F81" s="22" t="n">
        <f aca="false">SUMIF(CAL!B:F,B81,CAL!F:F)+SUMIF(CAL!J:N,B81,CAL!N:N)</f>
        <v>5</v>
      </c>
      <c r="G81" s="22" t="n">
        <f aca="false">SUMIF(CAL!B:F,B81,CAL!G:G)+SUMIF(CAL!J:N,B81,CAL!O:O)</f>
        <v>1</v>
      </c>
      <c r="H81" s="22" t="n">
        <f aca="false">SUMIF(CAL!B:F,B81,CAL!H:H)+SUMIF(CAL!J:N,B81,CAL!P:P)</f>
        <v>5</v>
      </c>
      <c r="I81" s="34" t="n">
        <f aca="false">IF(E81=0,0,(D81/(E81*3)))</f>
        <v>0.484848484848485</v>
      </c>
      <c r="J81" s="33" t="n">
        <f aca="false">SUMIF(CAL!B:C,B81,CAL!C:C)+SUMIF(CAL!J:J,B81,CAL!D:D)</f>
        <v>17</v>
      </c>
      <c r="K81" s="22" t="n">
        <f aca="false">SUMIF(CAL!B:D,B81,CAL!D:D)+SUMIF(CAL!J:L,B81,CAL!K:K)</f>
        <v>17</v>
      </c>
      <c r="L81" s="22" t="n">
        <f aca="false">J81-K81</f>
        <v>0</v>
      </c>
      <c r="M81" s="35" t="n">
        <f aca="false">IF(E81=0,0,(J81/E81))</f>
        <v>1.54545454545455</v>
      </c>
      <c r="N81" s="35" t="n">
        <f aca="false">IF(E81=0,0,(K81/E81))</f>
        <v>1.54545454545455</v>
      </c>
      <c r="O81" s="22" t="n">
        <f aca="false">SUMIF(CAL!B:I,B81,CAL!I:I)+SUMIF(CAL!J:Q,B81,CAL!Q:Q)</f>
        <v>4</v>
      </c>
      <c r="P81" s="19" t="n">
        <f aca="false">Q81+R81</f>
        <v>1</v>
      </c>
      <c r="Q81" s="22" t="n">
        <v>1</v>
      </c>
      <c r="R81" s="22" t="n">
        <v>0</v>
      </c>
      <c r="S81" s="22" t="s">
        <v>5375</v>
      </c>
      <c r="T81" s="22" t="s">
        <v>5562</v>
      </c>
      <c r="U81" s="22" t="s">
        <v>5414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customFormat="false" ht="12" hidden="false" customHeight="true" outlineLevel="0" collapsed="false">
      <c r="A82" s="31" t="n">
        <v>81</v>
      </c>
      <c r="B82" s="32" t="s">
        <v>300</v>
      </c>
      <c r="C82" s="32" t="s">
        <v>5563</v>
      </c>
      <c r="D82" s="22" t="n">
        <f aca="false">SUMIF(CAL!B:E,B82,CAL!E:E)+SUMIF(CAL!J:M,B82,CAL!M:M)</f>
        <v>15</v>
      </c>
      <c r="E82" s="33" t="n">
        <f aca="false">COUNTIF(CAL!B:J,B82)</f>
        <v>10</v>
      </c>
      <c r="F82" s="22" t="n">
        <f aca="false">SUMIF(CAL!B:F,B82,CAL!F:F)+SUMIF(CAL!J:N,B82,CAL!N:N)</f>
        <v>5</v>
      </c>
      <c r="G82" s="22" t="n">
        <f aca="false">SUMIF(CAL!B:F,B82,CAL!G:G)+SUMIF(CAL!J:N,B82,CAL!O:O)</f>
        <v>0</v>
      </c>
      <c r="H82" s="22" t="n">
        <f aca="false">SUMIF(CAL!B:F,B82,CAL!H:H)+SUMIF(CAL!J:N,B82,CAL!P:P)</f>
        <v>5</v>
      </c>
      <c r="I82" s="34" t="n">
        <f aca="false">IF(E82=0,0,(D82/(E82*3)))</f>
        <v>0.5</v>
      </c>
      <c r="J82" s="33" t="n">
        <f aca="false">SUMIF(CAL!B:C,B82,CAL!C:C)+SUMIF(CAL!J:J,B82,CAL!D:D)</f>
        <v>14</v>
      </c>
      <c r="K82" s="22" t="n">
        <f aca="false">SUMIF(CAL!B:D,B82,CAL!D:D)+SUMIF(CAL!J:L,B82,CAL!K:K)</f>
        <v>11</v>
      </c>
      <c r="L82" s="22" t="n">
        <f aca="false">J82-K82</f>
        <v>3</v>
      </c>
      <c r="M82" s="35" t="n">
        <f aca="false">IF(E82=0,0,(J82/E82))</f>
        <v>1.4</v>
      </c>
      <c r="N82" s="35" t="n">
        <f aca="false">IF(E82=0,0,(K82/E82))</f>
        <v>1.1</v>
      </c>
      <c r="O82" s="22" t="n">
        <f aca="false">SUMIF(CAL!B:I,B82,CAL!I:I)+SUMIF(CAL!J:Q,B82,CAL!Q:Q)</f>
        <v>3</v>
      </c>
      <c r="P82" s="19" t="n">
        <f aca="false">Q82+R82</f>
        <v>1</v>
      </c>
      <c r="Q82" s="22" t="n">
        <v>1</v>
      </c>
      <c r="R82" s="22" t="n">
        <v>0</v>
      </c>
      <c r="S82" s="22" t="s">
        <v>5421</v>
      </c>
      <c r="T82" s="22" t="s">
        <v>5449</v>
      </c>
      <c r="U82" s="22" t="s">
        <v>5450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customFormat="false" ht="12" hidden="false" customHeight="true" outlineLevel="0" collapsed="false">
      <c r="A83" s="31" t="n">
        <v>82</v>
      </c>
      <c r="B83" s="32" t="s">
        <v>113</v>
      </c>
      <c r="C83" s="32" t="s">
        <v>5564</v>
      </c>
      <c r="D83" s="22" t="n">
        <f aca="false">SUMIF(CAL!B:E,B83,CAL!E:E)+SUMIF(CAL!J:M,B83,CAL!M:M)</f>
        <v>17</v>
      </c>
      <c r="E83" s="33" t="n">
        <f aca="false">COUNTIF(CAL!B:J,B83)</f>
        <v>13</v>
      </c>
      <c r="F83" s="22" t="n">
        <f aca="false">SUMIF(CAL!B:F,B83,CAL!F:F)+SUMIF(CAL!J:N,B83,CAL!N:N)</f>
        <v>4</v>
      </c>
      <c r="G83" s="22" t="n">
        <f aca="false">SUMIF(CAL!B:F,B83,CAL!G:G)+SUMIF(CAL!J:N,B83,CAL!O:O)</f>
        <v>5</v>
      </c>
      <c r="H83" s="22" t="n">
        <f aca="false">SUMIF(CAL!B:F,B83,CAL!H:H)+SUMIF(CAL!J:N,B83,CAL!P:P)</f>
        <v>4</v>
      </c>
      <c r="I83" s="34" t="n">
        <f aca="false">IF(E83=0,0,(D83/(E83*3)))</f>
        <v>0.435897435897436</v>
      </c>
      <c r="J83" s="33" t="n">
        <f aca="false">SUMIF(CAL!B:C,B83,CAL!C:C)+SUMIF(CAL!J:J,B83,CAL!D:D)</f>
        <v>14</v>
      </c>
      <c r="K83" s="22" t="n">
        <f aca="false">SUMIF(CAL!B:D,B83,CAL!D:D)+SUMIF(CAL!J:L,B83,CAL!K:K)</f>
        <v>17</v>
      </c>
      <c r="L83" s="22" t="n">
        <f aca="false">J83-K83</f>
        <v>-3</v>
      </c>
      <c r="M83" s="35" t="n">
        <f aca="false">IF(E83=0,0,(J83/E83))</f>
        <v>1.07692307692308</v>
      </c>
      <c r="N83" s="35" t="n">
        <f aca="false">IF(E83=0,0,(K83/E83))</f>
        <v>1.30769230769231</v>
      </c>
      <c r="O83" s="22" t="n">
        <f aca="false">SUMIF(CAL!B:I,B83,CAL!I:I)+SUMIF(CAL!J:Q,B83,CAL!Q:Q)</f>
        <v>4</v>
      </c>
      <c r="P83" s="19" t="n">
        <f aca="false">Q83+R83</f>
        <v>1</v>
      </c>
      <c r="Q83" s="22" t="n">
        <v>1</v>
      </c>
      <c r="R83" s="22" t="n">
        <v>0</v>
      </c>
      <c r="S83" s="22" t="s">
        <v>5375</v>
      </c>
      <c r="T83" s="22" t="s">
        <v>5491</v>
      </c>
      <c r="U83" s="22" t="s">
        <v>5404</v>
      </c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customFormat="false" ht="12" hidden="false" customHeight="true" outlineLevel="0" collapsed="false">
      <c r="A84" s="31" t="n">
        <v>83</v>
      </c>
      <c r="B84" s="32" t="s">
        <v>139</v>
      </c>
      <c r="C84" s="32" t="s">
        <v>5565</v>
      </c>
      <c r="D84" s="22" t="n">
        <f aca="false">SUMIF(CAL!B:E,B84,CAL!E:E)+SUMIF(CAL!J:M,B84,CAL!M:M)</f>
        <v>12</v>
      </c>
      <c r="E84" s="33" t="n">
        <f aca="false">COUNTIF(CAL!B:J,B84)</f>
        <v>11</v>
      </c>
      <c r="F84" s="22" t="n">
        <f aca="false">SUMIF(CAL!B:F,B84,CAL!F:F)+SUMIF(CAL!J:N,B84,CAL!N:N)</f>
        <v>2</v>
      </c>
      <c r="G84" s="22" t="n">
        <f aca="false">SUMIF(CAL!B:F,B84,CAL!G:G)+SUMIF(CAL!J:N,B84,CAL!O:O)</f>
        <v>6</v>
      </c>
      <c r="H84" s="22" t="n">
        <f aca="false">SUMIF(CAL!B:F,B84,CAL!H:H)+SUMIF(CAL!J:N,B84,CAL!P:P)</f>
        <v>3</v>
      </c>
      <c r="I84" s="34" t="n">
        <f aca="false">IF(E84=0,0,(D84/(E84*3)))</f>
        <v>0.363636363636364</v>
      </c>
      <c r="J84" s="33" t="n">
        <f aca="false">SUMIF(CAL!B:C,B84,CAL!C:C)+SUMIF(CAL!J:J,B84,CAL!D:D)</f>
        <v>9</v>
      </c>
      <c r="K84" s="22" t="n">
        <f aca="false">SUMIF(CAL!B:D,B84,CAL!D:D)+SUMIF(CAL!J:L,B84,CAL!K:K)</f>
        <v>13</v>
      </c>
      <c r="L84" s="22" t="n">
        <f aca="false">J84-K84</f>
        <v>-4</v>
      </c>
      <c r="M84" s="35" t="n">
        <f aca="false">IF(E84=0,0,(J84/E84))</f>
        <v>0.818181818181818</v>
      </c>
      <c r="N84" s="35" t="n">
        <f aca="false">IF(E84=0,0,(K84/E84))</f>
        <v>1.18181818181818</v>
      </c>
      <c r="O84" s="22" t="n">
        <f aca="false">SUMIF(CAL!B:I,B84,CAL!I:I)+SUMIF(CAL!J:Q,B84,CAL!Q:Q)</f>
        <v>5</v>
      </c>
      <c r="P84" s="19" t="n">
        <f aca="false">Q84+R84</f>
        <v>1</v>
      </c>
      <c r="Q84" s="22" t="n">
        <v>0</v>
      </c>
      <c r="R84" s="22" t="n">
        <v>1</v>
      </c>
      <c r="S84" s="22" t="s">
        <v>5375</v>
      </c>
      <c r="T84" s="22" t="s">
        <v>5410</v>
      </c>
      <c r="U84" s="22" t="s">
        <v>5411</v>
      </c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customFormat="false" ht="12" hidden="false" customHeight="true" outlineLevel="0" collapsed="false">
      <c r="A85" s="31" t="n">
        <v>84</v>
      </c>
      <c r="B85" s="32" t="s">
        <v>176</v>
      </c>
      <c r="C85" s="32" t="s">
        <v>5566</v>
      </c>
      <c r="D85" s="22" t="n">
        <f aca="false">SUMIF(CAL!B:E,B85,CAL!E:E)+SUMIF(CAL!J:M,B85,CAL!M:M)</f>
        <v>49</v>
      </c>
      <c r="E85" s="33" t="n">
        <f aca="false">COUNTIF(CAL!B:J,B85)</f>
        <v>22</v>
      </c>
      <c r="F85" s="22" t="n">
        <f aca="false">SUMIF(CAL!B:F,B85,CAL!F:F)+SUMIF(CAL!J:N,B85,CAL!N:N)</f>
        <v>15</v>
      </c>
      <c r="G85" s="22" t="n">
        <f aca="false">SUMIF(CAL!B:F,B85,CAL!G:G)+SUMIF(CAL!J:N,B85,CAL!O:O)</f>
        <v>4</v>
      </c>
      <c r="H85" s="22" t="n">
        <f aca="false">SUMIF(CAL!B:F,B85,CAL!H:H)+SUMIF(CAL!J:N,B85,CAL!P:P)</f>
        <v>3</v>
      </c>
      <c r="I85" s="34" t="n">
        <f aca="false">IF(E85=0,0,(D85/(E85*3)))</f>
        <v>0.742424242424242</v>
      </c>
      <c r="J85" s="33" t="n">
        <f aca="false">SUMIF(CAL!B:C,B85,CAL!C:C)+SUMIF(CAL!J:J,B85,CAL!D:D)</f>
        <v>47</v>
      </c>
      <c r="K85" s="22" t="n">
        <f aca="false">SUMIF(CAL!B:D,B85,CAL!D:D)+SUMIF(CAL!J:L,B85,CAL!K:K)</f>
        <v>23</v>
      </c>
      <c r="L85" s="22" t="n">
        <f aca="false">J85-K85</f>
        <v>24</v>
      </c>
      <c r="M85" s="35" t="n">
        <f aca="false">IF(E85=0,0,(J85/E85))</f>
        <v>2.13636363636364</v>
      </c>
      <c r="N85" s="35" t="n">
        <f aca="false">IF(E85=0,0,(K85/E85))</f>
        <v>1.04545454545455</v>
      </c>
      <c r="O85" s="22" t="n">
        <f aca="false">SUMIF(CAL!B:I,B85,CAL!I:I)+SUMIF(CAL!J:Q,B85,CAL!Q:Q)</f>
        <v>7</v>
      </c>
      <c r="P85" s="19" t="n">
        <f aca="false">Q85+R85</f>
        <v>1</v>
      </c>
      <c r="Q85" s="22" t="n">
        <v>0</v>
      </c>
      <c r="R85" s="22" t="n">
        <v>1</v>
      </c>
      <c r="S85" s="22" t="s">
        <v>5375</v>
      </c>
      <c r="T85" s="22" t="s">
        <v>5482</v>
      </c>
      <c r="U85" s="22" t="s">
        <v>5483</v>
      </c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customFormat="false" ht="12" hidden="false" customHeight="true" outlineLevel="0" collapsed="false">
      <c r="A86" s="31" t="n">
        <v>85</v>
      </c>
      <c r="B86" s="32" t="s">
        <v>58</v>
      </c>
      <c r="C86" s="32" t="s">
        <v>5567</v>
      </c>
      <c r="D86" s="22" t="n">
        <f aca="false">SUMIF(CAL!B:E,B86,CAL!E:E)+SUMIF(CAL!J:M,B86,CAL!M:M)</f>
        <v>22</v>
      </c>
      <c r="E86" s="33" t="n">
        <f aca="false">COUNTIF(CAL!B:J,B86)</f>
        <v>15</v>
      </c>
      <c r="F86" s="22" t="n">
        <f aca="false">SUMIF(CAL!B:F,B86,CAL!F:F)+SUMIF(CAL!J:N,B86,CAL!N:N)</f>
        <v>6</v>
      </c>
      <c r="G86" s="22" t="n">
        <f aca="false">SUMIF(CAL!B:F,B86,CAL!G:G)+SUMIF(CAL!J:N,B86,CAL!O:O)</f>
        <v>4</v>
      </c>
      <c r="H86" s="22" t="n">
        <f aca="false">SUMIF(CAL!B:F,B86,CAL!H:H)+SUMIF(CAL!J:N,B86,CAL!P:P)</f>
        <v>5</v>
      </c>
      <c r="I86" s="34" t="n">
        <f aca="false">IF(E86=0,0,(D86/(E86*3)))</f>
        <v>0.488888888888889</v>
      </c>
      <c r="J86" s="33" t="n">
        <f aca="false">SUMIF(CAL!B:C,B86,CAL!C:C)+SUMIF(CAL!J:J,B86,CAL!D:D)</f>
        <v>17</v>
      </c>
      <c r="K86" s="22" t="n">
        <f aca="false">SUMIF(CAL!B:D,B86,CAL!D:D)+SUMIF(CAL!J:L,B86,CAL!K:K)</f>
        <v>10</v>
      </c>
      <c r="L86" s="22" t="n">
        <f aca="false">J86-K86</f>
        <v>7</v>
      </c>
      <c r="M86" s="35" t="n">
        <f aca="false">IF(E86=0,0,(J86/E86))</f>
        <v>1.13333333333333</v>
      </c>
      <c r="N86" s="35" t="n">
        <f aca="false">IF(E86=0,0,(K86/E86))</f>
        <v>0.666666666666667</v>
      </c>
      <c r="O86" s="22" t="n">
        <f aca="false">SUMIF(CAL!B:I,B86,CAL!I:I)+SUMIF(CAL!J:Q,B86,CAL!Q:Q)</f>
        <v>6</v>
      </c>
      <c r="P86" s="19" t="n">
        <f aca="false">Q86+R86</f>
        <v>1</v>
      </c>
      <c r="Q86" s="22" t="n">
        <v>0</v>
      </c>
      <c r="R86" s="22" t="n">
        <v>1</v>
      </c>
      <c r="S86" s="22" t="s">
        <v>5440</v>
      </c>
      <c r="T86" s="22" t="s">
        <v>5396</v>
      </c>
      <c r="U86" s="22" t="s">
        <v>5397</v>
      </c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customFormat="false" ht="12" hidden="false" customHeight="true" outlineLevel="0" collapsed="false">
      <c r="A87" s="31" t="n">
        <v>86</v>
      </c>
      <c r="B87" s="32" t="s">
        <v>198</v>
      </c>
      <c r="C87" s="32" t="s">
        <v>5568</v>
      </c>
      <c r="D87" s="22" t="n">
        <f aca="false">SUMIF(CAL!B:E,B87,CAL!E:E)+SUMIF(CAL!J:M,B87,CAL!M:M)</f>
        <v>13</v>
      </c>
      <c r="E87" s="33" t="n">
        <f aca="false">COUNTIF(CAL!B:J,B87)</f>
        <v>11</v>
      </c>
      <c r="F87" s="22" t="n">
        <f aca="false">SUMIF(CAL!B:F,B87,CAL!F:F)+SUMIF(CAL!J:N,B87,CAL!N:N)</f>
        <v>3</v>
      </c>
      <c r="G87" s="22" t="n">
        <f aca="false">SUMIF(CAL!B:F,B87,CAL!G:G)+SUMIF(CAL!J:N,B87,CAL!O:O)</f>
        <v>4</v>
      </c>
      <c r="H87" s="22" t="n">
        <f aca="false">SUMIF(CAL!B:F,B87,CAL!H:H)+SUMIF(CAL!J:N,B87,CAL!P:P)</f>
        <v>4</v>
      </c>
      <c r="I87" s="34" t="n">
        <f aca="false">IF(E87=0,0,(D87/(E87*3)))</f>
        <v>0.393939393939394</v>
      </c>
      <c r="J87" s="33" t="n">
        <f aca="false">SUMIF(CAL!B:C,B87,CAL!C:C)+SUMIF(CAL!J:J,B87,CAL!D:D)</f>
        <v>8</v>
      </c>
      <c r="K87" s="22" t="n">
        <f aca="false">SUMIF(CAL!B:D,B87,CAL!D:D)+SUMIF(CAL!J:L,B87,CAL!K:K)</f>
        <v>12</v>
      </c>
      <c r="L87" s="22" t="n">
        <f aca="false">J87-K87</f>
        <v>-4</v>
      </c>
      <c r="M87" s="35" t="n">
        <f aca="false">IF(E87=0,0,(J87/E87))</f>
        <v>0.727272727272727</v>
      </c>
      <c r="N87" s="35" t="n">
        <f aca="false">IF(E87=0,0,(K87/E87))</f>
        <v>1.09090909090909</v>
      </c>
      <c r="O87" s="22" t="n">
        <f aca="false">SUMIF(CAL!B:I,B87,CAL!I:I)+SUMIF(CAL!J:Q,B87,CAL!Q:Q)</f>
        <v>2</v>
      </c>
      <c r="P87" s="19" t="n">
        <f aca="false">Q87+R87</f>
        <v>1</v>
      </c>
      <c r="Q87" s="22" t="n">
        <v>0</v>
      </c>
      <c r="R87" s="22" t="n">
        <v>1</v>
      </c>
      <c r="S87" s="22" t="s">
        <v>5421</v>
      </c>
      <c r="T87" s="22" t="s">
        <v>5482</v>
      </c>
      <c r="U87" s="22" t="s">
        <v>5483</v>
      </c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customFormat="false" ht="12" hidden="false" customHeight="true" outlineLevel="0" collapsed="false">
      <c r="A88" s="31" t="n">
        <v>87</v>
      </c>
      <c r="B88" s="32" t="s">
        <v>273</v>
      </c>
      <c r="C88" s="32" t="s">
        <v>5569</v>
      </c>
      <c r="D88" s="22" t="n">
        <f aca="false">SUMIF(CAL!B:E,B88,CAL!E:E)+SUMIF(CAL!J:M,B88,CAL!M:M)</f>
        <v>13</v>
      </c>
      <c r="E88" s="33" t="n">
        <f aca="false">COUNTIF(CAL!B:J,B88)</f>
        <v>9</v>
      </c>
      <c r="F88" s="22" t="n">
        <f aca="false">SUMIF(CAL!B:F,B88,CAL!F:F)+SUMIF(CAL!J:N,B88,CAL!N:N)</f>
        <v>3</v>
      </c>
      <c r="G88" s="22" t="n">
        <f aca="false">SUMIF(CAL!B:F,B88,CAL!G:G)+SUMIF(CAL!J:N,B88,CAL!O:O)</f>
        <v>4</v>
      </c>
      <c r="H88" s="22" t="n">
        <f aca="false">SUMIF(CAL!B:F,B88,CAL!H:H)+SUMIF(CAL!J:N,B88,CAL!P:P)</f>
        <v>2</v>
      </c>
      <c r="I88" s="34" t="n">
        <f aca="false">IF(E88=0,0,(D88/(E88*3)))</f>
        <v>0.481481481481481</v>
      </c>
      <c r="J88" s="33" t="n">
        <f aca="false">SUMIF(CAL!B:C,B88,CAL!C:C)+SUMIF(CAL!J:J,B88,CAL!D:D)</f>
        <v>10</v>
      </c>
      <c r="K88" s="22" t="n">
        <f aca="false">SUMIF(CAL!B:D,B88,CAL!D:D)+SUMIF(CAL!J:L,B88,CAL!K:K)</f>
        <v>8</v>
      </c>
      <c r="L88" s="22" t="n">
        <f aca="false">J88-K88</f>
        <v>2</v>
      </c>
      <c r="M88" s="35" t="n">
        <f aca="false">IF(E88=0,0,(J88/E88))</f>
        <v>1.11111111111111</v>
      </c>
      <c r="N88" s="35" t="n">
        <f aca="false">IF(E88=0,0,(K88/E88))</f>
        <v>0.888888888888889</v>
      </c>
      <c r="O88" s="22" t="n">
        <f aca="false">SUMIF(CAL!B:I,B88,CAL!I:I)+SUMIF(CAL!J:Q,B88,CAL!Q:Q)</f>
        <v>5</v>
      </c>
      <c r="P88" s="19" t="n">
        <f aca="false">Q88+R88</f>
        <v>1</v>
      </c>
      <c r="Q88" s="22" t="n">
        <v>0</v>
      </c>
      <c r="R88" s="22" t="n">
        <v>1</v>
      </c>
      <c r="S88" s="22" t="s">
        <v>5440</v>
      </c>
      <c r="T88" s="22" t="s">
        <v>5529</v>
      </c>
      <c r="U88" s="22" t="s">
        <v>5458</v>
      </c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customFormat="false" ht="12" hidden="false" customHeight="true" outlineLevel="0" collapsed="false">
      <c r="A89" s="31" t="n">
        <v>88</v>
      </c>
      <c r="B89" s="36" t="s">
        <v>99</v>
      </c>
      <c r="C89" s="32" t="s">
        <v>5570</v>
      </c>
      <c r="D89" s="22" t="n">
        <f aca="false">SUMIF(CAL!B:E,B89,CAL!E:E)+SUMIF(CAL!J:M,B89,CAL!M:M)</f>
        <v>19</v>
      </c>
      <c r="E89" s="33" t="n">
        <f aca="false">COUNTIF(CAL!B:J,B89)</f>
        <v>13</v>
      </c>
      <c r="F89" s="22" t="n">
        <f aca="false">SUMIF(CAL!B:F,B89,CAL!F:F)+SUMIF(CAL!J:N,B89,CAL!N:N)</f>
        <v>5</v>
      </c>
      <c r="G89" s="22" t="n">
        <f aca="false">SUMIF(CAL!B:F,B89,CAL!G:G)+SUMIF(CAL!J:N,B89,CAL!O:O)</f>
        <v>4</v>
      </c>
      <c r="H89" s="22" t="n">
        <f aca="false">SUMIF(CAL!B:F,B89,CAL!H:H)+SUMIF(CAL!J:N,B89,CAL!P:P)</f>
        <v>4</v>
      </c>
      <c r="I89" s="34" t="n">
        <f aca="false">IF(E89=0,0,(D89/(E89*3)))</f>
        <v>0.487179487179487</v>
      </c>
      <c r="J89" s="33" t="n">
        <f aca="false">SUMIF(CAL!B:C,B89,CAL!C:C)+SUMIF(CAL!J:J,B89,CAL!D:D)</f>
        <v>20</v>
      </c>
      <c r="K89" s="22" t="n">
        <f aca="false">SUMIF(CAL!B:D,B89,CAL!D:D)+SUMIF(CAL!J:L,B89,CAL!K:K)</f>
        <v>16</v>
      </c>
      <c r="L89" s="22" t="n">
        <f aca="false">J89-K89</f>
        <v>4</v>
      </c>
      <c r="M89" s="35" t="n">
        <f aca="false">IF(E89=0,0,(J89/E89))</f>
        <v>1.53846153846154</v>
      </c>
      <c r="N89" s="35" t="n">
        <f aca="false">IF(E89=0,0,(K89/E89))</f>
        <v>1.23076923076923</v>
      </c>
      <c r="O89" s="22" t="n">
        <f aca="false">SUMIF(CAL!B:I,B89,CAL!I:I)+SUMIF(CAL!J:Q,B89,CAL!Q:Q)</f>
        <v>3</v>
      </c>
      <c r="P89" s="19" t="n">
        <f aca="false">Q89+R89</f>
        <v>1</v>
      </c>
      <c r="Q89" s="22" t="n">
        <v>0</v>
      </c>
      <c r="R89" s="22" t="n">
        <v>1</v>
      </c>
      <c r="S89" s="22" t="s">
        <v>5375</v>
      </c>
      <c r="T89" s="22" t="s">
        <v>5571</v>
      </c>
      <c r="U89" s="22" t="s">
        <v>5465</v>
      </c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customFormat="false" ht="12" hidden="false" customHeight="true" outlineLevel="0" collapsed="false">
      <c r="A90" s="31" t="n">
        <v>89</v>
      </c>
      <c r="B90" s="32" t="s">
        <v>444</v>
      </c>
      <c r="C90" s="32" t="s">
        <v>5572</v>
      </c>
      <c r="D90" s="22" t="n">
        <f aca="false">SUMIF(CAL!B:E,B90,CAL!E:E)+SUMIF(CAL!J:M,B90,CAL!M:M)</f>
        <v>1</v>
      </c>
      <c r="E90" s="33" t="n">
        <f aca="false">COUNTIF(CAL!B:J,B90)</f>
        <v>1</v>
      </c>
      <c r="F90" s="22" t="n">
        <f aca="false">SUMIF(CAL!B:F,B90,CAL!F:F)+SUMIF(CAL!J:N,B90,CAL!N:N)</f>
        <v>0</v>
      </c>
      <c r="G90" s="22" t="n">
        <f aca="false">SUMIF(CAL!B:F,B90,CAL!G:G)+SUMIF(CAL!J:N,B90,CAL!O:O)</f>
        <v>1</v>
      </c>
      <c r="H90" s="22" t="n">
        <f aca="false">SUMIF(CAL!B:F,B90,CAL!H:H)+SUMIF(CAL!J:N,B90,CAL!P:P)</f>
        <v>0</v>
      </c>
      <c r="I90" s="34" t="n">
        <f aca="false">IF(E90=0,0,(D90/(E90*3)))</f>
        <v>0.333333333333333</v>
      </c>
      <c r="J90" s="33" t="n">
        <f aca="false">SUMIF(CAL!B:C,B90,CAL!C:C)+SUMIF(CAL!J:J,B90,CAL!D:D)</f>
        <v>1</v>
      </c>
      <c r="K90" s="22" t="n">
        <f aca="false">SUMIF(CAL!B:D,B90,CAL!D:D)+SUMIF(CAL!J:L,B90,CAL!K:K)</f>
        <v>1</v>
      </c>
      <c r="L90" s="22" t="n">
        <f aca="false">J90-K90</f>
        <v>0</v>
      </c>
      <c r="M90" s="35" t="n">
        <f aca="false">IF(E90=0,0,(J90/E90))</f>
        <v>1</v>
      </c>
      <c r="N90" s="35" t="n">
        <f aca="false">IF(E90=0,0,(K90/E90))</f>
        <v>1</v>
      </c>
      <c r="O90" s="22" t="n">
        <f aca="false">SUMIF(CAL!B:I,B90,CAL!I:I)+SUMIF(CAL!J:Q,B90,CAL!Q:Q)</f>
        <v>0</v>
      </c>
      <c r="P90" s="19" t="n">
        <f aca="false">Q90+R90</f>
        <v>1</v>
      </c>
      <c r="Q90" s="22" t="n">
        <v>0</v>
      </c>
      <c r="R90" s="22" t="n">
        <v>1</v>
      </c>
      <c r="S90" s="22" t="s">
        <v>5409</v>
      </c>
      <c r="T90" s="22" t="s">
        <v>5464</v>
      </c>
      <c r="U90" s="22" t="s">
        <v>5465</v>
      </c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customFormat="false" ht="12" hidden="false" customHeight="true" outlineLevel="0" collapsed="false">
      <c r="A91" s="31" t="n">
        <v>90</v>
      </c>
      <c r="B91" s="32" t="s">
        <v>202</v>
      </c>
      <c r="C91" s="32" t="s">
        <v>5573</v>
      </c>
      <c r="D91" s="22" t="n">
        <f aca="false">SUMIF(CAL!B:E,B91,CAL!E:E)+SUMIF(CAL!J:M,B91,CAL!M:M)</f>
        <v>7</v>
      </c>
      <c r="E91" s="33" t="n">
        <f aca="false">COUNTIF(CAL!B:J,B91)</f>
        <v>9</v>
      </c>
      <c r="F91" s="22" t="n">
        <f aca="false">SUMIF(CAL!B:F,B91,CAL!F:F)+SUMIF(CAL!J:N,B91,CAL!N:N)</f>
        <v>2</v>
      </c>
      <c r="G91" s="22" t="n">
        <f aca="false">SUMIF(CAL!B:F,B91,CAL!G:G)+SUMIF(CAL!J:N,B91,CAL!O:O)</f>
        <v>1</v>
      </c>
      <c r="H91" s="22" t="n">
        <f aca="false">SUMIF(CAL!B:F,B91,CAL!H:H)+SUMIF(CAL!J:N,B91,CAL!P:P)</f>
        <v>6</v>
      </c>
      <c r="I91" s="34" t="n">
        <f aca="false">IF(E91=0,0,(D91/(E91*3)))</f>
        <v>0.259259259259259</v>
      </c>
      <c r="J91" s="33" t="n">
        <f aca="false">SUMIF(CAL!B:C,B91,CAL!C:C)+SUMIF(CAL!J:J,B91,CAL!D:D)</f>
        <v>6</v>
      </c>
      <c r="K91" s="22" t="n">
        <f aca="false">SUMIF(CAL!B:D,B91,CAL!D:D)+SUMIF(CAL!J:L,B91,CAL!K:K)</f>
        <v>18</v>
      </c>
      <c r="L91" s="22" t="n">
        <f aca="false">J91-K91</f>
        <v>-12</v>
      </c>
      <c r="M91" s="35" t="n">
        <f aca="false">IF(E91=0,0,(J91/E91))</f>
        <v>0.666666666666667</v>
      </c>
      <c r="N91" s="35" t="n">
        <f aca="false">IF(E91=0,0,(K91/E91))</f>
        <v>2</v>
      </c>
      <c r="O91" s="22" t="n">
        <f aca="false">SUMIF(CAL!B:I,B91,CAL!I:I)+SUMIF(CAL!J:Q,B91,CAL!Q:Q)</f>
        <v>2</v>
      </c>
      <c r="P91" s="19" t="n">
        <f aca="false">Q91+R91</f>
        <v>1</v>
      </c>
      <c r="Q91" s="22" t="n">
        <v>0</v>
      </c>
      <c r="R91" s="22" t="n">
        <v>1</v>
      </c>
      <c r="S91" s="22" t="s">
        <v>5375</v>
      </c>
      <c r="T91" s="22" t="s">
        <v>5460</v>
      </c>
      <c r="U91" s="22" t="s">
        <v>5391</v>
      </c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customFormat="false" ht="12" hidden="false" customHeight="true" outlineLevel="0" collapsed="false">
      <c r="A92" s="31" t="n">
        <v>91</v>
      </c>
      <c r="B92" s="32" t="s">
        <v>56</v>
      </c>
      <c r="C92" s="32" t="s">
        <v>5574</v>
      </c>
      <c r="D92" s="22" t="n">
        <f aca="false">SUMIF(CAL!B:E,B92,CAL!E:E)+SUMIF(CAL!J:M,B92,CAL!M:M)</f>
        <v>20</v>
      </c>
      <c r="E92" s="33" t="n">
        <f aca="false">COUNTIF(CAL!B:J,B92)</f>
        <v>17</v>
      </c>
      <c r="F92" s="22" t="n">
        <f aca="false">SUMIF(CAL!B:F,B92,CAL!F:F)+SUMIF(CAL!J:N,B92,CAL!N:N)</f>
        <v>6</v>
      </c>
      <c r="G92" s="22" t="n">
        <f aca="false">SUMIF(CAL!B:F,B92,CAL!G:G)+SUMIF(CAL!J:N,B92,CAL!O:O)</f>
        <v>2</v>
      </c>
      <c r="H92" s="22" t="n">
        <f aca="false">SUMIF(CAL!B:F,B92,CAL!H:H)+SUMIF(CAL!J:N,B92,CAL!P:P)</f>
        <v>9</v>
      </c>
      <c r="I92" s="34" t="n">
        <f aca="false">IF(E92=0,0,(D92/(E92*3)))</f>
        <v>0.392156862745098</v>
      </c>
      <c r="J92" s="33" t="n">
        <f aca="false">SUMIF(CAL!B:C,B92,CAL!C:C)+SUMIF(CAL!J:J,B92,CAL!D:D)</f>
        <v>17</v>
      </c>
      <c r="K92" s="22" t="n">
        <f aca="false">SUMIF(CAL!B:D,B92,CAL!D:D)+SUMIF(CAL!J:L,B92,CAL!K:K)</f>
        <v>21</v>
      </c>
      <c r="L92" s="22" t="n">
        <f aca="false">J92-K92</f>
        <v>-4</v>
      </c>
      <c r="M92" s="35" t="n">
        <f aca="false">IF(E92=0,0,(J92/E92))</f>
        <v>1</v>
      </c>
      <c r="N92" s="35" t="n">
        <f aca="false">IF(E92=0,0,(K92/E92))</f>
        <v>1.23529411764706</v>
      </c>
      <c r="O92" s="22" t="n">
        <f aca="false">SUMIF(CAL!B:I,B92,CAL!I:I)+SUMIF(CAL!J:Q,B92,CAL!Q:Q)</f>
        <v>5</v>
      </c>
      <c r="P92" s="19" t="n">
        <f aca="false">Q92+R92</f>
        <v>1</v>
      </c>
      <c r="Q92" s="22" t="n">
        <v>0</v>
      </c>
      <c r="R92" s="22" t="n">
        <v>1</v>
      </c>
      <c r="S92" s="22" t="s">
        <v>5375</v>
      </c>
      <c r="T92" s="22" t="s">
        <v>5575</v>
      </c>
      <c r="U92" s="22" t="s">
        <v>5576</v>
      </c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customFormat="false" ht="12" hidden="false" customHeight="true" outlineLevel="0" collapsed="false">
      <c r="A93" s="31" t="n">
        <v>92</v>
      </c>
      <c r="B93" s="32" t="s">
        <v>215</v>
      </c>
      <c r="C93" s="32" t="s">
        <v>5577</v>
      </c>
      <c r="D93" s="22" t="n">
        <f aca="false">SUMIF(CAL!B:E,B93,CAL!E:E)+SUMIF(CAL!J:M,B93,CAL!M:M)</f>
        <v>7</v>
      </c>
      <c r="E93" s="33" t="n">
        <f aca="false">COUNTIF(CAL!B:J,B93)</f>
        <v>11</v>
      </c>
      <c r="F93" s="22" t="n">
        <f aca="false">SUMIF(CAL!B:F,B93,CAL!F:F)+SUMIF(CAL!J:N,B93,CAL!N:N)</f>
        <v>1</v>
      </c>
      <c r="G93" s="22" t="n">
        <f aca="false">SUMIF(CAL!B:F,B93,CAL!G:G)+SUMIF(CAL!J:N,B93,CAL!O:O)</f>
        <v>4</v>
      </c>
      <c r="H93" s="22" t="n">
        <f aca="false">SUMIF(CAL!B:F,B93,CAL!H:H)+SUMIF(CAL!J:N,B93,CAL!P:P)</f>
        <v>6</v>
      </c>
      <c r="I93" s="34" t="n">
        <f aca="false">IF(E93=0,0,(D93/(E93*3)))</f>
        <v>0.212121212121212</v>
      </c>
      <c r="J93" s="33" t="n">
        <f aca="false">SUMIF(CAL!B:C,B93,CAL!C:C)+SUMIF(CAL!J:J,B93,CAL!D:D)</f>
        <v>13</v>
      </c>
      <c r="K93" s="22" t="n">
        <f aca="false">SUMIF(CAL!B:D,B93,CAL!D:D)+SUMIF(CAL!J:L,B93,CAL!K:K)</f>
        <v>20</v>
      </c>
      <c r="L93" s="22" t="n">
        <f aca="false">J93-K93</f>
        <v>-7</v>
      </c>
      <c r="M93" s="35" t="n">
        <f aca="false">IF(E93=0,0,(J93/E93))</f>
        <v>1.18181818181818</v>
      </c>
      <c r="N93" s="35" t="n">
        <f aca="false">IF(E93=0,0,(K93/E93))</f>
        <v>1.81818181818182</v>
      </c>
      <c r="O93" s="22" t="n">
        <f aca="false">SUMIF(CAL!B:I,B93,CAL!I:I)+SUMIF(CAL!J:Q,B93,CAL!Q:Q)</f>
        <v>1</v>
      </c>
      <c r="P93" s="19" t="n">
        <f aca="false">Q93+R93</f>
        <v>1</v>
      </c>
      <c r="Q93" s="22" t="n">
        <v>0</v>
      </c>
      <c r="R93" s="22" t="n">
        <v>1</v>
      </c>
      <c r="S93" s="22" t="s">
        <v>5409</v>
      </c>
      <c r="T93" s="22" t="s">
        <v>5578</v>
      </c>
      <c r="U93" s="22" t="s">
        <v>5453</v>
      </c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customFormat="false" ht="12" hidden="false" customHeight="true" outlineLevel="0" collapsed="false">
      <c r="A94" s="31" t="n">
        <v>93</v>
      </c>
      <c r="B94" s="32" t="s">
        <v>174</v>
      </c>
      <c r="C94" s="32" t="s">
        <v>5579</v>
      </c>
      <c r="D94" s="22" t="n">
        <f aca="false">SUMIF(CAL!B:E,B94,CAL!E:E)+SUMIF(CAL!J:M,B94,CAL!M:M)</f>
        <v>17</v>
      </c>
      <c r="E94" s="33" t="n">
        <f aca="false">COUNTIF(CAL!B:J,B94)</f>
        <v>12</v>
      </c>
      <c r="F94" s="22" t="n">
        <f aca="false">SUMIF(CAL!B:F,B94,CAL!F:F)+SUMIF(CAL!J:N,B94,CAL!N:N)</f>
        <v>4</v>
      </c>
      <c r="G94" s="22" t="n">
        <f aca="false">SUMIF(CAL!B:F,B94,CAL!G:G)+SUMIF(CAL!J:N,B94,CAL!O:O)</f>
        <v>5</v>
      </c>
      <c r="H94" s="22" t="n">
        <f aca="false">SUMIF(CAL!B:F,B94,CAL!H:H)+SUMIF(CAL!J:N,B94,CAL!P:P)</f>
        <v>3</v>
      </c>
      <c r="I94" s="34" t="n">
        <f aca="false">IF(E94=0,0,(D94/(E94*3)))</f>
        <v>0.472222222222222</v>
      </c>
      <c r="J94" s="33" t="n">
        <f aca="false">SUMIF(CAL!B:C,B94,CAL!C:C)+SUMIF(CAL!J:J,B94,CAL!D:D)</f>
        <v>13</v>
      </c>
      <c r="K94" s="22" t="n">
        <f aca="false">SUMIF(CAL!B:D,B94,CAL!D:D)+SUMIF(CAL!J:L,B94,CAL!K:K)</f>
        <v>12</v>
      </c>
      <c r="L94" s="22" t="n">
        <f aca="false">J94-K94</f>
        <v>1</v>
      </c>
      <c r="M94" s="35" t="n">
        <f aca="false">IF(E94=0,0,(J94/E94))</f>
        <v>1.08333333333333</v>
      </c>
      <c r="N94" s="35" t="n">
        <f aca="false">IF(E94=0,0,(K94/E94))</f>
        <v>1</v>
      </c>
      <c r="O94" s="22" t="n">
        <f aca="false">SUMIF(CAL!B:I,B94,CAL!I:I)+SUMIF(CAL!J:Q,B94,CAL!Q:Q)</f>
        <v>3</v>
      </c>
      <c r="P94" s="19" t="n">
        <f aca="false">Q94+R94</f>
        <v>1</v>
      </c>
      <c r="Q94" s="22" t="n">
        <v>0</v>
      </c>
      <c r="R94" s="22" t="n">
        <v>1</v>
      </c>
      <c r="S94" s="22" t="s">
        <v>5421</v>
      </c>
      <c r="T94" s="22" t="s">
        <v>1024</v>
      </c>
      <c r="U94" s="22" t="s">
        <v>5580</v>
      </c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customFormat="false" ht="12" hidden="false" customHeight="true" outlineLevel="0" collapsed="false">
      <c r="A95" s="31" t="n">
        <v>94</v>
      </c>
      <c r="B95" s="32" t="s">
        <v>32</v>
      </c>
      <c r="C95" s="32" t="s">
        <v>5581</v>
      </c>
      <c r="D95" s="22" t="n">
        <f aca="false">SUMIF(CAL!B:E,B95,CAL!E:E)+SUMIF(CAL!J:M,B95,CAL!M:M)</f>
        <v>5</v>
      </c>
      <c r="E95" s="33" t="n">
        <f aca="false">COUNTIF(CAL!B:J,B95)</f>
        <v>9</v>
      </c>
      <c r="F95" s="22" t="n">
        <f aca="false">SUMIF(CAL!B:F,B95,CAL!F:F)+SUMIF(CAL!J:N,B95,CAL!N:N)</f>
        <v>1</v>
      </c>
      <c r="G95" s="22" t="n">
        <f aca="false">SUMIF(CAL!B:F,B95,CAL!G:G)+SUMIF(CAL!J:N,B95,CAL!O:O)</f>
        <v>2</v>
      </c>
      <c r="H95" s="22" t="n">
        <f aca="false">SUMIF(CAL!B:F,B95,CAL!H:H)+SUMIF(CAL!J:N,B95,CAL!P:P)</f>
        <v>6</v>
      </c>
      <c r="I95" s="34" t="n">
        <f aca="false">IF(E95=0,0,(D95/(E95*3)))</f>
        <v>0.185185185185185</v>
      </c>
      <c r="J95" s="33" t="n">
        <f aca="false">SUMIF(CAL!B:C,B95,CAL!C:C)+SUMIF(CAL!J:J,B95,CAL!D:D)</f>
        <v>8</v>
      </c>
      <c r="K95" s="22" t="n">
        <f aca="false">SUMIF(CAL!B:D,B95,CAL!D:D)+SUMIF(CAL!J:L,B95,CAL!K:K)</f>
        <v>12</v>
      </c>
      <c r="L95" s="22" t="n">
        <f aca="false">J95-K95</f>
        <v>-4</v>
      </c>
      <c r="M95" s="35" t="n">
        <f aca="false">IF(E95=0,0,(J95/E95))</f>
        <v>0.888888888888889</v>
      </c>
      <c r="N95" s="35" t="n">
        <f aca="false">IF(E95=0,0,(K95/E95))</f>
        <v>1.33333333333333</v>
      </c>
      <c r="O95" s="22" t="n">
        <f aca="false">SUMIF(CAL!B:I,B95,CAL!I:I)+SUMIF(CAL!J:Q,B95,CAL!Q:Q)</f>
        <v>1</v>
      </c>
      <c r="P95" s="19" t="n">
        <f aca="false">Q95+R95</f>
        <v>1</v>
      </c>
      <c r="Q95" s="22" t="n">
        <v>0</v>
      </c>
      <c r="R95" s="22" t="n">
        <v>1</v>
      </c>
      <c r="S95" s="22" t="s">
        <v>5375</v>
      </c>
      <c r="T95" s="22" t="s">
        <v>5582</v>
      </c>
      <c r="U95" s="22" t="s">
        <v>5453</v>
      </c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customFormat="false" ht="12" hidden="false" customHeight="true" outlineLevel="0" collapsed="false">
      <c r="A96" s="31" t="n">
        <v>95</v>
      </c>
      <c r="B96" s="32" t="s">
        <v>127</v>
      </c>
      <c r="C96" s="32" t="s">
        <v>5583</v>
      </c>
      <c r="D96" s="22" t="n">
        <f aca="false">SUMIF(CAL!B:E,B96,CAL!E:E)+SUMIF(CAL!J:M,B96,CAL!M:M)</f>
        <v>21</v>
      </c>
      <c r="E96" s="33" t="n">
        <f aca="false">COUNTIF(CAL!B:J,B96)</f>
        <v>16</v>
      </c>
      <c r="F96" s="22" t="n">
        <f aca="false">SUMIF(CAL!B:F,B96,CAL!F:F)+SUMIF(CAL!J:N,B96,CAL!N:N)</f>
        <v>4</v>
      </c>
      <c r="G96" s="22" t="n">
        <f aca="false">SUMIF(CAL!B:F,B96,CAL!G:G)+SUMIF(CAL!J:N,B96,CAL!O:O)</f>
        <v>9</v>
      </c>
      <c r="H96" s="22" t="n">
        <f aca="false">SUMIF(CAL!B:F,B96,CAL!H:H)+SUMIF(CAL!J:N,B96,CAL!P:P)</f>
        <v>3</v>
      </c>
      <c r="I96" s="34" t="n">
        <f aca="false">IF(E96=0,0,(D96/(E96*3)))</f>
        <v>0.4375</v>
      </c>
      <c r="J96" s="33" t="n">
        <f aca="false">SUMIF(CAL!B:C,B96,CAL!C:C)+SUMIF(CAL!J:J,B96,CAL!D:D)</f>
        <v>16</v>
      </c>
      <c r="K96" s="22" t="n">
        <f aca="false">SUMIF(CAL!B:D,B96,CAL!D:D)+SUMIF(CAL!J:L,B96,CAL!K:K)</f>
        <v>10</v>
      </c>
      <c r="L96" s="22" t="n">
        <f aca="false">J96-K96</f>
        <v>6</v>
      </c>
      <c r="M96" s="35" t="n">
        <f aca="false">IF(E96=0,0,(J96/E96))</f>
        <v>1</v>
      </c>
      <c r="N96" s="35" t="n">
        <f aca="false">IF(E96=0,0,(K96/E96))</f>
        <v>0.625</v>
      </c>
      <c r="O96" s="22" t="n">
        <f aca="false">SUMIF(CAL!B:I,B96,CAL!I:I)+SUMIF(CAL!J:Q,B96,CAL!Q:Q)</f>
        <v>9</v>
      </c>
      <c r="P96" s="19" t="n">
        <f aca="false">Q96+R96</f>
        <v>1</v>
      </c>
      <c r="Q96" s="22" t="n">
        <v>0</v>
      </c>
      <c r="R96" s="22" t="n">
        <v>1</v>
      </c>
      <c r="S96" s="22" t="s">
        <v>5375</v>
      </c>
      <c r="T96" s="22" t="s">
        <v>5396</v>
      </c>
      <c r="U96" s="22" t="s">
        <v>5397</v>
      </c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customFormat="false" ht="12" hidden="false" customHeight="true" outlineLevel="0" collapsed="false">
      <c r="A97" s="31" t="n">
        <v>96</v>
      </c>
      <c r="B97" s="32" t="s">
        <v>194</v>
      </c>
      <c r="C97" s="32" t="s">
        <v>5584</v>
      </c>
      <c r="D97" s="22" t="n">
        <f aca="false">SUMIF(CAL!B:E,B97,CAL!E:E)+SUMIF(CAL!J:M,B97,CAL!M:M)</f>
        <v>14</v>
      </c>
      <c r="E97" s="33" t="n">
        <f aca="false">COUNTIF(CAL!B:J,B97)</f>
        <v>10</v>
      </c>
      <c r="F97" s="22" t="n">
        <f aca="false">SUMIF(CAL!B:F,B97,CAL!F:F)+SUMIF(CAL!J:N,B97,CAL!N:N)</f>
        <v>3</v>
      </c>
      <c r="G97" s="22" t="n">
        <f aca="false">SUMIF(CAL!B:F,B97,CAL!G:G)+SUMIF(CAL!J:N,B97,CAL!O:O)</f>
        <v>5</v>
      </c>
      <c r="H97" s="22" t="n">
        <f aca="false">SUMIF(CAL!B:F,B97,CAL!H:H)+SUMIF(CAL!J:N,B97,CAL!P:P)</f>
        <v>2</v>
      </c>
      <c r="I97" s="34" t="n">
        <f aca="false">IF(E97=0,0,(D97/(E97*3)))</f>
        <v>0.466666666666667</v>
      </c>
      <c r="J97" s="33" t="n">
        <f aca="false">SUMIF(CAL!B:C,B97,CAL!C:C)+SUMIF(CAL!J:J,B97,CAL!D:D)</f>
        <v>12</v>
      </c>
      <c r="K97" s="22" t="n">
        <f aca="false">SUMIF(CAL!B:D,B97,CAL!D:D)+SUMIF(CAL!J:L,B97,CAL!K:K)</f>
        <v>9</v>
      </c>
      <c r="L97" s="22" t="n">
        <f aca="false">J97-K97</f>
        <v>3</v>
      </c>
      <c r="M97" s="35" t="n">
        <f aca="false">IF(E97=0,0,(J97/E97))</f>
        <v>1.2</v>
      </c>
      <c r="N97" s="35" t="n">
        <f aca="false">IF(E97=0,0,(K97/E97))</f>
        <v>0.9</v>
      </c>
      <c r="O97" s="22" t="n">
        <f aca="false">SUMIF(CAL!B:I,B97,CAL!I:I)+SUMIF(CAL!J:Q,B97,CAL!Q:Q)</f>
        <v>4</v>
      </c>
      <c r="P97" s="19" t="n">
        <f aca="false">Q97+R97</f>
        <v>1</v>
      </c>
      <c r="Q97" s="22" t="n">
        <v>0</v>
      </c>
      <c r="R97" s="22" t="n">
        <v>1</v>
      </c>
      <c r="S97" s="22" t="s">
        <v>5375</v>
      </c>
      <c r="T97" s="22" t="s">
        <v>5416</v>
      </c>
      <c r="U97" s="22" t="s">
        <v>5417</v>
      </c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customFormat="false" ht="12" hidden="false" customHeight="true" outlineLevel="0" collapsed="false">
      <c r="A98" s="31" t="n">
        <v>97</v>
      </c>
      <c r="B98" s="32" t="s">
        <v>208</v>
      </c>
      <c r="C98" s="32" t="s">
        <v>5585</v>
      </c>
      <c r="D98" s="22" t="n">
        <f aca="false">SUMIF(CAL!B:E,B98,CAL!E:E)+SUMIF(CAL!J:M,B98,CAL!M:M)</f>
        <v>22</v>
      </c>
      <c r="E98" s="33" t="n">
        <f aca="false">COUNTIF(CAL!B:J,B98)</f>
        <v>15</v>
      </c>
      <c r="F98" s="22" t="n">
        <f aca="false">SUMIF(CAL!B:F,B98,CAL!F:F)+SUMIF(CAL!J:N,B98,CAL!N:N)</f>
        <v>6</v>
      </c>
      <c r="G98" s="22" t="n">
        <f aca="false">SUMIF(CAL!B:F,B98,CAL!G:G)+SUMIF(CAL!J:N,B98,CAL!O:O)</f>
        <v>4</v>
      </c>
      <c r="H98" s="22" t="n">
        <f aca="false">SUMIF(CAL!B:F,B98,CAL!H:H)+SUMIF(CAL!J:N,B98,CAL!P:P)</f>
        <v>5</v>
      </c>
      <c r="I98" s="34" t="n">
        <f aca="false">IF(E98=0,0,(D98/(E98*3)))</f>
        <v>0.488888888888889</v>
      </c>
      <c r="J98" s="33" t="n">
        <f aca="false">SUMIF(CAL!B:C,B98,CAL!C:C)+SUMIF(CAL!J:J,B98,CAL!D:D)</f>
        <v>22</v>
      </c>
      <c r="K98" s="22" t="n">
        <f aca="false">SUMIF(CAL!B:D,B98,CAL!D:D)+SUMIF(CAL!J:L,B98,CAL!K:K)</f>
        <v>18</v>
      </c>
      <c r="L98" s="22" t="n">
        <f aca="false">J98-K98</f>
        <v>4</v>
      </c>
      <c r="M98" s="35" t="n">
        <f aca="false">IF(E98=0,0,(J98/E98))</f>
        <v>1.46666666666667</v>
      </c>
      <c r="N98" s="35" t="n">
        <f aca="false">IF(E98=0,0,(K98/E98))</f>
        <v>1.2</v>
      </c>
      <c r="O98" s="22" t="n">
        <f aca="false">SUMIF(CAL!B:I,B98,CAL!I:I)+SUMIF(CAL!J:Q,B98,CAL!Q:Q)</f>
        <v>5</v>
      </c>
      <c r="P98" s="19" t="n">
        <f aca="false">Q98+R98</f>
        <v>1</v>
      </c>
      <c r="Q98" s="22" t="n">
        <v>0</v>
      </c>
      <c r="R98" s="22" t="n">
        <v>1</v>
      </c>
      <c r="S98" s="22" t="s">
        <v>5421</v>
      </c>
      <c r="T98" s="22" t="s">
        <v>5586</v>
      </c>
      <c r="U98" s="22" t="s">
        <v>5450</v>
      </c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customFormat="false" ht="12" hidden="false" customHeight="true" outlineLevel="0" collapsed="false">
      <c r="A99" s="31" t="n">
        <v>98</v>
      </c>
      <c r="B99" s="37" t="s">
        <v>162</v>
      </c>
      <c r="C99" s="37" t="s">
        <v>5587</v>
      </c>
      <c r="D99" s="22" t="n">
        <f aca="false">SUMIF(CAL!B:E,B99,CAL!E:E)+SUMIF(CAL!J:M,B99,CAL!M:M)</f>
        <v>21</v>
      </c>
      <c r="E99" s="33" t="n">
        <f aca="false">COUNTIF(CAL!B:J,B99)</f>
        <v>13</v>
      </c>
      <c r="F99" s="22" t="n">
        <f aca="false">SUMIF(CAL!B:F,B99,CAL!F:F)+SUMIF(CAL!J:N,B99,CAL!N:N)</f>
        <v>6</v>
      </c>
      <c r="G99" s="22" t="n">
        <f aca="false">SUMIF(CAL!B:F,B99,CAL!G:G)+SUMIF(CAL!J:N,B99,CAL!O:O)</f>
        <v>3</v>
      </c>
      <c r="H99" s="22" t="n">
        <f aca="false">SUMIF(CAL!B:F,B99,CAL!H:H)+SUMIF(CAL!J:N,B99,CAL!P:P)</f>
        <v>4</v>
      </c>
      <c r="I99" s="34" t="n">
        <f aca="false">IF(E99=0,0,(D99/(E99*3)))</f>
        <v>0.538461538461538</v>
      </c>
      <c r="J99" s="33" t="n">
        <f aca="false">SUMIF(CAL!B:C,B99,CAL!C:C)+SUMIF(CAL!J:J,B99,CAL!D:D)</f>
        <v>21</v>
      </c>
      <c r="K99" s="22" t="n">
        <f aca="false">SUMIF(CAL!B:D,B99,CAL!D:D)+SUMIF(CAL!J:L,B99,CAL!K:K)</f>
        <v>14</v>
      </c>
      <c r="L99" s="22" t="n">
        <f aca="false">J99-K99</f>
        <v>7</v>
      </c>
      <c r="M99" s="35" t="n">
        <f aca="false">IF(E99=0,0,(J99/E99))</f>
        <v>1.61538461538462</v>
      </c>
      <c r="N99" s="35" t="n">
        <f aca="false">IF(E99=0,0,(K99/E99))</f>
        <v>1.07692307692308</v>
      </c>
      <c r="O99" s="22" t="n">
        <f aca="false">SUMIF(CAL!B:I,B99,CAL!I:I)+SUMIF(CAL!J:Q,B99,CAL!Q:Q)</f>
        <v>2</v>
      </c>
      <c r="P99" s="19" t="n">
        <f aca="false">Q99+R99</f>
        <v>1</v>
      </c>
      <c r="Q99" s="22" t="n">
        <v>0</v>
      </c>
      <c r="R99" s="22" t="n">
        <v>1</v>
      </c>
      <c r="S99" s="22" t="s">
        <v>5440</v>
      </c>
      <c r="T99" s="22" t="s">
        <v>5588</v>
      </c>
      <c r="U99" s="22" t="s">
        <v>5450</v>
      </c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customFormat="false" ht="12" hidden="false" customHeight="true" outlineLevel="0" collapsed="false">
      <c r="A100" s="31" t="n">
        <v>99</v>
      </c>
      <c r="B100" s="32" t="s">
        <v>60</v>
      </c>
      <c r="C100" s="32" t="s">
        <v>5589</v>
      </c>
      <c r="D100" s="22" t="n">
        <f aca="false">SUMIF(CAL!B:E,B100,CAL!E:E)+SUMIF(CAL!J:M,B100,CAL!M:M)</f>
        <v>25</v>
      </c>
      <c r="E100" s="33" t="n">
        <f aca="false">COUNTIF(CAL!B:J,B100)</f>
        <v>18</v>
      </c>
      <c r="F100" s="22" t="n">
        <f aca="false">SUMIF(CAL!B:F,B100,CAL!F:F)+SUMIF(CAL!J:N,B100,CAL!N:N)</f>
        <v>6</v>
      </c>
      <c r="G100" s="22" t="n">
        <f aca="false">SUMIF(CAL!B:F,B100,CAL!G:G)+SUMIF(CAL!J:N,B100,CAL!O:O)</f>
        <v>7</v>
      </c>
      <c r="H100" s="22" t="n">
        <f aca="false">SUMIF(CAL!B:F,B100,CAL!H:H)+SUMIF(CAL!J:N,B100,CAL!P:P)</f>
        <v>5</v>
      </c>
      <c r="I100" s="34" t="n">
        <f aca="false">IF(E100=0,0,(D100/(E100*3)))</f>
        <v>0.462962962962963</v>
      </c>
      <c r="J100" s="33" t="n">
        <f aca="false">SUMIF(CAL!B:C,B100,CAL!C:C)+SUMIF(CAL!J:J,B100,CAL!D:D)</f>
        <v>22</v>
      </c>
      <c r="K100" s="22" t="n">
        <f aca="false">SUMIF(CAL!B:D,B100,CAL!D:D)+SUMIF(CAL!J:L,B100,CAL!K:K)</f>
        <v>20</v>
      </c>
      <c r="L100" s="22" t="n">
        <f aca="false">J100-K100</f>
        <v>2</v>
      </c>
      <c r="M100" s="35" t="n">
        <f aca="false">IF(E100=0,0,(J100/E100))</f>
        <v>1.22222222222222</v>
      </c>
      <c r="N100" s="35" t="n">
        <f aca="false">IF(E100=0,0,(K100/E100))</f>
        <v>1.11111111111111</v>
      </c>
      <c r="O100" s="22" t="n">
        <f aca="false">SUMIF(CAL!B:I,B100,CAL!I:I)+SUMIF(CAL!J:Q,B100,CAL!Q:Q)</f>
        <v>6</v>
      </c>
      <c r="P100" s="19" t="n">
        <f aca="false">Q100+R100</f>
        <v>1</v>
      </c>
      <c r="Q100" s="22" t="n">
        <v>0</v>
      </c>
      <c r="R100" s="22" t="n">
        <v>1</v>
      </c>
      <c r="S100" s="22" t="s">
        <v>5375</v>
      </c>
      <c r="T100" s="22" t="s">
        <v>5590</v>
      </c>
      <c r="U100" s="22" t="s">
        <v>5518</v>
      </c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customFormat="false" ht="12" hidden="false" customHeight="true" outlineLevel="0" collapsed="false">
      <c r="A101" s="31" t="n">
        <v>100</v>
      </c>
      <c r="B101" s="32" t="s">
        <v>351</v>
      </c>
      <c r="C101" s="32" t="s">
        <v>5591</v>
      </c>
      <c r="D101" s="22" t="n">
        <f aca="false">SUMIF(CAL!B:E,B101,CAL!E:E)+SUMIF(CAL!J:M,B101,CAL!M:M)</f>
        <v>21</v>
      </c>
      <c r="E101" s="33" t="n">
        <f aca="false">COUNTIF(CAL!B:J,B101)</f>
        <v>10</v>
      </c>
      <c r="F101" s="22" t="n">
        <f aca="false">SUMIF(CAL!B:F,B101,CAL!F:F)+SUMIF(CAL!J:N,B101,CAL!N:N)</f>
        <v>6</v>
      </c>
      <c r="G101" s="22" t="n">
        <f aca="false">SUMIF(CAL!B:F,B101,CAL!G:G)+SUMIF(CAL!J:N,B101,CAL!O:O)</f>
        <v>3</v>
      </c>
      <c r="H101" s="22" t="n">
        <f aca="false">SUMIF(CAL!B:F,B101,CAL!H:H)+SUMIF(CAL!J:N,B101,CAL!P:P)</f>
        <v>1</v>
      </c>
      <c r="I101" s="34" t="n">
        <f aca="false">IF(E101=0,0,(D101/(E101*3)))</f>
        <v>0.7</v>
      </c>
      <c r="J101" s="33" t="n">
        <f aca="false">SUMIF(CAL!B:C,B101,CAL!C:C)+SUMIF(CAL!J:J,B101,CAL!D:D)</f>
        <v>28</v>
      </c>
      <c r="K101" s="22" t="n">
        <f aca="false">SUMIF(CAL!B:D,B101,CAL!D:D)+SUMIF(CAL!J:L,B101,CAL!K:K)</f>
        <v>6</v>
      </c>
      <c r="L101" s="22" t="n">
        <f aca="false">J101-K101</f>
        <v>22</v>
      </c>
      <c r="M101" s="35" t="n">
        <f aca="false">IF(E101=0,0,(J101/E101))</f>
        <v>2.8</v>
      </c>
      <c r="N101" s="35" t="n">
        <f aca="false">IF(E101=0,0,(K101/E101))</f>
        <v>0.6</v>
      </c>
      <c r="O101" s="22" t="n">
        <f aca="false">SUMIF(CAL!B:I,B101,CAL!I:I)+SUMIF(CAL!J:Q,B101,CAL!Q:Q)</f>
        <v>5</v>
      </c>
      <c r="P101" s="19" t="n">
        <f aca="false">Q101+R101</f>
        <v>1</v>
      </c>
      <c r="Q101" s="22" t="n">
        <v>0</v>
      </c>
      <c r="R101" s="22" t="n">
        <v>1</v>
      </c>
      <c r="S101" s="22" t="s">
        <v>5375</v>
      </c>
      <c r="T101" s="22" t="s">
        <v>5592</v>
      </c>
      <c r="U101" s="22" t="s">
        <v>5458</v>
      </c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customFormat="false" ht="12" hidden="false" customHeight="true" outlineLevel="0" collapsed="false">
      <c r="A102" s="31" t="n">
        <v>101</v>
      </c>
      <c r="B102" s="32" t="s">
        <v>299</v>
      </c>
      <c r="C102" s="32" t="s">
        <v>5593</v>
      </c>
      <c r="D102" s="22" t="n">
        <f aca="false">SUMIF(CAL!B:E,B102,CAL!E:E)+SUMIF(CAL!J:M,B102,CAL!M:M)</f>
        <v>18</v>
      </c>
      <c r="E102" s="33" t="n">
        <f aca="false">COUNTIF(CAL!B:J,B102)</f>
        <v>13</v>
      </c>
      <c r="F102" s="22" t="n">
        <f aca="false">SUMIF(CAL!B:F,B102,CAL!F:F)+SUMIF(CAL!J:N,B102,CAL!N:N)</f>
        <v>5</v>
      </c>
      <c r="G102" s="22" t="n">
        <f aca="false">SUMIF(CAL!B:F,B102,CAL!G:G)+SUMIF(CAL!J:N,B102,CAL!O:O)</f>
        <v>3</v>
      </c>
      <c r="H102" s="22" t="n">
        <f aca="false">SUMIF(CAL!B:F,B102,CAL!H:H)+SUMIF(CAL!J:N,B102,CAL!P:P)</f>
        <v>5</v>
      </c>
      <c r="I102" s="34" t="n">
        <f aca="false">IF(E102=0,0,(D102/(E102*3)))</f>
        <v>0.461538461538462</v>
      </c>
      <c r="J102" s="33" t="n">
        <f aca="false">SUMIF(CAL!B:C,B102,CAL!C:C)+SUMIF(CAL!J:J,B102,CAL!D:D)</f>
        <v>15</v>
      </c>
      <c r="K102" s="22" t="n">
        <f aca="false">SUMIF(CAL!B:D,B102,CAL!D:D)+SUMIF(CAL!J:L,B102,CAL!K:K)</f>
        <v>16</v>
      </c>
      <c r="L102" s="22" t="n">
        <f aca="false">J102-K102</f>
        <v>-1</v>
      </c>
      <c r="M102" s="35" t="n">
        <f aca="false">IF(E102=0,0,(J102/E102))</f>
        <v>1.15384615384615</v>
      </c>
      <c r="N102" s="35" t="n">
        <f aca="false">IF(E102=0,0,(K102/E102))</f>
        <v>1.23076923076923</v>
      </c>
      <c r="O102" s="22" t="n">
        <f aca="false">SUMIF(CAL!B:I,B102,CAL!I:I)+SUMIF(CAL!J:Q,B102,CAL!Q:Q)</f>
        <v>4</v>
      </c>
      <c r="P102" s="19" t="n">
        <f aca="false">Q102+R102</f>
        <v>1</v>
      </c>
      <c r="Q102" s="22" t="n">
        <v>0</v>
      </c>
      <c r="R102" s="22" t="n">
        <v>1</v>
      </c>
      <c r="S102" s="22" t="s">
        <v>5421</v>
      </c>
      <c r="T102" s="22" t="s">
        <v>5594</v>
      </c>
      <c r="U102" s="22" t="s">
        <v>5434</v>
      </c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 customFormat="false" ht="12" hidden="false" customHeight="true" outlineLevel="0" collapsed="false">
      <c r="A103" s="31" t="n">
        <v>102</v>
      </c>
      <c r="B103" s="36" t="s">
        <v>43</v>
      </c>
      <c r="C103" s="32" t="s">
        <v>5595</v>
      </c>
      <c r="D103" s="22" t="n">
        <f aca="false">SUMIF(CAL!B:E,B103,CAL!E:E)+SUMIF(CAL!J:M,B103,CAL!M:M)</f>
        <v>6</v>
      </c>
      <c r="E103" s="33" t="n">
        <f aca="false">COUNTIF(CAL!B:J,B103)</f>
        <v>10</v>
      </c>
      <c r="F103" s="22" t="n">
        <f aca="false">SUMIF(CAL!B:F,B103,CAL!F:F)+SUMIF(CAL!J:N,B103,CAL!N:N)</f>
        <v>1</v>
      </c>
      <c r="G103" s="22" t="n">
        <f aca="false">SUMIF(CAL!B:F,B103,CAL!G:G)+SUMIF(CAL!J:N,B103,CAL!O:O)</f>
        <v>3</v>
      </c>
      <c r="H103" s="22" t="n">
        <f aca="false">SUMIF(CAL!B:F,B103,CAL!H:H)+SUMIF(CAL!J:N,B103,CAL!P:P)</f>
        <v>6</v>
      </c>
      <c r="I103" s="34" t="n">
        <f aca="false">IF(E103=0,0,(D103/(E103*3)))</f>
        <v>0.2</v>
      </c>
      <c r="J103" s="33" t="n">
        <f aca="false">SUMIF(CAL!B:C,B103,CAL!C:C)+SUMIF(CAL!J:J,B103,CAL!D:D)</f>
        <v>7</v>
      </c>
      <c r="K103" s="22" t="n">
        <f aca="false">SUMIF(CAL!B:D,B103,CAL!D:D)+SUMIF(CAL!J:L,B103,CAL!K:K)</f>
        <v>16</v>
      </c>
      <c r="L103" s="22" t="n">
        <f aca="false">J103-K103</f>
        <v>-9</v>
      </c>
      <c r="M103" s="35" t="n">
        <f aca="false">IF(E103=0,0,(J103/E103))</f>
        <v>0.7</v>
      </c>
      <c r="N103" s="35" t="n">
        <f aca="false">IF(E103=0,0,(K103/E103))</f>
        <v>1.6</v>
      </c>
      <c r="O103" s="22" t="n">
        <f aca="false">SUMIF(CAL!B:I,B103,CAL!I:I)+SUMIF(CAL!J:Q,B103,CAL!Q:Q)</f>
        <v>2</v>
      </c>
      <c r="P103" s="19" t="n">
        <f aca="false">Q103+R103</f>
        <v>1</v>
      </c>
      <c r="Q103" s="22" t="n">
        <v>0</v>
      </c>
      <c r="R103" s="22" t="n">
        <v>1</v>
      </c>
      <c r="S103" s="22" t="s">
        <v>5375</v>
      </c>
      <c r="T103" s="22" t="s">
        <v>5596</v>
      </c>
      <c r="U103" s="22" t="s">
        <v>5450</v>
      </c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 customFormat="false" ht="12" hidden="false" customHeight="true" outlineLevel="0" collapsed="false">
      <c r="A104" s="31" t="n">
        <v>103</v>
      </c>
      <c r="B104" s="32" t="s">
        <v>268</v>
      </c>
      <c r="C104" s="32" t="s">
        <v>5597</v>
      </c>
      <c r="D104" s="22" t="n">
        <f aca="false">SUMIF(CAL!B:E,B104,CAL!E:E)+SUMIF(CAL!J:M,B104,CAL!M:M)</f>
        <v>26</v>
      </c>
      <c r="E104" s="33" t="n">
        <f aca="false">COUNTIF(CAL!B:J,B104)</f>
        <v>20</v>
      </c>
      <c r="F104" s="22" t="n">
        <f aca="false">SUMIF(CAL!B:F,B104,CAL!F:F)+SUMIF(CAL!J:N,B104,CAL!N:N)</f>
        <v>6</v>
      </c>
      <c r="G104" s="22" t="n">
        <f aca="false">SUMIF(CAL!B:F,B104,CAL!G:G)+SUMIF(CAL!J:N,B104,CAL!O:O)</f>
        <v>8</v>
      </c>
      <c r="H104" s="22" t="n">
        <f aca="false">SUMIF(CAL!B:F,B104,CAL!H:H)+SUMIF(CAL!J:N,B104,CAL!P:P)</f>
        <v>6</v>
      </c>
      <c r="I104" s="34" t="n">
        <f aca="false">IF(E104=0,0,(D104/(E104*3)))</f>
        <v>0.433333333333333</v>
      </c>
      <c r="J104" s="33" t="n">
        <f aca="false">SUMIF(CAL!B:C,B104,CAL!C:C)+SUMIF(CAL!J:J,B104,CAL!D:D)</f>
        <v>26</v>
      </c>
      <c r="K104" s="22" t="n">
        <f aca="false">SUMIF(CAL!B:D,B104,CAL!D:D)+SUMIF(CAL!J:L,B104,CAL!K:K)</f>
        <v>22</v>
      </c>
      <c r="L104" s="22" t="n">
        <f aca="false">J104-K104</f>
        <v>4</v>
      </c>
      <c r="M104" s="35" t="n">
        <f aca="false">IF(E104=0,0,(J104/E104))</f>
        <v>1.3</v>
      </c>
      <c r="N104" s="35" t="n">
        <f aca="false">IF(E104=0,0,(K104/E104))</f>
        <v>1.1</v>
      </c>
      <c r="O104" s="22" t="n">
        <f aca="false">SUMIF(CAL!B:I,B104,CAL!I:I)+SUMIF(CAL!J:Q,B104,CAL!Q:Q)</f>
        <v>5</v>
      </c>
      <c r="P104" s="19" t="n">
        <f aca="false">Q104+R104</f>
        <v>1</v>
      </c>
      <c r="Q104" s="22" t="n">
        <v>0</v>
      </c>
      <c r="R104" s="22" t="n">
        <v>1</v>
      </c>
      <c r="S104" s="22" t="s">
        <v>5375</v>
      </c>
      <c r="T104" s="22" t="s">
        <v>5598</v>
      </c>
      <c r="U104" s="22" t="s">
        <v>5453</v>
      </c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customFormat="false" ht="12" hidden="false" customHeight="true" outlineLevel="0" collapsed="false">
      <c r="A105" s="31" t="n">
        <v>104</v>
      </c>
      <c r="B105" s="32" t="s">
        <v>144</v>
      </c>
      <c r="C105" s="32" t="s">
        <v>5599</v>
      </c>
      <c r="D105" s="22" t="n">
        <f aca="false">SUMIF(CAL!B:E,B105,CAL!E:E)+SUMIF(CAL!J:M,B105,CAL!M:M)</f>
        <v>14</v>
      </c>
      <c r="E105" s="33" t="n">
        <f aca="false">COUNTIF(CAL!B:J,B105)</f>
        <v>12</v>
      </c>
      <c r="F105" s="22" t="n">
        <f aca="false">SUMIF(CAL!B:F,B105,CAL!F:F)+SUMIF(CAL!J:N,B105,CAL!N:N)</f>
        <v>3</v>
      </c>
      <c r="G105" s="22" t="n">
        <f aca="false">SUMIF(CAL!B:F,B105,CAL!G:G)+SUMIF(CAL!J:N,B105,CAL!O:O)</f>
        <v>5</v>
      </c>
      <c r="H105" s="22" t="n">
        <f aca="false">SUMIF(CAL!B:F,B105,CAL!H:H)+SUMIF(CAL!J:N,B105,CAL!P:P)</f>
        <v>4</v>
      </c>
      <c r="I105" s="34" t="n">
        <f aca="false">IF(E105=0,0,(D105/(E105*3)))</f>
        <v>0.388888888888889</v>
      </c>
      <c r="J105" s="33" t="n">
        <f aca="false">SUMIF(CAL!B:C,B105,CAL!C:C)+SUMIF(CAL!J:J,B105,CAL!D:D)</f>
        <v>12</v>
      </c>
      <c r="K105" s="22" t="n">
        <f aca="false">SUMIF(CAL!B:D,B105,CAL!D:D)+SUMIF(CAL!J:L,B105,CAL!K:K)</f>
        <v>19</v>
      </c>
      <c r="L105" s="22" t="n">
        <f aca="false">J105-K105</f>
        <v>-7</v>
      </c>
      <c r="M105" s="35" t="n">
        <f aca="false">IF(E105=0,0,(J105/E105))</f>
        <v>1</v>
      </c>
      <c r="N105" s="35" t="n">
        <f aca="false">IF(E105=0,0,(K105/E105))</f>
        <v>1.58333333333333</v>
      </c>
      <c r="O105" s="22" t="n">
        <f aca="false">SUMIF(CAL!B:I,B105,CAL!I:I)+SUMIF(CAL!J:Q,B105,CAL!Q:Q)</f>
        <v>2</v>
      </c>
      <c r="P105" s="19" t="n">
        <f aca="false">Q105+R105</f>
        <v>1</v>
      </c>
      <c r="Q105" s="22" t="n">
        <v>0</v>
      </c>
      <c r="R105" s="22" t="n">
        <v>1</v>
      </c>
      <c r="S105" s="22" t="s">
        <v>5375</v>
      </c>
      <c r="T105" s="22" t="s">
        <v>5600</v>
      </c>
      <c r="U105" s="22" t="s">
        <v>5476</v>
      </c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 customFormat="false" ht="12" hidden="false" customHeight="true" outlineLevel="0" collapsed="false">
      <c r="A106" s="31" t="n">
        <v>105</v>
      </c>
      <c r="B106" s="32" t="s">
        <v>108</v>
      </c>
      <c r="C106" s="32" t="s">
        <v>5601</v>
      </c>
      <c r="D106" s="22" t="n">
        <f aca="false">SUMIF(CAL!B:E,B106,CAL!E:E)+SUMIF(CAL!J:M,B106,CAL!M:M)</f>
        <v>21</v>
      </c>
      <c r="E106" s="33" t="n">
        <f aca="false">COUNTIF(CAL!B:J,B106)</f>
        <v>15</v>
      </c>
      <c r="F106" s="22" t="n">
        <f aca="false">SUMIF(CAL!B:F,B106,CAL!F:F)+SUMIF(CAL!J:N,B106,CAL!N:N)</f>
        <v>6</v>
      </c>
      <c r="G106" s="22" t="n">
        <f aca="false">SUMIF(CAL!B:F,B106,CAL!G:G)+SUMIF(CAL!J:N,B106,CAL!O:O)</f>
        <v>3</v>
      </c>
      <c r="H106" s="22" t="n">
        <f aca="false">SUMIF(CAL!B:F,B106,CAL!H:H)+SUMIF(CAL!J:N,B106,CAL!P:P)</f>
        <v>6</v>
      </c>
      <c r="I106" s="34" t="n">
        <f aca="false">IF(E106=0,0,(D106/(E106*3)))</f>
        <v>0.466666666666667</v>
      </c>
      <c r="J106" s="33" t="n">
        <f aca="false">SUMIF(CAL!B:C,B106,CAL!C:C)+SUMIF(CAL!J:J,B106,CAL!D:D)</f>
        <v>18</v>
      </c>
      <c r="K106" s="22" t="n">
        <f aca="false">SUMIF(CAL!B:D,B106,CAL!D:D)+SUMIF(CAL!J:L,B106,CAL!K:K)</f>
        <v>19</v>
      </c>
      <c r="L106" s="22" t="n">
        <f aca="false">J106-K106</f>
        <v>-1</v>
      </c>
      <c r="M106" s="35" t="n">
        <f aca="false">IF(E106=0,0,(J106/E106))</f>
        <v>1.2</v>
      </c>
      <c r="N106" s="35" t="n">
        <f aca="false">IF(E106=0,0,(K106/E106))</f>
        <v>1.26666666666667</v>
      </c>
      <c r="O106" s="22" t="n">
        <f aca="false">SUMIF(CAL!B:I,B106,CAL!I:I)+SUMIF(CAL!J:Q,B106,CAL!Q:Q)</f>
        <v>5</v>
      </c>
      <c r="P106" s="19" t="n">
        <f aca="false">Q106+R106</f>
        <v>0</v>
      </c>
      <c r="Q106" s="22" t="n">
        <v>0</v>
      </c>
      <c r="R106" s="22" t="n">
        <v>0</v>
      </c>
      <c r="S106" s="22" t="s">
        <v>5421</v>
      </c>
      <c r="T106" s="22" t="s">
        <v>5505</v>
      </c>
      <c r="U106" s="22" t="s">
        <v>5414</v>
      </c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customFormat="false" ht="12" hidden="false" customHeight="true" outlineLevel="0" collapsed="false">
      <c r="A107" s="31" t="n">
        <v>106</v>
      </c>
      <c r="B107" s="32" t="s">
        <v>165</v>
      </c>
      <c r="C107" s="32" t="s">
        <v>5602</v>
      </c>
      <c r="D107" s="22" t="n">
        <f aca="false">SUMIF(CAL!B:E,B107,CAL!E:E)+SUMIF(CAL!J:M,B107,CAL!M:M)</f>
        <v>36</v>
      </c>
      <c r="E107" s="33" t="n">
        <f aca="false">COUNTIF(CAL!B:J,B107)</f>
        <v>21</v>
      </c>
      <c r="F107" s="22" t="n">
        <f aca="false">SUMIF(CAL!B:F,B107,CAL!F:F)+SUMIF(CAL!J:N,B107,CAL!N:N)</f>
        <v>11</v>
      </c>
      <c r="G107" s="22" t="n">
        <f aca="false">SUMIF(CAL!B:F,B107,CAL!G:G)+SUMIF(CAL!J:N,B107,CAL!O:O)</f>
        <v>3</v>
      </c>
      <c r="H107" s="22" t="n">
        <f aca="false">SUMIF(CAL!B:F,B107,CAL!H:H)+SUMIF(CAL!J:N,B107,CAL!P:P)</f>
        <v>7</v>
      </c>
      <c r="I107" s="34" t="n">
        <f aca="false">IF(E107=0,0,(D107/(E107*3)))</f>
        <v>0.571428571428571</v>
      </c>
      <c r="J107" s="33" t="n">
        <f aca="false">SUMIF(CAL!B:C,B107,CAL!C:C)+SUMIF(CAL!J:J,B107,CAL!D:D)</f>
        <v>30</v>
      </c>
      <c r="K107" s="22" t="n">
        <f aca="false">SUMIF(CAL!B:D,B107,CAL!D:D)+SUMIF(CAL!J:L,B107,CAL!K:K)</f>
        <v>24</v>
      </c>
      <c r="L107" s="22" t="n">
        <f aca="false">J107-K107</f>
        <v>6</v>
      </c>
      <c r="M107" s="35" t="n">
        <f aca="false">IF(E107=0,0,(J107/E107))</f>
        <v>1.42857142857143</v>
      </c>
      <c r="N107" s="35" t="n">
        <f aca="false">IF(E107=0,0,(K107/E107))</f>
        <v>1.14285714285714</v>
      </c>
      <c r="O107" s="22" t="n">
        <f aca="false">SUMIF(CAL!B:I,B107,CAL!I:I)+SUMIF(CAL!J:Q,B107,CAL!Q:Q)</f>
        <v>9</v>
      </c>
      <c r="P107" s="19" t="n">
        <f aca="false">Q107+R107</f>
        <v>0</v>
      </c>
      <c r="Q107" s="22" t="n">
        <v>0</v>
      </c>
      <c r="R107" s="22" t="n">
        <v>0</v>
      </c>
      <c r="S107" s="22" t="s">
        <v>5421</v>
      </c>
      <c r="T107" s="22" t="s">
        <v>5603</v>
      </c>
      <c r="U107" s="22" t="s">
        <v>5434</v>
      </c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customFormat="false" ht="12" hidden="false" customHeight="true" outlineLevel="0" collapsed="false">
      <c r="A108" s="31" t="n">
        <v>107</v>
      </c>
      <c r="B108" s="32" t="s">
        <v>85</v>
      </c>
      <c r="C108" s="32" t="s">
        <v>5604</v>
      </c>
      <c r="D108" s="22" t="n">
        <f aca="false">SUMIF(CAL!B:E,B108,CAL!E:E)+SUMIF(CAL!J:M,B108,CAL!M:M)</f>
        <v>24</v>
      </c>
      <c r="E108" s="33" t="n">
        <f aca="false">COUNTIF(CAL!B:J,B108)</f>
        <v>17</v>
      </c>
      <c r="F108" s="22" t="n">
        <f aca="false">SUMIF(CAL!B:F,B108,CAL!F:F)+SUMIF(CAL!J:N,B108,CAL!N:N)</f>
        <v>6</v>
      </c>
      <c r="G108" s="22" t="n">
        <f aca="false">SUMIF(CAL!B:F,B108,CAL!G:G)+SUMIF(CAL!J:N,B108,CAL!O:O)</f>
        <v>6</v>
      </c>
      <c r="H108" s="22" t="n">
        <f aca="false">SUMIF(CAL!B:F,B108,CAL!H:H)+SUMIF(CAL!J:N,B108,CAL!P:P)</f>
        <v>5</v>
      </c>
      <c r="I108" s="34" t="n">
        <f aca="false">IF(E108=0,0,(D108/(E108*3)))</f>
        <v>0.470588235294118</v>
      </c>
      <c r="J108" s="33" t="n">
        <f aca="false">SUMIF(CAL!B:C,B108,CAL!C:C)+SUMIF(CAL!J:J,B108,CAL!D:D)</f>
        <v>19</v>
      </c>
      <c r="K108" s="22" t="n">
        <f aca="false">SUMIF(CAL!B:D,B108,CAL!D:D)+SUMIF(CAL!J:L,B108,CAL!K:K)</f>
        <v>12</v>
      </c>
      <c r="L108" s="22" t="n">
        <f aca="false">J108-K108</f>
        <v>7</v>
      </c>
      <c r="M108" s="35" t="n">
        <f aca="false">IF(E108=0,0,(J108/E108))</f>
        <v>1.11764705882353</v>
      </c>
      <c r="N108" s="35" t="n">
        <f aca="false">IF(E108=0,0,(K108/E108))</f>
        <v>0.705882352941177</v>
      </c>
      <c r="O108" s="22" t="n">
        <f aca="false">SUMIF(CAL!B:I,B108,CAL!I:I)+SUMIF(CAL!J:Q,B108,CAL!Q:Q)</f>
        <v>9</v>
      </c>
      <c r="P108" s="19" t="n">
        <f aca="false">Q108+R108</f>
        <v>0</v>
      </c>
      <c r="Q108" s="22" t="n">
        <v>0</v>
      </c>
      <c r="R108" s="22" t="n">
        <v>0</v>
      </c>
      <c r="S108" s="22" t="s">
        <v>5375</v>
      </c>
      <c r="T108" s="22" t="s">
        <v>5410</v>
      </c>
      <c r="U108" s="22" t="s">
        <v>5411</v>
      </c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customFormat="false" ht="12" hidden="false" customHeight="true" outlineLevel="0" collapsed="false">
      <c r="A109" s="31" t="n">
        <v>108</v>
      </c>
      <c r="B109" s="32" t="s">
        <v>441</v>
      </c>
      <c r="C109" s="32" t="s">
        <v>5605</v>
      </c>
      <c r="D109" s="22" t="n">
        <f aca="false">SUMIF(CAL!B:E,B109,CAL!E:E)+SUMIF(CAL!J:M,B109,CAL!M:M)</f>
        <v>0</v>
      </c>
      <c r="E109" s="33" t="n">
        <f aca="false">COUNTIF(CAL!B:J,B109)</f>
        <v>1</v>
      </c>
      <c r="F109" s="22" t="n">
        <f aca="false">SUMIF(CAL!B:F,B109,CAL!F:F)+SUMIF(CAL!J:N,B109,CAL!N:N)</f>
        <v>0</v>
      </c>
      <c r="G109" s="22" t="n">
        <f aca="false">SUMIF(CAL!B:F,B109,CAL!G:G)+SUMIF(CAL!J:N,B109,CAL!O:O)</f>
        <v>0</v>
      </c>
      <c r="H109" s="22" t="n">
        <f aca="false">SUMIF(CAL!B:F,B109,CAL!H:H)+SUMIF(CAL!J:N,B109,CAL!P:P)</f>
        <v>1</v>
      </c>
      <c r="I109" s="34" t="n">
        <f aca="false">IF(E109=0,0,(D109/(E109*3)))</f>
        <v>0</v>
      </c>
      <c r="J109" s="33" t="n">
        <f aca="false">SUMIF(CAL!B:C,B109,CAL!C:C)+SUMIF(CAL!J:J,B109,CAL!D:D)</f>
        <v>0</v>
      </c>
      <c r="K109" s="22" t="n">
        <f aca="false">SUMIF(CAL!B:D,B109,CAL!D:D)+SUMIF(CAL!J:L,B109,CAL!K:K)</f>
        <v>4</v>
      </c>
      <c r="L109" s="22" t="n">
        <f aca="false">J109-K109</f>
        <v>-4</v>
      </c>
      <c r="M109" s="35" t="n">
        <f aca="false">IF(E109=0,0,(J109/E109))</f>
        <v>0</v>
      </c>
      <c r="N109" s="35" t="n">
        <f aca="false">IF(E109=0,0,(K109/E109))</f>
        <v>4</v>
      </c>
      <c r="O109" s="22" t="n">
        <f aca="false">SUMIF(CAL!B:I,B109,CAL!I:I)+SUMIF(CAL!J:Q,B109,CAL!Q:Q)</f>
        <v>0</v>
      </c>
      <c r="P109" s="19" t="n">
        <f aca="false">Q109+R109</f>
        <v>0</v>
      </c>
      <c r="Q109" s="22" t="n">
        <v>0</v>
      </c>
      <c r="R109" s="22" t="n">
        <v>0</v>
      </c>
      <c r="S109" s="22" t="s">
        <v>5375</v>
      </c>
      <c r="T109" s="22" t="s">
        <v>5606</v>
      </c>
      <c r="U109" s="22" t="s">
        <v>5431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customFormat="false" ht="12" hidden="false" customHeight="true" outlineLevel="0" collapsed="false">
      <c r="A110" s="31" t="n">
        <v>109</v>
      </c>
      <c r="B110" s="32" t="s">
        <v>140</v>
      </c>
      <c r="C110" s="32" t="s">
        <v>5607</v>
      </c>
      <c r="D110" s="22" t="n">
        <f aca="false">SUMIF(CAL!B:E,B110,CAL!E:E)+SUMIF(CAL!J:M,B110,CAL!M:M)</f>
        <v>34</v>
      </c>
      <c r="E110" s="33" t="n">
        <f aca="false">COUNTIF(CAL!B:J,B110)</f>
        <v>17</v>
      </c>
      <c r="F110" s="22" t="n">
        <f aca="false">SUMIF(CAL!B:F,B110,CAL!F:F)+SUMIF(CAL!J:N,B110,CAL!N:N)</f>
        <v>9</v>
      </c>
      <c r="G110" s="22" t="n">
        <f aca="false">SUMIF(CAL!B:F,B110,CAL!G:G)+SUMIF(CAL!J:N,B110,CAL!O:O)</f>
        <v>7</v>
      </c>
      <c r="H110" s="22" t="n">
        <f aca="false">SUMIF(CAL!B:F,B110,CAL!H:H)+SUMIF(CAL!J:N,B110,CAL!P:P)</f>
        <v>1</v>
      </c>
      <c r="I110" s="34" t="n">
        <f aca="false">IF(E110=0,0,(D110/(E110*3)))</f>
        <v>0.666666666666667</v>
      </c>
      <c r="J110" s="33" t="n">
        <f aca="false">SUMIF(CAL!B:C,B110,CAL!C:C)+SUMIF(CAL!J:J,B110,CAL!D:D)</f>
        <v>29</v>
      </c>
      <c r="K110" s="22" t="n">
        <f aca="false">SUMIF(CAL!B:D,B110,CAL!D:D)+SUMIF(CAL!J:L,B110,CAL!K:K)</f>
        <v>10</v>
      </c>
      <c r="L110" s="22" t="n">
        <f aca="false">J110-K110</f>
        <v>19</v>
      </c>
      <c r="M110" s="35" t="n">
        <f aca="false">IF(E110=0,0,(J110/E110))</f>
        <v>1.70588235294118</v>
      </c>
      <c r="N110" s="35" t="n">
        <f aca="false">IF(E110=0,0,(K110/E110))</f>
        <v>0.588235294117647</v>
      </c>
      <c r="O110" s="22" t="n">
        <f aca="false">SUMIF(CAL!B:I,B110,CAL!I:I)+SUMIF(CAL!J:Q,B110,CAL!Q:Q)</f>
        <v>9</v>
      </c>
      <c r="P110" s="19" t="n">
        <f aca="false">Q110+R110</f>
        <v>0</v>
      </c>
      <c r="Q110" s="22" t="n">
        <v>0</v>
      </c>
      <c r="R110" s="22" t="n">
        <v>0</v>
      </c>
      <c r="S110" s="22" t="s">
        <v>5440</v>
      </c>
      <c r="T110" s="22" t="s">
        <v>5608</v>
      </c>
      <c r="U110" s="22" t="s">
        <v>5450</v>
      </c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customFormat="false" ht="12" hidden="false" customHeight="true" outlineLevel="0" collapsed="false">
      <c r="A111" s="31" t="n">
        <v>110</v>
      </c>
      <c r="B111" s="32" t="s">
        <v>186</v>
      </c>
      <c r="C111" s="32" t="s">
        <v>5609</v>
      </c>
      <c r="D111" s="22" t="n">
        <f aca="false">SUMIF(CAL!B:E,B111,CAL!E:E)+SUMIF(CAL!J:M,B111,CAL!M:M)</f>
        <v>9</v>
      </c>
      <c r="E111" s="33" t="n">
        <f aca="false">COUNTIF(CAL!B:J,B111)</f>
        <v>11</v>
      </c>
      <c r="F111" s="22" t="n">
        <f aca="false">SUMIF(CAL!B:F,B111,CAL!F:F)+SUMIF(CAL!J:N,B111,CAL!N:N)</f>
        <v>2</v>
      </c>
      <c r="G111" s="22" t="n">
        <f aca="false">SUMIF(CAL!B:F,B111,CAL!G:G)+SUMIF(CAL!J:N,B111,CAL!O:O)</f>
        <v>3</v>
      </c>
      <c r="H111" s="22" t="n">
        <f aca="false">SUMIF(CAL!B:F,B111,CAL!H:H)+SUMIF(CAL!J:N,B111,CAL!P:P)</f>
        <v>6</v>
      </c>
      <c r="I111" s="34" t="n">
        <f aca="false">IF(E111=0,0,(D111/(E111*3)))</f>
        <v>0.272727272727273</v>
      </c>
      <c r="J111" s="33" t="n">
        <f aca="false">SUMIF(CAL!B:C,B111,CAL!C:C)+SUMIF(CAL!J:J,B111,CAL!D:D)</f>
        <v>16</v>
      </c>
      <c r="K111" s="22" t="n">
        <f aca="false">SUMIF(CAL!B:D,B111,CAL!D:D)+SUMIF(CAL!J:L,B111,CAL!K:K)</f>
        <v>20</v>
      </c>
      <c r="L111" s="22" t="n">
        <f aca="false">J111-K111</f>
        <v>-4</v>
      </c>
      <c r="M111" s="35" t="n">
        <f aca="false">IF(E111=0,0,(J111/E111))</f>
        <v>1.45454545454545</v>
      </c>
      <c r="N111" s="35" t="n">
        <f aca="false">IF(E111=0,0,(K111/E111))</f>
        <v>1.81818181818182</v>
      </c>
      <c r="O111" s="22" t="n">
        <f aca="false">SUMIF(CAL!B:I,B111,CAL!I:I)+SUMIF(CAL!J:Q,B111,CAL!Q:Q)</f>
        <v>2</v>
      </c>
      <c r="P111" s="19" t="n">
        <f aca="false">Q111+R111</f>
        <v>0</v>
      </c>
      <c r="Q111" s="22" t="n">
        <v>0</v>
      </c>
      <c r="R111" s="22" t="n">
        <v>0</v>
      </c>
      <c r="S111" s="22" t="s">
        <v>5375</v>
      </c>
      <c r="T111" s="22" t="s">
        <v>1024</v>
      </c>
      <c r="U111" s="22" t="s">
        <v>5580</v>
      </c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customFormat="false" ht="12" hidden="false" customHeight="true" outlineLevel="0" collapsed="false">
      <c r="A112" s="31" t="n">
        <v>111</v>
      </c>
      <c r="B112" s="32" t="s">
        <v>67</v>
      </c>
      <c r="C112" s="32" t="s">
        <v>5610</v>
      </c>
      <c r="D112" s="22" t="n">
        <f aca="false">SUMIF(CAL!B:E,B112,CAL!E:E)+SUMIF(CAL!J:M,B112,CAL!M:M)</f>
        <v>33</v>
      </c>
      <c r="E112" s="33" t="n">
        <f aca="false">COUNTIF(CAL!B:J,B112)</f>
        <v>20</v>
      </c>
      <c r="F112" s="22" t="n">
        <f aca="false">SUMIF(CAL!B:F,B112,CAL!F:F)+SUMIF(CAL!J:N,B112,CAL!N:N)</f>
        <v>10</v>
      </c>
      <c r="G112" s="22" t="n">
        <f aca="false">SUMIF(CAL!B:F,B112,CAL!G:G)+SUMIF(CAL!J:N,B112,CAL!O:O)</f>
        <v>3</v>
      </c>
      <c r="H112" s="22" t="n">
        <f aca="false">SUMIF(CAL!B:F,B112,CAL!H:H)+SUMIF(CAL!J:N,B112,CAL!P:P)</f>
        <v>7</v>
      </c>
      <c r="I112" s="34" t="n">
        <f aca="false">IF(E112=0,0,(D112/(E112*3)))</f>
        <v>0.55</v>
      </c>
      <c r="J112" s="33" t="n">
        <f aca="false">SUMIF(CAL!B:C,B112,CAL!C:C)+SUMIF(CAL!J:J,B112,CAL!D:D)</f>
        <v>35</v>
      </c>
      <c r="K112" s="22" t="n">
        <f aca="false">SUMIF(CAL!B:D,B112,CAL!D:D)+SUMIF(CAL!J:L,B112,CAL!K:K)</f>
        <v>23</v>
      </c>
      <c r="L112" s="22" t="n">
        <f aca="false">J112-K112</f>
        <v>12</v>
      </c>
      <c r="M112" s="35" t="n">
        <f aca="false">IF(E112=0,0,(J112/E112))</f>
        <v>1.75</v>
      </c>
      <c r="N112" s="35" t="n">
        <f aca="false">IF(E112=0,0,(K112/E112))</f>
        <v>1.15</v>
      </c>
      <c r="O112" s="22" t="n">
        <f aca="false">SUMIF(CAL!B:I,B112,CAL!I:I)+SUMIF(CAL!J:Q,B112,CAL!Q:Q)</f>
        <v>4</v>
      </c>
      <c r="P112" s="19" t="n">
        <f aca="false">Q112+R112</f>
        <v>0</v>
      </c>
      <c r="Q112" s="22" t="n">
        <v>0</v>
      </c>
      <c r="R112" s="22" t="n">
        <v>0</v>
      </c>
      <c r="S112" s="22" t="s">
        <v>5375</v>
      </c>
      <c r="T112" s="22" t="s">
        <v>5611</v>
      </c>
      <c r="U112" s="22" t="s">
        <v>5428</v>
      </c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customFormat="false" ht="12" hidden="false" customHeight="true" outlineLevel="0" collapsed="false">
      <c r="A113" s="31" t="n">
        <v>112</v>
      </c>
      <c r="B113" s="36" t="s">
        <v>89</v>
      </c>
      <c r="C113" s="32" t="s">
        <v>5612</v>
      </c>
      <c r="D113" s="22" t="n">
        <f aca="false">SUMIF(CAL!B:E,B113,CAL!E:E)+SUMIF(CAL!J:M,B113,CAL!M:M)</f>
        <v>3</v>
      </c>
      <c r="E113" s="33" t="n">
        <f aca="false">COUNTIF(CAL!B:J,B113)</f>
        <v>11</v>
      </c>
      <c r="F113" s="22" t="n">
        <f aca="false">SUMIF(CAL!B:F,B113,CAL!F:F)+SUMIF(CAL!J:N,B113,CAL!N:N)</f>
        <v>0</v>
      </c>
      <c r="G113" s="22" t="n">
        <f aca="false">SUMIF(CAL!B:F,B113,CAL!G:G)+SUMIF(CAL!J:N,B113,CAL!O:O)</f>
        <v>3</v>
      </c>
      <c r="H113" s="22" t="n">
        <f aca="false">SUMIF(CAL!B:F,B113,CAL!H:H)+SUMIF(CAL!J:N,B113,CAL!P:P)</f>
        <v>8</v>
      </c>
      <c r="I113" s="34" t="n">
        <f aca="false">IF(E113=0,0,(D113/(E113*3)))</f>
        <v>0.0909090909090909</v>
      </c>
      <c r="J113" s="33" t="n">
        <f aca="false">SUMIF(CAL!B:C,B113,CAL!C:C)+SUMIF(CAL!J:J,B113,CAL!D:D)</f>
        <v>5</v>
      </c>
      <c r="K113" s="22" t="n">
        <f aca="false">SUMIF(CAL!B:D,B113,CAL!D:D)+SUMIF(CAL!J:L,B113,CAL!K:K)</f>
        <v>19</v>
      </c>
      <c r="L113" s="22" t="n">
        <f aca="false">J113-K113</f>
        <v>-14</v>
      </c>
      <c r="M113" s="35" t="n">
        <f aca="false">IF(E113=0,0,(J113/E113))</f>
        <v>0.454545454545455</v>
      </c>
      <c r="N113" s="35" t="n">
        <f aca="false">IF(E113=0,0,(K113/E113))</f>
        <v>1.72727272727273</v>
      </c>
      <c r="O113" s="22" t="n">
        <f aca="false">SUMIF(CAL!B:I,B113,CAL!I:I)+SUMIF(CAL!J:Q,B113,CAL!Q:Q)</f>
        <v>3</v>
      </c>
      <c r="P113" s="19" t="n">
        <f aca="false">Q113+R113</f>
        <v>0</v>
      </c>
      <c r="Q113" s="22" t="n">
        <v>0</v>
      </c>
      <c r="R113" s="22" t="n">
        <v>0</v>
      </c>
      <c r="S113" s="22" t="s">
        <v>5375</v>
      </c>
      <c r="T113" s="22" t="s">
        <v>5613</v>
      </c>
      <c r="U113" s="22" t="s">
        <v>5447</v>
      </c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customFormat="false" ht="12" hidden="false" customHeight="true" outlineLevel="0" collapsed="false">
      <c r="A114" s="31" t="n">
        <v>113</v>
      </c>
      <c r="B114" s="37" t="s">
        <v>197</v>
      </c>
      <c r="C114" s="37" t="s">
        <v>5614</v>
      </c>
      <c r="D114" s="22" t="n">
        <f aca="false">SUMIF(CAL!B:E,B114,CAL!E:E)+SUMIF(CAL!J:M,B114,CAL!M:M)</f>
        <v>30</v>
      </c>
      <c r="E114" s="33" t="n">
        <f aca="false">COUNTIF(CAL!B:J,B114)</f>
        <v>22</v>
      </c>
      <c r="F114" s="22" t="n">
        <f aca="false">SUMIF(CAL!B:F,B114,CAL!F:F)+SUMIF(CAL!J:N,B114,CAL!N:N)</f>
        <v>7</v>
      </c>
      <c r="G114" s="22" t="n">
        <f aca="false">SUMIF(CAL!B:F,B114,CAL!G:G)+SUMIF(CAL!J:N,B114,CAL!O:O)</f>
        <v>9</v>
      </c>
      <c r="H114" s="22" t="n">
        <f aca="false">SUMIF(CAL!B:F,B114,CAL!H:H)+SUMIF(CAL!J:N,B114,CAL!P:P)</f>
        <v>6</v>
      </c>
      <c r="I114" s="34" t="n">
        <f aca="false">IF(E114=0,0,(D114/(E114*3)))</f>
        <v>0.454545454545455</v>
      </c>
      <c r="J114" s="33" t="n">
        <f aca="false">SUMIF(CAL!B:C,B114,CAL!C:C)+SUMIF(CAL!J:J,B114,CAL!D:D)</f>
        <v>32</v>
      </c>
      <c r="K114" s="22" t="n">
        <f aca="false">SUMIF(CAL!B:D,B114,CAL!D:D)+SUMIF(CAL!J:L,B114,CAL!K:K)</f>
        <v>24</v>
      </c>
      <c r="L114" s="22" t="n">
        <f aca="false">J114-K114</f>
        <v>8</v>
      </c>
      <c r="M114" s="35" t="n">
        <f aca="false">IF(E114=0,0,(J114/E114))</f>
        <v>1.45454545454545</v>
      </c>
      <c r="N114" s="35" t="n">
        <f aca="false">IF(E114=0,0,(K114/E114))</f>
        <v>1.09090909090909</v>
      </c>
      <c r="O114" s="22" t="n">
        <f aca="false">SUMIF(CAL!B:I,B114,CAL!I:I)+SUMIF(CAL!J:Q,B114,CAL!Q:Q)</f>
        <v>5</v>
      </c>
      <c r="P114" s="19" t="n">
        <f aca="false">Q114+R114</f>
        <v>0</v>
      </c>
      <c r="Q114" s="22" t="n">
        <v>0</v>
      </c>
      <c r="R114" s="22" t="n">
        <v>0</v>
      </c>
      <c r="S114" s="22" t="s">
        <v>5375</v>
      </c>
      <c r="T114" s="22" t="s">
        <v>5615</v>
      </c>
      <c r="U114" s="22" t="s">
        <v>5616</v>
      </c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customFormat="false" ht="12" hidden="false" customHeight="true" outlineLevel="0" collapsed="false">
      <c r="A115" s="31" t="n">
        <v>114</v>
      </c>
      <c r="B115" s="32" t="s">
        <v>57</v>
      </c>
      <c r="C115" s="32" t="s">
        <v>5617</v>
      </c>
      <c r="D115" s="22" t="n">
        <f aca="false">SUMIF(CAL!B:E,B115,CAL!E:E)+SUMIF(CAL!J:M,B115,CAL!M:M)</f>
        <v>34</v>
      </c>
      <c r="E115" s="33" t="n">
        <f aca="false">COUNTIF(CAL!B:J,B115)</f>
        <v>20</v>
      </c>
      <c r="F115" s="22" t="n">
        <f aca="false">SUMIF(CAL!B:F,B115,CAL!F:F)+SUMIF(CAL!J:N,B115,CAL!N:N)</f>
        <v>10</v>
      </c>
      <c r="G115" s="22" t="n">
        <f aca="false">SUMIF(CAL!B:F,B115,CAL!G:G)+SUMIF(CAL!J:N,B115,CAL!O:O)</f>
        <v>4</v>
      </c>
      <c r="H115" s="22" t="n">
        <f aca="false">SUMIF(CAL!B:F,B115,CAL!H:H)+SUMIF(CAL!J:N,B115,CAL!P:P)</f>
        <v>6</v>
      </c>
      <c r="I115" s="34" t="n">
        <f aca="false">IF(E115=0,0,(D115/(E115*3)))</f>
        <v>0.566666666666667</v>
      </c>
      <c r="J115" s="33" t="n">
        <f aca="false">SUMIF(CAL!B:C,B115,CAL!C:C)+SUMIF(CAL!J:J,B115,CAL!D:D)</f>
        <v>31</v>
      </c>
      <c r="K115" s="22" t="n">
        <f aca="false">SUMIF(CAL!B:D,B115,CAL!D:D)+SUMIF(CAL!J:L,B115,CAL!K:K)</f>
        <v>21</v>
      </c>
      <c r="L115" s="22" t="n">
        <f aca="false">J115-K115</f>
        <v>10</v>
      </c>
      <c r="M115" s="35" t="n">
        <f aca="false">IF(E115=0,0,(J115/E115))</f>
        <v>1.55</v>
      </c>
      <c r="N115" s="35" t="n">
        <f aca="false">IF(E115=0,0,(K115/E115))</f>
        <v>1.05</v>
      </c>
      <c r="O115" s="22" t="n">
        <f aca="false">SUMIF(CAL!B:I,B115,CAL!I:I)+SUMIF(CAL!J:Q,B115,CAL!Q:Q)</f>
        <v>7</v>
      </c>
      <c r="P115" s="19" t="n">
        <f aca="false">Q115+R115</f>
        <v>0</v>
      </c>
      <c r="Q115" s="22" t="n">
        <v>0</v>
      </c>
      <c r="R115" s="22" t="n">
        <v>0</v>
      </c>
      <c r="S115" s="22" t="s">
        <v>5440</v>
      </c>
      <c r="T115" s="22" t="s">
        <v>5396</v>
      </c>
      <c r="U115" s="22" t="s">
        <v>5397</v>
      </c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customFormat="false" ht="12" hidden="false" customHeight="true" outlineLevel="0" collapsed="false">
      <c r="A116" s="31" t="n">
        <v>115</v>
      </c>
      <c r="B116" s="32" t="s">
        <v>65</v>
      </c>
      <c r="C116" s="32" t="s">
        <v>5618</v>
      </c>
      <c r="D116" s="22" t="n">
        <f aca="false">SUMIF(CAL!B:E,B116,CAL!E:E)+SUMIF(CAL!J:M,B116,CAL!M:M)</f>
        <v>11</v>
      </c>
      <c r="E116" s="33" t="n">
        <f aca="false">COUNTIF(CAL!B:J,B116)</f>
        <v>10</v>
      </c>
      <c r="F116" s="22" t="n">
        <f aca="false">SUMIF(CAL!B:F,B116,CAL!F:F)+SUMIF(CAL!J:N,B116,CAL!N:N)</f>
        <v>3</v>
      </c>
      <c r="G116" s="22" t="n">
        <f aca="false">SUMIF(CAL!B:F,B116,CAL!G:G)+SUMIF(CAL!J:N,B116,CAL!O:O)</f>
        <v>2</v>
      </c>
      <c r="H116" s="22" t="n">
        <f aca="false">SUMIF(CAL!B:F,B116,CAL!H:H)+SUMIF(CAL!J:N,B116,CAL!P:P)</f>
        <v>5</v>
      </c>
      <c r="I116" s="34" t="n">
        <f aca="false">IF(E116=0,0,(D116/(E116*3)))</f>
        <v>0.366666666666667</v>
      </c>
      <c r="J116" s="33" t="n">
        <f aca="false">SUMIF(CAL!B:C,B116,CAL!C:C)+SUMIF(CAL!J:J,B116,CAL!D:D)</f>
        <v>6</v>
      </c>
      <c r="K116" s="22" t="n">
        <f aca="false">SUMIF(CAL!B:D,B116,CAL!D:D)+SUMIF(CAL!J:L,B116,CAL!K:K)</f>
        <v>11</v>
      </c>
      <c r="L116" s="22" t="n">
        <f aca="false">J116-K116</f>
        <v>-5</v>
      </c>
      <c r="M116" s="35" t="n">
        <f aca="false">IF(E116=0,0,(J116/E116))</f>
        <v>0.6</v>
      </c>
      <c r="N116" s="35" t="n">
        <f aca="false">IF(E116=0,0,(K116/E116))</f>
        <v>1.1</v>
      </c>
      <c r="O116" s="22" t="n">
        <f aca="false">SUMIF(CAL!B:I,B116,CAL!I:I)+SUMIF(CAL!J:Q,B116,CAL!Q:Q)</f>
        <v>3</v>
      </c>
      <c r="P116" s="19" t="n">
        <f aca="false">Q116+R116</f>
        <v>0</v>
      </c>
      <c r="Q116" s="22" t="n">
        <v>0</v>
      </c>
      <c r="R116" s="22" t="n">
        <v>0</v>
      </c>
      <c r="S116" s="22" t="s">
        <v>5421</v>
      </c>
      <c r="T116" s="22" t="s">
        <v>5619</v>
      </c>
      <c r="U116" s="22" t="s">
        <v>5450</v>
      </c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customFormat="false" ht="12" hidden="false" customHeight="true" outlineLevel="0" collapsed="false">
      <c r="A117" s="31" t="n">
        <v>116</v>
      </c>
      <c r="B117" s="36" t="s">
        <v>295</v>
      </c>
      <c r="C117" s="32" t="s">
        <v>5620</v>
      </c>
      <c r="D117" s="22" t="n">
        <f aca="false">SUMIF(CAL!B:E,B117,CAL!E:E)+SUMIF(CAL!J:M,B117,CAL!M:M)</f>
        <v>31</v>
      </c>
      <c r="E117" s="33" t="n">
        <f aca="false">COUNTIF(CAL!B:J,B117)</f>
        <v>18</v>
      </c>
      <c r="F117" s="22" t="n">
        <f aca="false">SUMIF(CAL!B:F,B117,CAL!F:F)+SUMIF(CAL!J:N,B117,CAL!N:N)</f>
        <v>8</v>
      </c>
      <c r="G117" s="22" t="n">
        <f aca="false">SUMIF(CAL!B:F,B117,CAL!G:G)+SUMIF(CAL!J:N,B117,CAL!O:O)</f>
        <v>7</v>
      </c>
      <c r="H117" s="22" t="n">
        <f aca="false">SUMIF(CAL!B:F,B117,CAL!H:H)+SUMIF(CAL!J:N,B117,CAL!P:P)</f>
        <v>3</v>
      </c>
      <c r="I117" s="34" t="n">
        <f aca="false">IF(E117=0,0,(D117/(E117*3)))</f>
        <v>0.574074074074074</v>
      </c>
      <c r="J117" s="33" t="n">
        <f aca="false">SUMIF(CAL!B:C,B117,CAL!C:C)+SUMIF(CAL!J:J,B117,CAL!D:D)</f>
        <v>24</v>
      </c>
      <c r="K117" s="22" t="n">
        <f aca="false">SUMIF(CAL!B:D,B117,CAL!D:D)+SUMIF(CAL!J:L,B117,CAL!K:K)</f>
        <v>16</v>
      </c>
      <c r="L117" s="22" t="n">
        <f aca="false">J117-K117</f>
        <v>8</v>
      </c>
      <c r="M117" s="35" t="n">
        <f aca="false">IF(E117=0,0,(J117/E117))</f>
        <v>1.33333333333333</v>
      </c>
      <c r="N117" s="35" t="n">
        <f aca="false">IF(E117=0,0,(K117/E117))</f>
        <v>0.888888888888889</v>
      </c>
      <c r="O117" s="22" t="n">
        <f aca="false">SUMIF(CAL!B:I,B117,CAL!I:I)+SUMIF(CAL!J:Q,B117,CAL!Q:Q)</f>
        <v>7</v>
      </c>
      <c r="P117" s="19" t="n">
        <f aca="false">Q117+R117</f>
        <v>0</v>
      </c>
      <c r="Q117" s="22" t="n">
        <v>0</v>
      </c>
      <c r="R117" s="22" t="n">
        <v>0</v>
      </c>
      <c r="S117" s="22" t="s">
        <v>5375</v>
      </c>
      <c r="T117" s="22" t="s">
        <v>5482</v>
      </c>
      <c r="U117" s="22" t="s">
        <v>5483</v>
      </c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customFormat="false" ht="12" hidden="false" customHeight="true" outlineLevel="0" collapsed="false">
      <c r="A118" s="31" t="n">
        <v>117</v>
      </c>
      <c r="B118" s="32" t="s">
        <v>231</v>
      </c>
      <c r="C118" s="32" t="s">
        <v>5621</v>
      </c>
      <c r="D118" s="22" t="n">
        <f aca="false">SUMIF(CAL!B:E,B118,CAL!E:E)+SUMIF(CAL!J:M,B118,CAL!M:M)</f>
        <v>17</v>
      </c>
      <c r="E118" s="33" t="n">
        <f aca="false">COUNTIF(CAL!B:J,B118)</f>
        <v>12</v>
      </c>
      <c r="F118" s="22" t="n">
        <f aca="false">SUMIF(CAL!B:F,B118,CAL!F:F)+SUMIF(CAL!J:N,B118,CAL!N:N)</f>
        <v>5</v>
      </c>
      <c r="G118" s="22" t="n">
        <f aca="false">SUMIF(CAL!B:F,B118,CAL!G:G)+SUMIF(CAL!J:N,B118,CAL!O:O)</f>
        <v>2</v>
      </c>
      <c r="H118" s="22" t="n">
        <f aca="false">SUMIF(CAL!B:F,B118,CAL!H:H)+SUMIF(CAL!J:N,B118,CAL!P:P)</f>
        <v>5</v>
      </c>
      <c r="I118" s="34" t="n">
        <f aca="false">IF(E118=0,0,(D118/(E118*3)))</f>
        <v>0.472222222222222</v>
      </c>
      <c r="J118" s="33" t="n">
        <f aca="false">SUMIF(CAL!B:C,B118,CAL!C:C)+SUMIF(CAL!J:J,B118,CAL!D:D)</f>
        <v>12</v>
      </c>
      <c r="K118" s="22" t="n">
        <f aca="false">SUMIF(CAL!B:D,B118,CAL!D:D)+SUMIF(CAL!J:L,B118,CAL!K:K)</f>
        <v>13</v>
      </c>
      <c r="L118" s="22" t="n">
        <f aca="false">J118-K118</f>
        <v>-1</v>
      </c>
      <c r="M118" s="35" t="n">
        <f aca="false">IF(E118=0,0,(J118/E118))</f>
        <v>1</v>
      </c>
      <c r="N118" s="35" t="n">
        <f aca="false">IF(E118=0,0,(K118/E118))</f>
        <v>1.08333333333333</v>
      </c>
      <c r="O118" s="22" t="n">
        <f aca="false">SUMIF(CAL!B:I,B118,CAL!I:I)+SUMIF(CAL!J:Q,B118,CAL!Q:Q)</f>
        <v>5</v>
      </c>
      <c r="P118" s="19" t="n">
        <f aca="false">Q118+R118</f>
        <v>0</v>
      </c>
      <c r="Q118" s="22" t="n">
        <v>0</v>
      </c>
      <c r="R118" s="22" t="n">
        <v>0</v>
      </c>
      <c r="S118" s="22" t="s">
        <v>5440</v>
      </c>
      <c r="T118" s="22" t="s">
        <v>5608</v>
      </c>
      <c r="U118" s="22" t="s">
        <v>5450</v>
      </c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customFormat="false" ht="12" hidden="false" customHeight="true" outlineLevel="0" collapsed="false">
      <c r="A119" s="31" t="n">
        <v>118</v>
      </c>
      <c r="B119" s="32" t="s">
        <v>233</v>
      </c>
      <c r="C119" s="32" t="s">
        <v>5622</v>
      </c>
      <c r="D119" s="22" t="n">
        <f aca="false">SUMIF(CAL!B:E,B119,CAL!E:E)+SUMIF(CAL!J:M,B119,CAL!M:M)</f>
        <v>30</v>
      </c>
      <c r="E119" s="33" t="n">
        <f aca="false">COUNTIF(CAL!B:J,B119)</f>
        <v>20</v>
      </c>
      <c r="F119" s="22" t="n">
        <f aca="false">SUMIF(CAL!B:F,B119,CAL!F:F)+SUMIF(CAL!J:N,B119,CAL!N:N)</f>
        <v>8</v>
      </c>
      <c r="G119" s="22" t="n">
        <f aca="false">SUMIF(CAL!B:F,B119,CAL!G:G)+SUMIF(CAL!J:N,B119,CAL!O:O)</f>
        <v>6</v>
      </c>
      <c r="H119" s="22" t="n">
        <f aca="false">SUMIF(CAL!B:F,B119,CAL!H:H)+SUMIF(CAL!J:N,B119,CAL!P:P)</f>
        <v>6</v>
      </c>
      <c r="I119" s="34" t="n">
        <f aca="false">IF(E119=0,0,(D119/(E119*3)))</f>
        <v>0.5</v>
      </c>
      <c r="J119" s="33" t="n">
        <f aca="false">SUMIF(CAL!B:C,B119,CAL!C:C)+SUMIF(CAL!J:J,B119,CAL!D:D)</f>
        <v>25</v>
      </c>
      <c r="K119" s="22" t="n">
        <f aca="false">SUMIF(CAL!B:D,B119,CAL!D:D)+SUMIF(CAL!J:L,B119,CAL!K:K)</f>
        <v>15</v>
      </c>
      <c r="L119" s="22" t="n">
        <f aca="false">J119-K119</f>
        <v>10</v>
      </c>
      <c r="M119" s="35" t="n">
        <f aca="false">IF(E119=0,0,(J119/E119))</f>
        <v>1.25</v>
      </c>
      <c r="N119" s="35" t="n">
        <f aca="false">IF(E119=0,0,(K119/E119))</f>
        <v>0.75</v>
      </c>
      <c r="O119" s="22" t="n">
        <f aca="false">SUMIF(CAL!B:I,B119,CAL!I:I)+SUMIF(CAL!J:Q,B119,CAL!Q:Q)</f>
        <v>10</v>
      </c>
      <c r="P119" s="19" t="n">
        <f aca="false">Q119+R119</f>
        <v>0</v>
      </c>
      <c r="Q119" s="22" t="n">
        <v>0</v>
      </c>
      <c r="R119" s="22" t="n">
        <v>0</v>
      </c>
      <c r="S119" s="22" t="s">
        <v>5375</v>
      </c>
      <c r="T119" s="22" t="s">
        <v>5522</v>
      </c>
      <c r="U119" s="22" t="s">
        <v>5523</v>
      </c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customFormat="false" ht="12" hidden="false" customHeight="true" outlineLevel="0" collapsed="false">
      <c r="A120" s="31" t="n">
        <v>119</v>
      </c>
      <c r="B120" s="32" t="s">
        <v>104</v>
      </c>
      <c r="C120" s="32" t="s">
        <v>5623</v>
      </c>
      <c r="D120" s="22" t="n">
        <f aca="false">SUMIF(CAL!B:E,B120,CAL!E:E)+SUMIF(CAL!J:M,B120,CAL!M:M)</f>
        <v>10</v>
      </c>
      <c r="E120" s="33" t="n">
        <f aca="false">COUNTIF(CAL!B:J,B120)</f>
        <v>13</v>
      </c>
      <c r="F120" s="22" t="n">
        <f aca="false">SUMIF(CAL!B:F,B120,CAL!F:F)+SUMIF(CAL!J:N,B120,CAL!N:N)</f>
        <v>2</v>
      </c>
      <c r="G120" s="22" t="n">
        <f aca="false">SUMIF(CAL!B:F,B120,CAL!G:G)+SUMIF(CAL!J:N,B120,CAL!O:O)</f>
        <v>4</v>
      </c>
      <c r="H120" s="22" t="n">
        <f aca="false">SUMIF(CAL!B:F,B120,CAL!H:H)+SUMIF(CAL!J:N,B120,CAL!P:P)</f>
        <v>7</v>
      </c>
      <c r="I120" s="34" t="n">
        <f aca="false">IF(E120=0,0,(D120/(E120*3)))</f>
        <v>0.256410256410256</v>
      </c>
      <c r="J120" s="33" t="n">
        <f aca="false">SUMIF(CAL!B:C,B120,CAL!C:C)+SUMIF(CAL!J:J,B120,CAL!D:D)</f>
        <v>8</v>
      </c>
      <c r="K120" s="22" t="n">
        <f aca="false">SUMIF(CAL!B:D,B120,CAL!D:D)+SUMIF(CAL!J:L,B120,CAL!K:K)</f>
        <v>15</v>
      </c>
      <c r="L120" s="22" t="n">
        <f aca="false">J120-K120</f>
        <v>-7</v>
      </c>
      <c r="M120" s="35" t="n">
        <f aca="false">IF(E120=0,0,(J120/E120))</f>
        <v>0.615384615384615</v>
      </c>
      <c r="N120" s="35" t="n">
        <f aca="false">IF(E120=0,0,(K120/E120))</f>
        <v>1.15384615384615</v>
      </c>
      <c r="O120" s="22" t="n">
        <f aca="false">SUMIF(CAL!B:I,B120,CAL!I:I)+SUMIF(CAL!J:Q,B120,CAL!Q:Q)</f>
        <v>4</v>
      </c>
      <c r="P120" s="19" t="n">
        <f aca="false">Q120+R120</f>
        <v>0</v>
      </c>
      <c r="Q120" s="22" t="n">
        <v>0</v>
      </c>
      <c r="R120" s="22" t="n">
        <v>0</v>
      </c>
      <c r="S120" s="22" t="s">
        <v>5440</v>
      </c>
      <c r="T120" s="22" t="s">
        <v>5396</v>
      </c>
      <c r="U120" s="22" t="s">
        <v>5397</v>
      </c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customFormat="false" ht="12" hidden="false" customHeight="true" outlineLevel="0" collapsed="false">
      <c r="A121" s="31" t="n">
        <v>120</v>
      </c>
      <c r="B121" s="32" t="s">
        <v>78</v>
      </c>
      <c r="C121" s="32" t="s">
        <v>5624</v>
      </c>
      <c r="D121" s="22" t="n">
        <f aca="false">SUMIF(CAL!B:E,B121,CAL!E:E)+SUMIF(CAL!J:M,B121,CAL!M:M)</f>
        <v>35</v>
      </c>
      <c r="E121" s="33" t="n">
        <f aca="false">COUNTIF(CAL!B:J,B121)</f>
        <v>20</v>
      </c>
      <c r="F121" s="22" t="n">
        <f aca="false">SUMIF(CAL!B:F,B121,CAL!F:F)+SUMIF(CAL!J:N,B121,CAL!N:N)</f>
        <v>10</v>
      </c>
      <c r="G121" s="22" t="n">
        <f aca="false">SUMIF(CAL!B:F,B121,CAL!G:G)+SUMIF(CAL!J:N,B121,CAL!O:O)</f>
        <v>5</v>
      </c>
      <c r="H121" s="22" t="n">
        <f aca="false">SUMIF(CAL!B:F,B121,CAL!H:H)+SUMIF(CAL!J:N,B121,CAL!P:P)</f>
        <v>5</v>
      </c>
      <c r="I121" s="34" t="n">
        <f aca="false">IF(E121=0,0,(D121/(E121*3)))</f>
        <v>0.583333333333333</v>
      </c>
      <c r="J121" s="33" t="n">
        <f aca="false">SUMIF(CAL!B:C,B121,CAL!C:C)+SUMIF(CAL!J:J,B121,CAL!D:D)</f>
        <v>30</v>
      </c>
      <c r="K121" s="22" t="n">
        <f aca="false">SUMIF(CAL!B:D,B121,CAL!D:D)+SUMIF(CAL!J:L,B121,CAL!K:K)</f>
        <v>19</v>
      </c>
      <c r="L121" s="22" t="n">
        <f aca="false">J121-K121</f>
        <v>11</v>
      </c>
      <c r="M121" s="35" t="n">
        <f aca="false">IF(E121=0,0,(J121/E121))</f>
        <v>1.5</v>
      </c>
      <c r="N121" s="35" t="n">
        <f aca="false">IF(E121=0,0,(K121/E121))</f>
        <v>0.95</v>
      </c>
      <c r="O121" s="22" t="n">
        <f aca="false">SUMIF(CAL!B:I,B121,CAL!I:I)+SUMIF(CAL!J:Q,B121,CAL!Q:Q)</f>
        <v>10</v>
      </c>
      <c r="P121" s="19" t="n">
        <f aca="false">Q121+R121</f>
        <v>0</v>
      </c>
      <c r="Q121" s="22" t="n">
        <v>0</v>
      </c>
      <c r="R121" s="22" t="n">
        <v>0</v>
      </c>
      <c r="S121" s="22" t="s">
        <v>5375</v>
      </c>
      <c r="T121" s="22" t="s">
        <v>5625</v>
      </c>
      <c r="U121" s="22" t="s">
        <v>5576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customFormat="false" ht="12" hidden="false" customHeight="true" outlineLevel="0" collapsed="false">
      <c r="A122" s="31" t="n">
        <v>121</v>
      </c>
      <c r="B122" s="32" t="s">
        <v>54</v>
      </c>
      <c r="C122" s="32" t="s">
        <v>5626</v>
      </c>
      <c r="D122" s="22" t="n">
        <f aca="false">SUMIF(CAL!B:E,B122,CAL!E:E)+SUMIF(CAL!J:M,B122,CAL!M:M)</f>
        <v>29</v>
      </c>
      <c r="E122" s="33" t="n">
        <f aca="false">COUNTIF(CAL!B:J,B122)</f>
        <v>17</v>
      </c>
      <c r="F122" s="22" t="n">
        <f aca="false">SUMIF(CAL!B:F,B122,CAL!F:F)+SUMIF(CAL!J:N,B122,CAL!N:N)</f>
        <v>8</v>
      </c>
      <c r="G122" s="22" t="n">
        <f aca="false">SUMIF(CAL!B:F,B122,CAL!G:G)+SUMIF(CAL!J:N,B122,CAL!O:O)</f>
        <v>5</v>
      </c>
      <c r="H122" s="22" t="n">
        <f aca="false">SUMIF(CAL!B:F,B122,CAL!H:H)+SUMIF(CAL!J:N,B122,CAL!P:P)</f>
        <v>4</v>
      </c>
      <c r="I122" s="34" t="n">
        <f aca="false">IF(E122=0,0,(D122/(E122*3)))</f>
        <v>0.568627450980392</v>
      </c>
      <c r="J122" s="33" t="n">
        <f aca="false">SUMIF(CAL!B:C,B122,CAL!C:C)+SUMIF(CAL!J:J,B122,CAL!D:D)</f>
        <v>24</v>
      </c>
      <c r="K122" s="22" t="n">
        <f aca="false">SUMIF(CAL!B:D,B122,CAL!D:D)+SUMIF(CAL!J:L,B122,CAL!K:K)</f>
        <v>17</v>
      </c>
      <c r="L122" s="22" t="n">
        <f aca="false">J122-K122</f>
        <v>7</v>
      </c>
      <c r="M122" s="35" t="n">
        <f aca="false">IF(E122=0,0,(J122/E122))</f>
        <v>1.41176470588235</v>
      </c>
      <c r="N122" s="35" t="n">
        <f aca="false">IF(E122=0,0,(K122/E122))</f>
        <v>1</v>
      </c>
      <c r="O122" s="22" t="n">
        <f aca="false">SUMIF(CAL!B:I,B122,CAL!I:I)+SUMIF(CAL!J:Q,B122,CAL!Q:Q)</f>
        <v>6</v>
      </c>
      <c r="P122" s="19" t="n">
        <f aca="false">Q122+R122</f>
        <v>0</v>
      </c>
      <c r="Q122" s="22" t="n">
        <v>0</v>
      </c>
      <c r="R122" s="22" t="n">
        <v>0</v>
      </c>
      <c r="S122" s="22" t="s">
        <v>5440</v>
      </c>
      <c r="T122" s="22" t="s">
        <v>5627</v>
      </c>
      <c r="U122" s="22" t="s">
        <v>5450</v>
      </c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customFormat="false" ht="12" hidden="false" customHeight="true" outlineLevel="0" collapsed="false">
      <c r="A123" s="31" t="n">
        <v>122</v>
      </c>
      <c r="B123" s="32" t="s">
        <v>79</v>
      </c>
      <c r="C123" s="32" t="s">
        <v>5628</v>
      </c>
      <c r="D123" s="22" t="n">
        <f aca="false">SUMIF(CAL!B:E,B123,CAL!E:E)+SUMIF(CAL!J:M,B123,CAL!M:M)</f>
        <v>17</v>
      </c>
      <c r="E123" s="33" t="n">
        <f aca="false">COUNTIF(CAL!B:J,B123)</f>
        <v>14</v>
      </c>
      <c r="F123" s="22" t="n">
        <f aca="false">SUMIF(CAL!B:F,B123,CAL!F:F)+SUMIF(CAL!J:N,B123,CAL!N:N)</f>
        <v>5</v>
      </c>
      <c r="G123" s="22" t="n">
        <f aca="false">SUMIF(CAL!B:F,B123,CAL!G:G)+SUMIF(CAL!J:N,B123,CAL!O:O)</f>
        <v>2</v>
      </c>
      <c r="H123" s="22" t="n">
        <f aca="false">SUMIF(CAL!B:F,B123,CAL!H:H)+SUMIF(CAL!J:N,B123,CAL!P:P)</f>
        <v>7</v>
      </c>
      <c r="I123" s="34" t="n">
        <f aca="false">IF(E123=0,0,(D123/(E123*3)))</f>
        <v>0.404761904761905</v>
      </c>
      <c r="J123" s="33" t="n">
        <f aca="false">SUMIF(CAL!B:C,B123,CAL!C:C)+SUMIF(CAL!J:J,B123,CAL!D:D)</f>
        <v>17</v>
      </c>
      <c r="K123" s="22" t="n">
        <f aca="false">SUMIF(CAL!B:D,B123,CAL!D:D)+SUMIF(CAL!J:L,B123,CAL!K:K)</f>
        <v>20</v>
      </c>
      <c r="L123" s="22" t="n">
        <f aca="false">J123-K123</f>
        <v>-3</v>
      </c>
      <c r="M123" s="35" t="n">
        <f aca="false">IF(E123=0,0,(J123/E123))</f>
        <v>1.21428571428571</v>
      </c>
      <c r="N123" s="35" t="n">
        <f aca="false">IF(E123=0,0,(K123/E123))</f>
        <v>1.42857142857143</v>
      </c>
      <c r="O123" s="22" t="n">
        <f aca="false">SUMIF(CAL!B:I,B123,CAL!I:I)+SUMIF(CAL!J:Q,B123,CAL!Q:Q)</f>
        <v>4</v>
      </c>
      <c r="P123" s="19" t="n">
        <f aca="false">Q123+R123</f>
        <v>0</v>
      </c>
      <c r="Q123" s="22" t="n">
        <v>0</v>
      </c>
      <c r="R123" s="22" t="n">
        <v>0</v>
      </c>
      <c r="S123" s="22" t="s">
        <v>5375</v>
      </c>
      <c r="T123" s="22" t="s">
        <v>5629</v>
      </c>
      <c r="U123" s="22" t="s">
        <v>5450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customFormat="false" ht="12" hidden="false" customHeight="true" outlineLevel="0" collapsed="false">
      <c r="A124" s="31" t="n">
        <v>123</v>
      </c>
      <c r="B124" s="32" t="s">
        <v>5630</v>
      </c>
      <c r="C124" s="32" t="s">
        <v>5631</v>
      </c>
      <c r="D124" s="22" t="n">
        <f aca="false">SUMIF(CAL!B:E,B124,CAL!E:E)+SUMIF(CAL!J:M,B124,CAL!M:M)</f>
        <v>16</v>
      </c>
      <c r="E124" s="33" t="n">
        <f aca="false">COUNTIF(CAL!B:J,B124)</f>
        <v>17</v>
      </c>
      <c r="F124" s="22" t="n">
        <f aca="false">SUMIF(CAL!B:F,B124,CAL!F:F)+SUMIF(CAL!J:N,B124,CAL!N:N)</f>
        <v>3</v>
      </c>
      <c r="G124" s="22" t="n">
        <f aca="false">SUMIF(CAL!B:F,B124,CAL!G:G)+SUMIF(CAL!J:N,B124,CAL!O:O)</f>
        <v>7</v>
      </c>
      <c r="H124" s="22" t="n">
        <f aca="false">SUMIF(CAL!B:F,B124,CAL!H:H)+SUMIF(CAL!J:N,B124,CAL!P:P)</f>
        <v>7</v>
      </c>
      <c r="I124" s="34" t="n">
        <f aca="false">IF(E124=0,0,(D124/(E124*3)))</f>
        <v>0.313725490196078</v>
      </c>
      <c r="J124" s="33" t="n">
        <f aca="false">SUMIF(CAL!B:C,B124,CAL!C:C)+SUMIF(CAL!J:J,B124,CAL!D:D)</f>
        <v>9</v>
      </c>
      <c r="K124" s="22" t="n">
        <f aca="false">SUMIF(CAL!B:D,B124,CAL!D:D)+SUMIF(CAL!J:L,B124,CAL!K:K)</f>
        <v>14</v>
      </c>
      <c r="L124" s="22" t="n">
        <f aca="false">J124-K124</f>
        <v>-5</v>
      </c>
      <c r="M124" s="35" t="n">
        <f aca="false">IF(E124=0,0,(J124/E124))</f>
        <v>0.529411764705882</v>
      </c>
      <c r="N124" s="35" t="n">
        <f aca="false">IF(E124=0,0,(K124/E124))</f>
        <v>0.823529411764706</v>
      </c>
      <c r="O124" s="22" t="n">
        <f aca="false">SUMIF(CAL!B:I,B124,CAL!I:I)+SUMIF(CAL!J:Q,B124,CAL!Q:Q)</f>
        <v>5</v>
      </c>
      <c r="P124" s="19" t="n">
        <f aca="false">Q124+R124</f>
        <v>0</v>
      </c>
      <c r="Q124" s="22" t="n">
        <v>0</v>
      </c>
      <c r="R124" s="22" t="n">
        <v>0</v>
      </c>
      <c r="S124" s="22" t="s">
        <v>5375</v>
      </c>
      <c r="T124" s="22" t="s">
        <v>5632</v>
      </c>
      <c r="U124" s="22" t="s">
        <v>5580</v>
      </c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customFormat="false" ht="12" hidden="false" customHeight="true" outlineLevel="0" collapsed="false">
      <c r="A125" s="31" t="n">
        <v>124</v>
      </c>
      <c r="B125" s="32" t="s">
        <v>182</v>
      </c>
      <c r="C125" s="32" t="s">
        <v>5633</v>
      </c>
      <c r="D125" s="22" t="n">
        <f aca="false">SUMIF(CAL!B:E,B125,CAL!E:E)+SUMIF(CAL!J:M,B125,CAL!M:M)</f>
        <v>42</v>
      </c>
      <c r="E125" s="33" t="n">
        <f aca="false">COUNTIF(CAL!B:J,B125)</f>
        <v>20</v>
      </c>
      <c r="F125" s="22" t="n">
        <f aca="false">SUMIF(CAL!B:F,B125,CAL!F:F)+SUMIF(CAL!J:N,B125,CAL!N:N)</f>
        <v>12</v>
      </c>
      <c r="G125" s="22" t="n">
        <f aca="false">SUMIF(CAL!B:F,B125,CAL!G:G)+SUMIF(CAL!J:N,B125,CAL!O:O)</f>
        <v>6</v>
      </c>
      <c r="H125" s="22" t="n">
        <f aca="false">SUMIF(CAL!B:F,B125,CAL!H:H)+SUMIF(CAL!J:N,B125,CAL!P:P)</f>
        <v>2</v>
      </c>
      <c r="I125" s="34" t="n">
        <f aca="false">IF(E125=0,0,(D125/(E125*3)))</f>
        <v>0.7</v>
      </c>
      <c r="J125" s="33" t="n">
        <f aca="false">SUMIF(CAL!B:C,B125,CAL!C:C)+SUMIF(CAL!J:J,B125,CAL!D:D)</f>
        <v>25</v>
      </c>
      <c r="K125" s="22" t="n">
        <f aca="false">SUMIF(CAL!B:D,B125,CAL!D:D)+SUMIF(CAL!J:L,B125,CAL!K:K)</f>
        <v>14</v>
      </c>
      <c r="L125" s="22" t="n">
        <f aca="false">J125-K125</f>
        <v>11</v>
      </c>
      <c r="M125" s="35" t="n">
        <f aca="false">IF(E125=0,0,(J125/E125))</f>
        <v>1.25</v>
      </c>
      <c r="N125" s="35" t="n">
        <f aca="false">IF(E125=0,0,(K125/E125))</f>
        <v>0.7</v>
      </c>
      <c r="O125" s="22" t="n">
        <f aca="false">SUMIF(CAL!B:I,B125,CAL!I:I)+SUMIF(CAL!J:Q,B125,CAL!Q:Q)</f>
        <v>12</v>
      </c>
      <c r="P125" s="19" t="n">
        <f aca="false">Q125+R125</f>
        <v>0</v>
      </c>
      <c r="Q125" s="22" t="n">
        <v>0</v>
      </c>
      <c r="R125" s="22" t="n">
        <v>0</v>
      </c>
      <c r="S125" s="22" t="s">
        <v>5440</v>
      </c>
      <c r="T125" s="22" t="s">
        <v>5531</v>
      </c>
      <c r="U125" s="22" t="s">
        <v>5434</v>
      </c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customFormat="false" ht="12" hidden="false" customHeight="true" outlineLevel="0" collapsed="false">
      <c r="A126" s="31" t="n">
        <v>125</v>
      </c>
      <c r="B126" s="32" t="s">
        <v>261</v>
      </c>
      <c r="C126" s="32" t="s">
        <v>5634</v>
      </c>
      <c r="D126" s="22" t="n">
        <f aca="false">SUMIF(CAL!B:E,B126,CAL!E:E)+SUMIF(CAL!J:M,B126,CAL!M:M)</f>
        <v>21</v>
      </c>
      <c r="E126" s="33" t="n">
        <f aca="false">COUNTIF(CAL!B:J,B126)</f>
        <v>15</v>
      </c>
      <c r="F126" s="22" t="n">
        <f aca="false">SUMIF(CAL!B:F,B126,CAL!F:F)+SUMIF(CAL!J:N,B126,CAL!N:N)</f>
        <v>6</v>
      </c>
      <c r="G126" s="22" t="n">
        <f aca="false">SUMIF(CAL!B:F,B126,CAL!G:G)+SUMIF(CAL!J:N,B126,CAL!O:O)</f>
        <v>3</v>
      </c>
      <c r="H126" s="22" t="n">
        <f aca="false">SUMIF(CAL!B:F,B126,CAL!H:H)+SUMIF(CAL!J:N,B126,CAL!P:P)</f>
        <v>6</v>
      </c>
      <c r="I126" s="34" t="n">
        <f aca="false">IF(E126=0,0,(D126/(E126*3)))</f>
        <v>0.466666666666667</v>
      </c>
      <c r="J126" s="33" t="n">
        <f aca="false">SUMIF(CAL!B:C,B126,CAL!C:C)+SUMIF(CAL!J:J,B126,CAL!D:D)</f>
        <v>24</v>
      </c>
      <c r="K126" s="22" t="n">
        <f aca="false">SUMIF(CAL!B:D,B126,CAL!D:D)+SUMIF(CAL!J:L,B126,CAL!K:K)</f>
        <v>25</v>
      </c>
      <c r="L126" s="22" t="n">
        <f aca="false">J126-K126</f>
        <v>-1</v>
      </c>
      <c r="M126" s="35" t="n">
        <f aca="false">IF(E126=0,0,(J126/E126))</f>
        <v>1.6</v>
      </c>
      <c r="N126" s="35" t="n">
        <f aca="false">IF(E126=0,0,(K126/E126))</f>
        <v>1.66666666666667</v>
      </c>
      <c r="O126" s="22" t="n">
        <f aca="false">SUMIF(CAL!B:I,B126,CAL!I:I)+SUMIF(CAL!J:Q,B126,CAL!Q:Q)</f>
        <v>2</v>
      </c>
      <c r="P126" s="19" t="n">
        <f aca="false">Q126+R126</f>
        <v>0</v>
      </c>
      <c r="Q126" s="22" t="n">
        <v>0</v>
      </c>
      <c r="R126" s="22" t="n">
        <v>0</v>
      </c>
      <c r="S126" s="22" t="s">
        <v>5375</v>
      </c>
      <c r="T126" s="22" t="s">
        <v>5635</v>
      </c>
      <c r="U126" s="22" t="s">
        <v>5407</v>
      </c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customFormat="false" ht="12" hidden="false" customHeight="true" outlineLevel="0" collapsed="false">
      <c r="A127" s="31" t="n">
        <v>126</v>
      </c>
      <c r="B127" s="32" t="s">
        <v>149</v>
      </c>
      <c r="C127" s="32" t="s">
        <v>5636</v>
      </c>
      <c r="D127" s="22" t="n">
        <f aca="false">SUMIF(CAL!B:E,B127,CAL!E:E)+SUMIF(CAL!J:M,B127,CAL!M:M)</f>
        <v>31</v>
      </c>
      <c r="E127" s="33" t="n">
        <f aca="false">COUNTIF(CAL!B:J,B127)</f>
        <v>22</v>
      </c>
      <c r="F127" s="22" t="n">
        <f aca="false">SUMIF(CAL!B:F,B127,CAL!F:F)+SUMIF(CAL!J:N,B127,CAL!N:N)</f>
        <v>8</v>
      </c>
      <c r="G127" s="22" t="n">
        <f aca="false">SUMIF(CAL!B:F,B127,CAL!G:G)+SUMIF(CAL!J:N,B127,CAL!O:O)</f>
        <v>7</v>
      </c>
      <c r="H127" s="22" t="n">
        <f aca="false">SUMIF(CAL!B:F,B127,CAL!H:H)+SUMIF(CAL!J:N,B127,CAL!P:P)</f>
        <v>7</v>
      </c>
      <c r="I127" s="34" t="n">
        <f aca="false">IF(E127=0,0,(D127/(E127*3)))</f>
        <v>0.46969696969697</v>
      </c>
      <c r="J127" s="33" t="n">
        <f aca="false">SUMIF(CAL!B:C,B127,CAL!C:C)+SUMIF(CAL!J:J,B127,CAL!D:D)</f>
        <v>35</v>
      </c>
      <c r="K127" s="22" t="n">
        <f aca="false">SUMIF(CAL!B:D,B127,CAL!D:D)+SUMIF(CAL!J:L,B127,CAL!K:K)</f>
        <v>24</v>
      </c>
      <c r="L127" s="22" t="n">
        <f aca="false">J127-K127</f>
        <v>11</v>
      </c>
      <c r="M127" s="35" t="n">
        <f aca="false">IF(E127=0,0,(J127/E127))</f>
        <v>1.59090909090909</v>
      </c>
      <c r="N127" s="35" t="n">
        <f aca="false">IF(E127=0,0,(K127/E127))</f>
        <v>1.09090909090909</v>
      </c>
      <c r="O127" s="22" t="n">
        <f aca="false">SUMIF(CAL!B:I,B127,CAL!I:I)+SUMIF(CAL!J:Q,B127,CAL!Q:Q)</f>
        <v>7</v>
      </c>
      <c r="P127" s="19" t="n">
        <f aca="false">Q127+R127</f>
        <v>0</v>
      </c>
      <c r="Q127" s="22" t="n">
        <v>0</v>
      </c>
      <c r="R127" s="22" t="n">
        <v>0</v>
      </c>
      <c r="S127" s="22" t="s">
        <v>5375</v>
      </c>
      <c r="T127" s="22" t="s">
        <v>5637</v>
      </c>
      <c r="U127" s="22" t="s">
        <v>5453</v>
      </c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customFormat="false" ht="12" hidden="false" customHeight="true" outlineLevel="0" collapsed="false">
      <c r="A128" s="31" t="n">
        <v>127</v>
      </c>
      <c r="B128" s="32" t="s">
        <v>302</v>
      </c>
      <c r="C128" s="32" t="s">
        <v>5638</v>
      </c>
      <c r="D128" s="22" t="n">
        <f aca="false">SUMIF(CAL!B:E,B128,CAL!E:E)+SUMIF(CAL!J:M,B128,CAL!M:M)</f>
        <v>40</v>
      </c>
      <c r="E128" s="33" t="n">
        <f aca="false">COUNTIF(CAL!B:J,B128)</f>
        <v>22</v>
      </c>
      <c r="F128" s="22" t="n">
        <f aca="false">SUMIF(CAL!B:F,B128,CAL!F:F)+SUMIF(CAL!J:N,B128,CAL!N:N)</f>
        <v>11</v>
      </c>
      <c r="G128" s="22" t="n">
        <f aca="false">SUMIF(CAL!B:F,B128,CAL!G:G)+SUMIF(CAL!J:N,B128,CAL!O:O)</f>
        <v>7</v>
      </c>
      <c r="H128" s="22" t="n">
        <f aca="false">SUMIF(CAL!B:F,B128,CAL!H:H)+SUMIF(CAL!J:N,B128,CAL!P:P)</f>
        <v>4</v>
      </c>
      <c r="I128" s="34" t="n">
        <f aca="false">IF(E128=0,0,(D128/(E128*3)))</f>
        <v>0.606060606060606</v>
      </c>
      <c r="J128" s="33" t="n">
        <f aca="false">SUMIF(CAL!B:C,B128,CAL!C:C)+SUMIF(CAL!J:J,B128,CAL!D:D)</f>
        <v>27</v>
      </c>
      <c r="K128" s="22" t="n">
        <f aca="false">SUMIF(CAL!B:D,B128,CAL!D:D)+SUMIF(CAL!J:L,B128,CAL!K:K)</f>
        <v>21</v>
      </c>
      <c r="L128" s="22" t="n">
        <f aca="false">J128-K128</f>
        <v>6</v>
      </c>
      <c r="M128" s="35" t="n">
        <f aca="false">IF(E128=0,0,(J128/E128))</f>
        <v>1.22727272727273</v>
      </c>
      <c r="N128" s="35" t="n">
        <f aca="false">IF(E128=0,0,(K128/E128))</f>
        <v>0.954545454545455</v>
      </c>
      <c r="O128" s="22" t="n">
        <f aca="false">SUMIF(CAL!B:I,B128,CAL!I:I)+SUMIF(CAL!J:Q,B128,CAL!Q:Q)</f>
        <v>11</v>
      </c>
      <c r="P128" s="19" t="n">
        <f aca="false">Q128+R128</f>
        <v>0</v>
      </c>
      <c r="Q128" s="22" t="n">
        <v>0</v>
      </c>
      <c r="R128" s="22" t="n">
        <v>0</v>
      </c>
      <c r="S128" s="22" t="s">
        <v>5375</v>
      </c>
      <c r="T128" s="22" t="s">
        <v>5639</v>
      </c>
      <c r="U128" s="22" t="s">
        <v>5423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customFormat="false" ht="12" hidden="false" customHeight="true" outlineLevel="0" collapsed="false">
      <c r="A129" s="31" t="n">
        <v>128</v>
      </c>
      <c r="B129" s="32" t="s">
        <v>146</v>
      </c>
      <c r="C129" s="32" t="s">
        <v>5640</v>
      </c>
      <c r="D129" s="22" t="n">
        <f aca="false">SUMIF(CAL!B:E,B129,CAL!E:E)+SUMIF(CAL!J:M,B129,CAL!M:M)</f>
        <v>16</v>
      </c>
      <c r="E129" s="33" t="n">
        <f aca="false">COUNTIF(CAL!B:J,B129)</f>
        <v>14</v>
      </c>
      <c r="F129" s="22" t="n">
        <f aca="false">SUMIF(CAL!B:F,B129,CAL!F:F)+SUMIF(CAL!J:N,B129,CAL!N:N)</f>
        <v>4</v>
      </c>
      <c r="G129" s="22" t="n">
        <f aca="false">SUMIF(CAL!B:F,B129,CAL!G:G)+SUMIF(CAL!J:N,B129,CAL!O:O)</f>
        <v>4</v>
      </c>
      <c r="H129" s="22" t="n">
        <f aca="false">SUMIF(CAL!B:F,B129,CAL!H:H)+SUMIF(CAL!J:N,B129,CAL!P:P)</f>
        <v>6</v>
      </c>
      <c r="I129" s="34" t="n">
        <f aca="false">IF(E129=0,0,(D129/(E129*3)))</f>
        <v>0.380952380952381</v>
      </c>
      <c r="J129" s="33" t="n">
        <f aca="false">SUMIF(CAL!B:C,B129,CAL!C:C)+SUMIF(CAL!J:J,B129,CAL!D:D)</f>
        <v>12</v>
      </c>
      <c r="K129" s="22" t="n">
        <f aca="false">SUMIF(CAL!B:D,B129,CAL!D:D)+SUMIF(CAL!J:L,B129,CAL!K:K)</f>
        <v>20</v>
      </c>
      <c r="L129" s="22" t="n">
        <f aca="false">J129-K129</f>
        <v>-8</v>
      </c>
      <c r="M129" s="35" t="n">
        <f aca="false">IF(E129=0,0,(J129/E129))</f>
        <v>0.857142857142857</v>
      </c>
      <c r="N129" s="35" t="n">
        <f aca="false">IF(E129=0,0,(K129/E129))</f>
        <v>1.42857142857143</v>
      </c>
      <c r="O129" s="22" t="n">
        <f aca="false">SUMIF(CAL!B:I,B129,CAL!I:I)+SUMIF(CAL!J:Q,B129,CAL!Q:Q)</f>
        <v>4</v>
      </c>
      <c r="P129" s="19" t="n">
        <f aca="false">Q129+R129</f>
        <v>0</v>
      </c>
      <c r="Q129" s="22" t="n">
        <v>0</v>
      </c>
      <c r="R129" s="22" t="n">
        <v>0</v>
      </c>
      <c r="S129" s="22" t="s">
        <v>5409</v>
      </c>
      <c r="T129" s="22" t="s">
        <v>5406</v>
      </c>
      <c r="U129" s="22" t="s">
        <v>5407</v>
      </c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customFormat="false" ht="12" hidden="false" customHeight="true" outlineLevel="0" collapsed="false">
      <c r="A130" s="31" t="n">
        <v>129</v>
      </c>
      <c r="B130" s="32" t="s">
        <v>272</v>
      </c>
      <c r="C130" s="32" t="s">
        <v>5641</v>
      </c>
      <c r="D130" s="22" t="n">
        <f aca="false">SUMIF(CAL!B:E,B130,CAL!E:E)+SUMIF(CAL!J:M,B130,CAL!M:M)</f>
        <v>16</v>
      </c>
      <c r="E130" s="33" t="n">
        <f aca="false">COUNTIF(CAL!B:J,B130)</f>
        <v>11</v>
      </c>
      <c r="F130" s="22" t="n">
        <f aca="false">SUMIF(CAL!B:F,B130,CAL!F:F)+SUMIF(CAL!J:N,B130,CAL!N:N)</f>
        <v>4</v>
      </c>
      <c r="G130" s="22" t="n">
        <f aca="false">SUMIF(CAL!B:F,B130,CAL!G:G)+SUMIF(CAL!J:N,B130,CAL!O:O)</f>
        <v>4</v>
      </c>
      <c r="H130" s="22" t="n">
        <f aca="false">SUMIF(CAL!B:F,B130,CAL!H:H)+SUMIF(CAL!J:N,B130,CAL!P:P)</f>
        <v>3</v>
      </c>
      <c r="I130" s="34" t="n">
        <f aca="false">IF(E130=0,0,(D130/(E130*3)))</f>
        <v>0.484848484848485</v>
      </c>
      <c r="J130" s="33" t="n">
        <f aca="false">SUMIF(CAL!B:C,B130,CAL!C:C)+SUMIF(CAL!J:J,B130,CAL!D:D)</f>
        <v>17</v>
      </c>
      <c r="K130" s="22" t="n">
        <f aca="false">SUMIF(CAL!B:D,B130,CAL!D:D)+SUMIF(CAL!J:L,B130,CAL!K:K)</f>
        <v>12</v>
      </c>
      <c r="L130" s="22" t="n">
        <f aca="false">J130-K130</f>
        <v>5</v>
      </c>
      <c r="M130" s="35" t="n">
        <f aca="false">IF(E130=0,0,(J130/E130))</f>
        <v>1.54545454545455</v>
      </c>
      <c r="N130" s="35" t="n">
        <f aca="false">IF(E130=0,0,(K130/E130))</f>
        <v>1.09090909090909</v>
      </c>
      <c r="O130" s="22" t="n">
        <f aca="false">SUMIF(CAL!B:I,B130,CAL!I:I)+SUMIF(CAL!J:Q,B130,CAL!Q:Q)</f>
        <v>5</v>
      </c>
      <c r="P130" s="19" t="n">
        <f aca="false">Q130+R130</f>
        <v>0</v>
      </c>
      <c r="Q130" s="22" t="n">
        <v>0</v>
      </c>
      <c r="R130" s="22" t="n">
        <v>0</v>
      </c>
      <c r="S130" s="22" t="s">
        <v>5440</v>
      </c>
      <c r="T130" s="22" t="s">
        <v>5608</v>
      </c>
      <c r="U130" s="22" t="s">
        <v>5450</v>
      </c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customFormat="false" ht="12" hidden="false" customHeight="true" outlineLevel="0" collapsed="false">
      <c r="A131" s="31" t="n">
        <v>130</v>
      </c>
      <c r="B131" s="36" t="s">
        <v>258</v>
      </c>
      <c r="C131" s="32" t="s">
        <v>5642</v>
      </c>
      <c r="D131" s="22" t="n">
        <f aca="false">SUMIF(CAL!B:E,B131,CAL!E:E)+SUMIF(CAL!J:M,B131,CAL!M:M)</f>
        <v>9</v>
      </c>
      <c r="E131" s="33" t="n">
        <f aca="false">COUNTIF(CAL!B:J,B131)</f>
        <v>11</v>
      </c>
      <c r="F131" s="22" t="n">
        <f aca="false">SUMIF(CAL!B:F,B131,CAL!F:F)+SUMIF(CAL!J:N,B131,CAL!N:N)</f>
        <v>2</v>
      </c>
      <c r="G131" s="22" t="n">
        <f aca="false">SUMIF(CAL!B:F,B131,CAL!G:G)+SUMIF(CAL!J:N,B131,CAL!O:O)</f>
        <v>3</v>
      </c>
      <c r="H131" s="22" t="n">
        <f aca="false">SUMIF(CAL!B:F,B131,CAL!H:H)+SUMIF(CAL!J:N,B131,CAL!P:P)</f>
        <v>6</v>
      </c>
      <c r="I131" s="34" t="n">
        <f aca="false">IF(E131=0,0,(D131/(E131*3)))</f>
        <v>0.272727272727273</v>
      </c>
      <c r="J131" s="33" t="n">
        <f aca="false">SUMIF(CAL!B:C,B131,CAL!C:C)+SUMIF(CAL!J:J,B131,CAL!D:D)</f>
        <v>9</v>
      </c>
      <c r="K131" s="22" t="n">
        <f aca="false">SUMIF(CAL!B:D,B131,CAL!D:D)+SUMIF(CAL!J:L,B131,CAL!K:K)</f>
        <v>16</v>
      </c>
      <c r="L131" s="22" t="n">
        <f aca="false">J131-K131</f>
        <v>-7</v>
      </c>
      <c r="M131" s="35" t="n">
        <f aca="false">IF(E131=0,0,(J131/E131))</f>
        <v>0.818181818181818</v>
      </c>
      <c r="N131" s="35" t="n">
        <f aca="false">IF(E131=0,0,(K131/E131))</f>
        <v>1.45454545454545</v>
      </c>
      <c r="O131" s="22" t="n">
        <f aca="false">SUMIF(CAL!B:I,B131,CAL!I:I)+SUMIF(CAL!J:Q,B131,CAL!Q:Q)</f>
        <v>3</v>
      </c>
      <c r="P131" s="19" t="n">
        <f aca="false">Q131+R131</f>
        <v>0</v>
      </c>
      <c r="Q131" s="22" t="n">
        <v>0</v>
      </c>
      <c r="R131" s="22" t="n">
        <v>0</v>
      </c>
      <c r="S131" s="22" t="s">
        <v>5375</v>
      </c>
      <c r="T131" s="22" t="s">
        <v>5643</v>
      </c>
      <c r="U131" s="22" t="s">
        <v>5453</v>
      </c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customFormat="false" ht="12" hidden="false" customHeight="true" outlineLevel="0" collapsed="false">
      <c r="A132" s="31" t="n">
        <v>131</v>
      </c>
      <c r="B132" s="32" t="s">
        <v>190</v>
      </c>
      <c r="C132" s="32" t="s">
        <v>5644</v>
      </c>
      <c r="D132" s="22" t="n">
        <f aca="false">SUMIF(CAL!B:E,B132,CAL!E:E)+SUMIF(CAL!J:M,B132,CAL!M:M)</f>
        <v>2</v>
      </c>
      <c r="E132" s="33" t="n">
        <f aca="false">COUNTIF(CAL!B:J,B132)</f>
        <v>9</v>
      </c>
      <c r="F132" s="22" t="n">
        <f aca="false">SUMIF(CAL!B:F,B132,CAL!F:F)+SUMIF(CAL!J:N,B132,CAL!N:N)</f>
        <v>0</v>
      </c>
      <c r="G132" s="22" t="n">
        <f aca="false">SUMIF(CAL!B:F,B132,CAL!G:G)+SUMIF(CAL!J:N,B132,CAL!O:O)</f>
        <v>2</v>
      </c>
      <c r="H132" s="22" t="n">
        <f aca="false">SUMIF(CAL!B:F,B132,CAL!H:H)+SUMIF(CAL!J:N,B132,CAL!P:P)</f>
        <v>7</v>
      </c>
      <c r="I132" s="34" t="n">
        <f aca="false">IF(E132=0,0,(D132/(E132*3)))</f>
        <v>0.0740740740740741</v>
      </c>
      <c r="J132" s="33" t="n">
        <f aca="false">SUMIF(CAL!B:C,B132,CAL!C:C)+SUMIF(CAL!J:J,B132,CAL!D:D)</f>
        <v>5</v>
      </c>
      <c r="K132" s="22" t="n">
        <f aca="false">SUMIF(CAL!B:D,B132,CAL!D:D)+SUMIF(CAL!J:L,B132,CAL!K:K)</f>
        <v>13</v>
      </c>
      <c r="L132" s="22" t="n">
        <f aca="false">J132-K132</f>
        <v>-8</v>
      </c>
      <c r="M132" s="35" t="n">
        <f aca="false">IF(E132=0,0,(J132/E132))</f>
        <v>0.555555555555556</v>
      </c>
      <c r="N132" s="35" t="n">
        <f aca="false">IF(E132=0,0,(K132/E132))</f>
        <v>1.44444444444444</v>
      </c>
      <c r="O132" s="22" t="n">
        <f aca="false">SUMIF(CAL!B:I,B132,CAL!I:I)+SUMIF(CAL!J:Q,B132,CAL!Q:Q)</f>
        <v>0</v>
      </c>
      <c r="P132" s="19" t="n">
        <f aca="false">Q132+R132</f>
        <v>0</v>
      </c>
      <c r="Q132" s="22" t="n">
        <v>0</v>
      </c>
      <c r="R132" s="22" t="n">
        <v>0</v>
      </c>
      <c r="S132" s="22" t="s">
        <v>5375</v>
      </c>
      <c r="T132" s="22" t="s">
        <v>5645</v>
      </c>
      <c r="U132" s="22" t="s">
        <v>5404</v>
      </c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customFormat="false" ht="12" hidden="false" customHeight="true" outlineLevel="0" collapsed="false">
      <c r="A133" s="31" t="n">
        <v>132</v>
      </c>
      <c r="B133" s="32" t="s">
        <v>237</v>
      </c>
      <c r="C133" s="32" t="s">
        <v>5646</v>
      </c>
      <c r="D133" s="22" t="n">
        <f aca="false">SUMIF(CAL!B:E,B133,CAL!E:E)+SUMIF(CAL!J:M,B133,CAL!M:M)</f>
        <v>15</v>
      </c>
      <c r="E133" s="33" t="n">
        <f aca="false">COUNTIF(CAL!B:J,B133)</f>
        <v>15</v>
      </c>
      <c r="F133" s="22" t="n">
        <f aca="false">SUMIF(CAL!B:F,B133,CAL!F:F)+SUMIF(CAL!J:N,B133,CAL!N:N)</f>
        <v>4</v>
      </c>
      <c r="G133" s="22" t="n">
        <f aca="false">SUMIF(CAL!B:F,B133,CAL!G:G)+SUMIF(CAL!J:N,B133,CAL!O:O)</f>
        <v>3</v>
      </c>
      <c r="H133" s="22" t="n">
        <f aca="false">SUMIF(CAL!B:F,B133,CAL!H:H)+SUMIF(CAL!J:N,B133,CAL!P:P)</f>
        <v>8</v>
      </c>
      <c r="I133" s="34" t="n">
        <f aca="false">IF(E133=0,0,(D133/(E133*3)))</f>
        <v>0.333333333333333</v>
      </c>
      <c r="J133" s="33" t="n">
        <f aca="false">SUMIF(CAL!B:C,B133,CAL!C:C)+SUMIF(CAL!J:J,B133,CAL!D:D)</f>
        <v>16</v>
      </c>
      <c r="K133" s="22" t="n">
        <f aca="false">SUMIF(CAL!B:D,B133,CAL!D:D)+SUMIF(CAL!J:L,B133,CAL!K:K)</f>
        <v>20</v>
      </c>
      <c r="L133" s="22" t="n">
        <f aca="false">J133-K133</f>
        <v>-4</v>
      </c>
      <c r="M133" s="35" t="n">
        <f aca="false">IF(E133=0,0,(J133/E133))</f>
        <v>1.06666666666667</v>
      </c>
      <c r="N133" s="35" t="n">
        <f aca="false">IF(E133=0,0,(K133/E133))</f>
        <v>1.33333333333333</v>
      </c>
      <c r="O133" s="22" t="n">
        <f aca="false">SUMIF(CAL!B:I,B133,CAL!I:I)+SUMIF(CAL!J:Q,B133,CAL!Q:Q)</f>
        <v>2</v>
      </c>
      <c r="P133" s="19" t="n">
        <f aca="false">Q133+R133</f>
        <v>0</v>
      </c>
      <c r="Q133" s="22" t="n">
        <v>0</v>
      </c>
      <c r="R133" s="22" t="n">
        <v>0</v>
      </c>
      <c r="S133" s="22" t="s">
        <v>5375</v>
      </c>
      <c r="T133" s="22" t="s">
        <v>5647</v>
      </c>
      <c r="U133" s="22" t="s">
        <v>5397</v>
      </c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customFormat="false" ht="12" hidden="false" customHeight="true" outlineLevel="0" collapsed="false">
      <c r="A134" s="31" t="n">
        <v>133</v>
      </c>
      <c r="B134" s="32" t="s">
        <v>226</v>
      </c>
      <c r="C134" s="32" t="s">
        <v>5648</v>
      </c>
      <c r="D134" s="22" t="n">
        <f aca="false">SUMIF(CAL!B:E,B134,CAL!E:E)+SUMIF(CAL!J:M,B134,CAL!M:M)</f>
        <v>27</v>
      </c>
      <c r="E134" s="33" t="n">
        <f aca="false">COUNTIF(CAL!B:J,B134)</f>
        <v>18</v>
      </c>
      <c r="F134" s="22" t="n">
        <f aca="false">SUMIF(CAL!B:F,B134,CAL!F:F)+SUMIF(CAL!J:N,B134,CAL!N:N)</f>
        <v>8</v>
      </c>
      <c r="G134" s="22" t="n">
        <f aca="false">SUMIF(CAL!B:F,B134,CAL!G:G)+SUMIF(CAL!J:N,B134,CAL!O:O)</f>
        <v>3</v>
      </c>
      <c r="H134" s="22" t="n">
        <f aca="false">SUMIF(CAL!B:F,B134,CAL!H:H)+SUMIF(CAL!J:N,B134,CAL!P:P)</f>
        <v>7</v>
      </c>
      <c r="I134" s="34" t="n">
        <f aca="false">IF(E134=0,0,(D134/(E134*3)))</f>
        <v>0.5</v>
      </c>
      <c r="J134" s="33" t="n">
        <f aca="false">SUMIF(CAL!B:C,B134,CAL!C:C)+SUMIF(CAL!J:J,B134,CAL!D:D)</f>
        <v>17</v>
      </c>
      <c r="K134" s="22" t="n">
        <f aca="false">SUMIF(CAL!B:D,B134,CAL!D:D)+SUMIF(CAL!J:L,B134,CAL!K:K)</f>
        <v>15</v>
      </c>
      <c r="L134" s="22" t="n">
        <f aca="false">J134-K134</f>
        <v>2</v>
      </c>
      <c r="M134" s="35" t="n">
        <f aca="false">IF(E134=0,0,(J134/E134))</f>
        <v>0.944444444444444</v>
      </c>
      <c r="N134" s="35" t="n">
        <f aca="false">IF(E134=0,0,(K134/E134))</f>
        <v>0.833333333333333</v>
      </c>
      <c r="O134" s="22" t="n">
        <f aca="false">SUMIF(CAL!B:I,B134,CAL!I:I)+SUMIF(CAL!J:Q,B134,CAL!Q:Q)</f>
        <v>8</v>
      </c>
      <c r="P134" s="19" t="n">
        <f aca="false">Q134+R134</f>
        <v>0</v>
      </c>
      <c r="Q134" s="22" t="n">
        <v>0</v>
      </c>
      <c r="R134" s="22" t="n">
        <v>0</v>
      </c>
      <c r="S134" s="22" t="s">
        <v>5409</v>
      </c>
      <c r="T134" s="22" t="s">
        <v>5493</v>
      </c>
      <c r="U134" s="22" t="s">
        <v>5447</v>
      </c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customFormat="false" ht="12" hidden="false" customHeight="true" outlineLevel="0" collapsed="false">
      <c r="A135" s="31" t="n">
        <v>134</v>
      </c>
      <c r="B135" s="32" t="s">
        <v>167</v>
      </c>
      <c r="C135" s="32" t="s">
        <v>5649</v>
      </c>
      <c r="D135" s="22" t="n">
        <f aca="false">SUMIF(CAL!B:E,B135,CAL!E:E)+SUMIF(CAL!J:M,B135,CAL!M:M)</f>
        <v>38</v>
      </c>
      <c r="E135" s="33" t="n">
        <f aca="false">COUNTIF(CAL!B:J,B135)</f>
        <v>21</v>
      </c>
      <c r="F135" s="22" t="n">
        <f aca="false">SUMIF(CAL!B:F,B135,CAL!F:F)+SUMIF(CAL!J:N,B135,CAL!N:N)</f>
        <v>11</v>
      </c>
      <c r="G135" s="22" t="n">
        <f aca="false">SUMIF(CAL!B:F,B135,CAL!G:G)+SUMIF(CAL!J:N,B135,CAL!O:O)</f>
        <v>5</v>
      </c>
      <c r="H135" s="22" t="n">
        <f aca="false">SUMIF(CAL!B:F,B135,CAL!H:H)+SUMIF(CAL!J:N,B135,CAL!P:P)</f>
        <v>5</v>
      </c>
      <c r="I135" s="34" t="n">
        <f aca="false">IF(E135=0,0,(D135/(E135*3)))</f>
        <v>0.603174603174603</v>
      </c>
      <c r="J135" s="33" t="n">
        <f aca="false">SUMIF(CAL!B:C,B135,CAL!C:C)+SUMIF(CAL!J:J,B135,CAL!D:D)</f>
        <v>29</v>
      </c>
      <c r="K135" s="22" t="n">
        <f aca="false">SUMIF(CAL!B:D,B135,CAL!D:D)+SUMIF(CAL!J:L,B135,CAL!K:K)</f>
        <v>21</v>
      </c>
      <c r="L135" s="22" t="n">
        <f aca="false">J135-K135</f>
        <v>8</v>
      </c>
      <c r="M135" s="35" t="n">
        <f aca="false">IF(E135=0,0,(J135/E135))</f>
        <v>1.38095238095238</v>
      </c>
      <c r="N135" s="35" t="n">
        <f aca="false">IF(E135=0,0,(K135/E135))</f>
        <v>1</v>
      </c>
      <c r="O135" s="22" t="n">
        <f aca="false">SUMIF(CAL!B:I,B135,CAL!I:I)+SUMIF(CAL!J:Q,B135,CAL!Q:Q)</f>
        <v>8</v>
      </c>
      <c r="P135" s="19" t="n">
        <f aca="false">Q135+R135</f>
        <v>0</v>
      </c>
      <c r="Q135" s="22" t="n">
        <v>0</v>
      </c>
      <c r="R135" s="22" t="n">
        <v>0</v>
      </c>
      <c r="S135" s="22" t="s">
        <v>5375</v>
      </c>
      <c r="T135" s="22" t="s">
        <v>5650</v>
      </c>
      <c r="U135" s="22" t="s">
        <v>5458</v>
      </c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customFormat="false" ht="12" hidden="false" customHeight="true" outlineLevel="0" collapsed="false">
      <c r="A136" s="31" t="n">
        <v>135</v>
      </c>
      <c r="B136" s="32" t="s">
        <v>92</v>
      </c>
      <c r="C136" s="32" t="s">
        <v>5651</v>
      </c>
      <c r="D136" s="22" t="n">
        <f aca="false">SUMIF(CAL!B:E,B136,CAL!E:E)+SUMIF(CAL!J:M,B136,CAL!M:M)</f>
        <v>21</v>
      </c>
      <c r="E136" s="33" t="n">
        <f aca="false">COUNTIF(CAL!B:J,B136)</f>
        <v>17</v>
      </c>
      <c r="F136" s="22" t="n">
        <f aca="false">SUMIF(CAL!B:F,B136,CAL!F:F)+SUMIF(CAL!J:N,B136,CAL!N:N)</f>
        <v>4</v>
      </c>
      <c r="G136" s="22" t="n">
        <f aca="false">SUMIF(CAL!B:F,B136,CAL!G:G)+SUMIF(CAL!J:N,B136,CAL!O:O)</f>
        <v>9</v>
      </c>
      <c r="H136" s="22" t="n">
        <f aca="false">SUMIF(CAL!B:F,B136,CAL!H:H)+SUMIF(CAL!J:N,B136,CAL!P:P)</f>
        <v>4</v>
      </c>
      <c r="I136" s="34" t="n">
        <f aca="false">IF(E136=0,0,(D136/(E136*3)))</f>
        <v>0.411764705882353</v>
      </c>
      <c r="J136" s="33" t="n">
        <f aca="false">SUMIF(CAL!B:C,B136,CAL!C:C)+SUMIF(CAL!J:J,B136,CAL!D:D)</f>
        <v>15</v>
      </c>
      <c r="K136" s="22" t="n">
        <f aca="false">SUMIF(CAL!B:D,B136,CAL!D:D)+SUMIF(CAL!J:L,B136,CAL!K:K)</f>
        <v>15</v>
      </c>
      <c r="L136" s="22" t="n">
        <f aca="false">J136-K136</f>
        <v>0</v>
      </c>
      <c r="M136" s="35" t="n">
        <f aca="false">IF(E136=0,0,(J136/E136))</f>
        <v>0.882352941176471</v>
      </c>
      <c r="N136" s="35" t="n">
        <f aca="false">IF(E136=0,0,(K136/E136))</f>
        <v>0.882352941176471</v>
      </c>
      <c r="O136" s="22" t="n">
        <f aca="false">SUMIF(CAL!B:I,B136,CAL!I:I)+SUMIF(CAL!J:Q,B136,CAL!Q:Q)</f>
        <v>7</v>
      </c>
      <c r="P136" s="19" t="n">
        <f aca="false">Q136+R136</f>
        <v>0</v>
      </c>
      <c r="Q136" s="22" t="n">
        <v>0</v>
      </c>
      <c r="R136" s="22" t="n">
        <v>0</v>
      </c>
      <c r="S136" s="22" t="s">
        <v>5421</v>
      </c>
      <c r="T136" s="22" t="s">
        <v>5652</v>
      </c>
      <c r="U136" s="22" t="s">
        <v>5450</v>
      </c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customFormat="false" ht="12" hidden="false" customHeight="true" outlineLevel="0" collapsed="false">
      <c r="A137" s="31" t="n">
        <v>136</v>
      </c>
      <c r="B137" s="32" t="s">
        <v>178</v>
      </c>
      <c r="C137" s="32" t="s">
        <v>5653</v>
      </c>
      <c r="D137" s="22" t="n">
        <f aca="false">SUMIF(CAL!B:E,B137,CAL!E:E)+SUMIF(CAL!J:M,B137,CAL!M:M)</f>
        <v>21</v>
      </c>
      <c r="E137" s="33" t="n">
        <f aca="false">COUNTIF(CAL!B:J,B137)</f>
        <v>15</v>
      </c>
      <c r="F137" s="22" t="n">
        <f aca="false">SUMIF(CAL!B:F,B137,CAL!F:F)+SUMIF(CAL!J:N,B137,CAL!N:N)</f>
        <v>5</v>
      </c>
      <c r="G137" s="22" t="n">
        <f aca="false">SUMIF(CAL!B:F,B137,CAL!G:G)+SUMIF(CAL!J:N,B137,CAL!O:O)</f>
        <v>6</v>
      </c>
      <c r="H137" s="22" t="n">
        <f aca="false">SUMIF(CAL!B:F,B137,CAL!H:H)+SUMIF(CAL!J:N,B137,CAL!P:P)</f>
        <v>4</v>
      </c>
      <c r="I137" s="34" t="n">
        <f aca="false">IF(E137=0,0,(D137/(E137*3)))</f>
        <v>0.466666666666667</v>
      </c>
      <c r="J137" s="33" t="n">
        <f aca="false">SUMIF(CAL!B:C,B137,CAL!C:C)+SUMIF(CAL!J:J,B137,CAL!D:D)</f>
        <v>18</v>
      </c>
      <c r="K137" s="22" t="n">
        <f aca="false">SUMIF(CAL!B:D,B137,CAL!D:D)+SUMIF(CAL!J:L,B137,CAL!K:K)</f>
        <v>20</v>
      </c>
      <c r="L137" s="22" t="n">
        <f aca="false">J137-K137</f>
        <v>-2</v>
      </c>
      <c r="M137" s="35" t="n">
        <f aca="false">IF(E137=0,0,(J137/E137))</f>
        <v>1.2</v>
      </c>
      <c r="N137" s="35" t="n">
        <f aca="false">IF(E137=0,0,(K137/E137))</f>
        <v>1.33333333333333</v>
      </c>
      <c r="O137" s="22" t="n">
        <f aca="false">SUMIF(CAL!B:I,B137,CAL!I:I)+SUMIF(CAL!J:Q,B137,CAL!Q:Q)</f>
        <v>5</v>
      </c>
      <c r="P137" s="19" t="n">
        <f aca="false">Q137+R137</f>
        <v>0</v>
      </c>
      <c r="Q137" s="22" t="n">
        <v>0</v>
      </c>
      <c r="R137" s="22" t="n">
        <v>0</v>
      </c>
      <c r="S137" s="22" t="s">
        <v>5375</v>
      </c>
      <c r="T137" s="22" t="s">
        <v>5654</v>
      </c>
      <c r="U137" s="22" t="s">
        <v>5380</v>
      </c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customFormat="false" ht="12" hidden="false" customHeight="true" outlineLevel="0" collapsed="false">
      <c r="A138" s="31" t="n">
        <v>137</v>
      </c>
      <c r="B138" s="32" t="s">
        <v>143</v>
      </c>
      <c r="C138" s="32" t="s">
        <v>5655</v>
      </c>
      <c r="D138" s="22" t="n">
        <f aca="false">SUMIF(CAL!B:E,B138,CAL!E:E)+SUMIF(CAL!J:M,B138,CAL!M:M)</f>
        <v>25</v>
      </c>
      <c r="E138" s="33" t="n">
        <f aca="false">COUNTIF(CAL!B:J,B138)</f>
        <v>18</v>
      </c>
      <c r="F138" s="22" t="n">
        <f aca="false">SUMIF(CAL!B:F,B138,CAL!F:F)+SUMIF(CAL!J:N,B138,CAL!N:N)</f>
        <v>6</v>
      </c>
      <c r="G138" s="22" t="n">
        <f aca="false">SUMIF(CAL!B:F,B138,CAL!G:G)+SUMIF(CAL!J:N,B138,CAL!O:O)</f>
        <v>7</v>
      </c>
      <c r="H138" s="22" t="n">
        <f aca="false">SUMIF(CAL!B:F,B138,CAL!H:H)+SUMIF(CAL!J:N,B138,CAL!P:P)</f>
        <v>5</v>
      </c>
      <c r="I138" s="34" t="n">
        <f aca="false">IF(E138=0,0,(D138/(E138*3)))</f>
        <v>0.462962962962963</v>
      </c>
      <c r="J138" s="33" t="n">
        <f aca="false">SUMIF(CAL!B:C,B138,CAL!C:C)+SUMIF(CAL!J:J,B138,CAL!D:D)</f>
        <v>23</v>
      </c>
      <c r="K138" s="22" t="n">
        <f aca="false">SUMIF(CAL!B:D,B138,CAL!D:D)+SUMIF(CAL!J:L,B138,CAL!K:K)</f>
        <v>17</v>
      </c>
      <c r="L138" s="22" t="n">
        <f aca="false">J138-K138</f>
        <v>6</v>
      </c>
      <c r="M138" s="35" t="n">
        <f aca="false">IF(E138=0,0,(J138/E138))</f>
        <v>1.27777777777778</v>
      </c>
      <c r="N138" s="35" t="n">
        <f aca="false">IF(E138=0,0,(K138/E138))</f>
        <v>0.944444444444444</v>
      </c>
      <c r="O138" s="22" t="n">
        <f aca="false">SUMIF(CAL!B:I,B138,CAL!I:I)+SUMIF(CAL!J:Q,B138,CAL!Q:Q)</f>
        <v>6</v>
      </c>
      <c r="P138" s="19" t="n">
        <f aca="false">Q138+R138</f>
        <v>0</v>
      </c>
      <c r="Q138" s="22" t="n">
        <v>0</v>
      </c>
      <c r="R138" s="22" t="n">
        <v>0</v>
      </c>
      <c r="S138" s="22" t="s">
        <v>5375</v>
      </c>
      <c r="T138" s="22" t="s">
        <v>5656</v>
      </c>
      <c r="U138" s="22" t="s">
        <v>5391</v>
      </c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customFormat="false" ht="12" hidden="false" customHeight="true" outlineLevel="0" collapsed="false">
      <c r="A139" s="31" t="n">
        <v>138</v>
      </c>
      <c r="B139" s="32" t="s">
        <v>47</v>
      </c>
      <c r="C139" s="32" t="s">
        <v>5657</v>
      </c>
      <c r="D139" s="22" t="n">
        <f aca="false">SUMIF(CAL!B:E,B139,CAL!E:E)+SUMIF(CAL!J:M,B139,CAL!M:M)</f>
        <v>30</v>
      </c>
      <c r="E139" s="33" t="n">
        <f aca="false">COUNTIF(CAL!B:J,B139)</f>
        <v>18</v>
      </c>
      <c r="F139" s="22" t="n">
        <f aca="false">SUMIF(CAL!B:F,B139,CAL!F:F)+SUMIF(CAL!J:N,B139,CAL!N:N)</f>
        <v>7</v>
      </c>
      <c r="G139" s="22" t="n">
        <f aca="false">SUMIF(CAL!B:F,B139,CAL!G:G)+SUMIF(CAL!J:N,B139,CAL!O:O)</f>
        <v>9</v>
      </c>
      <c r="H139" s="22" t="n">
        <f aca="false">SUMIF(CAL!B:F,B139,CAL!H:H)+SUMIF(CAL!J:N,B139,CAL!P:P)</f>
        <v>2</v>
      </c>
      <c r="I139" s="34" t="n">
        <f aca="false">IF(E139=0,0,(D139/(E139*3)))</f>
        <v>0.555555555555556</v>
      </c>
      <c r="J139" s="33" t="n">
        <f aca="false">SUMIF(CAL!B:C,B139,CAL!C:C)+SUMIF(CAL!J:J,B139,CAL!D:D)</f>
        <v>26</v>
      </c>
      <c r="K139" s="22" t="n">
        <f aca="false">SUMIF(CAL!B:D,B139,CAL!D:D)+SUMIF(CAL!J:L,B139,CAL!K:K)</f>
        <v>13</v>
      </c>
      <c r="L139" s="22" t="n">
        <f aca="false">J139-K139</f>
        <v>13</v>
      </c>
      <c r="M139" s="35" t="n">
        <f aca="false">IF(E139=0,0,(J139/E139))</f>
        <v>1.44444444444444</v>
      </c>
      <c r="N139" s="35" t="n">
        <f aca="false">IF(E139=0,0,(K139/E139))</f>
        <v>0.722222222222222</v>
      </c>
      <c r="O139" s="22" t="n">
        <f aca="false">SUMIF(CAL!B:I,B139,CAL!I:I)+SUMIF(CAL!J:Q,B139,CAL!Q:Q)</f>
        <v>9</v>
      </c>
      <c r="P139" s="19" t="n">
        <f aca="false">Q139+R139</f>
        <v>0</v>
      </c>
      <c r="Q139" s="22" t="n">
        <v>0</v>
      </c>
      <c r="R139" s="22" t="n">
        <v>0</v>
      </c>
      <c r="S139" s="22" t="s">
        <v>5375</v>
      </c>
      <c r="T139" s="22" t="s">
        <v>5658</v>
      </c>
      <c r="U139" s="22" t="s">
        <v>5380</v>
      </c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customFormat="false" ht="12" hidden="false" customHeight="true" outlineLevel="0" collapsed="false">
      <c r="A140" s="31" t="n">
        <v>139</v>
      </c>
      <c r="B140" s="32" t="s">
        <v>256</v>
      </c>
      <c r="C140" s="32" t="s">
        <v>5659</v>
      </c>
      <c r="D140" s="22" t="n">
        <f aca="false">SUMIF(CAL!B:E,B140,CAL!E:E)+SUMIF(CAL!J:M,B140,CAL!M:M)</f>
        <v>17</v>
      </c>
      <c r="E140" s="33" t="n">
        <f aca="false">COUNTIF(CAL!B:J,B140)</f>
        <v>13</v>
      </c>
      <c r="F140" s="22" t="n">
        <f aca="false">SUMIF(CAL!B:F,B140,CAL!F:F)+SUMIF(CAL!J:N,B140,CAL!N:N)</f>
        <v>5</v>
      </c>
      <c r="G140" s="22" t="n">
        <f aca="false">SUMIF(CAL!B:F,B140,CAL!G:G)+SUMIF(CAL!J:N,B140,CAL!O:O)</f>
        <v>2</v>
      </c>
      <c r="H140" s="22" t="n">
        <f aca="false">SUMIF(CAL!B:F,B140,CAL!H:H)+SUMIF(CAL!J:N,B140,CAL!P:P)</f>
        <v>6</v>
      </c>
      <c r="I140" s="34" t="n">
        <f aca="false">IF(E140=0,0,(D140/(E140*3)))</f>
        <v>0.435897435897436</v>
      </c>
      <c r="J140" s="33" t="n">
        <f aca="false">SUMIF(CAL!B:C,B140,CAL!C:C)+SUMIF(CAL!J:J,B140,CAL!D:D)</f>
        <v>11</v>
      </c>
      <c r="K140" s="22" t="n">
        <f aca="false">SUMIF(CAL!B:D,B140,CAL!D:D)+SUMIF(CAL!J:L,B140,CAL!K:K)</f>
        <v>21</v>
      </c>
      <c r="L140" s="22" t="n">
        <f aca="false">J140-K140</f>
        <v>-10</v>
      </c>
      <c r="M140" s="35" t="n">
        <f aca="false">IF(E140=0,0,(J140/E140))</f>
        <v>0.846153846153846</v>
      </c>
      <c r="N140" s="35" t="n">
        <f aca="false">IF(E140=0,0,(K140/E140))</f>
        <v>1.61538461538462</v>
      </c>
      <c r="O140" s="22" t="n">
        <f aca="false">SUMIF(CAL!B:I,B140,CAL!I:I)+SUMIF(CAL!J:Q,B140,CAL!Q:Q)</f>
        <v>4</v>
      </c>
      <c r="P140" s="19" t="n">
        <f aca="false">Q140+R140</f>
        <v>0</v>
      </c>
      <c r="Q140" s="22" t="n">
        <v>0</v>
      </c>
      <c r="R140" s="22" t="n">
        <v>0</v>
      </c>
      <c r="S140" s="22" t="s">
        <v>5375</v>
      </c>
      <c r="T140" s="22" t="s">
        <v>5660</v>
      </c>
      <c r="U140" s="22" t="s">
        <v>5471</v>
      </c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customFormat="false" ht="12" hidden="false" customHeight="true" outlineLevel="0" collapsed="false">
      <c r="A141" s="31" t="n">
        <v>140</v>
      </c>
      <c r="B141" s="36" t="s">
        <v>325</v>
      </c>
      <c r="C141" s="32" t="s">
        <v>5661</v>
      </c>
      <c r="D141" s="22" t="n">
        <f aca="false">SUMIF(CAL!B:E,B141,CAL!E:E)+SUMIF(CAL!J:M,B141,CAL!M:M)</f>
        <v>20</v>
      </c>
      <c r="E141" s="33" t="n">
        <f aca="false">COUNTIF(CAL!B:J,B141)</f>
        <v>14</v>
      </c>
      <c r="F141" s="22" t="n">
        <f aca="false">SUMIF(CAL!B:F,B141,CAL!F:F)+SUMIF(CAL!J:N,B141,CAL!N:N)</f>
        <v>5</v>
      </c>
      <c r="G141" s="22" t="n">
        <f aca="false">SUMIF(CAL!B:F,B141,CAL!G:G)+SUMIF(CAL!J:N,B141,CAL!O:O)</f>
        <v>5</v>
      </c>
      <c r="H141" s="22" t="n">
        <f aca="false">SUMIF(CAL!B:F,B141,CAL!H:H)+SUMIF(CAL!J:N,B141,CAL!P:P)</f>
        <v>4</v>
      </c>
      <c r="I141" s="34" t="n">
        <f aca="false">IF(E141=0,0,(D141/(E141*3)))</f>
        <v>0.476190476190476</v>
      </c>
      <c r="J141" s="33" t="n">
        <f aca="false">SUMIF(CAL!B:C,B141,CAL!C:C)+SUMIF(CAL!J:J,B141,CAL!D:D)</f>
        <v>22</v>
      </c>
      <c r="K141" s="22" t="n">
        <f aca="false">SUMIF(CAL!B:D,B141,CAL!D:D)+SUMIF(CAL!J:L,B141,CAL!K:K)</f>
        <v>18</v>
      </c>
      <c r="L141" s="22" t="n">
        <f aca="false">J141-K141</f>
        <v>4</v>
      </c>
      <c r="M141" s="35" t="n">
        <f aca="false">IF(E141=0,0,(J141/E141))</f>
        <v>1.57142857142857</v>
      </c>
      <c r="N141" s="35" t="n">
        <f aca="false">IF(E141=0,0,(K141/E141))</f>
        <v>1.28571428571429</v>
      </c>
      <c r="O141" s="22" t="n">
        <f aca="false">SUMIF(CAL!B:I,B141,CAL!I:I)+SUMIF(CAL!J:Q,B141,CAL!Q:Q)</f>
        <v>3</v>
      </c>
      <c r="P141" s="19" t="n">
        <f aca="false">Q141+R141</f>
        <v>0</v>
      </c>
      <c r="Q141" s="22" t="n">
        <v>0</v>
      </c>
      <c r="R141" s="22" t="n">
        <v>0</v>
      </c>
      <c r="S141" s="22" t="s">
        <v>5375</v>
      </c>
      <c r="T141" s="22" t="s">
        <v>5608</v>
      </c>
      <c r="U141" s="22" t="s">
        <v>5450</v>
      </c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customFormat="false" ht="12" hidden="false" customHeight="true" outlineLevel="0" collapsed="false">
      <c r="A142" s="31" t="n">
        <v>141</v>
      </c>
      <c r="B142" s="32" t="s">
        <v>232</v>
      </c>
      <c r="C142" s="32" t="s">
        <v>5662</v>
      </c>
      <c r="D142" s="22" t="n">
        <f aca="false">SUMIF(CAL!B:E,B142,CAL!E:E)+SUMIF(CAL!J:M,B142,CAL!M:M)</f>
        <v>8</v>
      </c>
      <c r="E142" s="33" t="n">
        <f aca="false">COUNTIF(CAL!B:J,B142)</f>
        <v>9</v>
      </c>
      <c r="F142" s="22" t="n">
        <f aca="false">SUMIF(CAL!B:F,B142,CAL!F:F)+SUMIF(CAL!J:N,B142,CAL!N:N)</f>
        <v>1</v>
      </c>
      <c r="G142" s="22" t="n">
        <f aca="false">SUMIF(CAL!B:F,B142,CAL!G:G)+SUMIF(CAL!J:N,B142,CAL!O:O)</f>
        <v>5</v>
      </c>
      <c r="H142" s="22" t="n">
        <f aca="false">SUMIF(CAL!B:F,B142,CAL!H:H)+SUMIF(CAL!J:N,B142,CAL!P:P)</f>
        <v>3</v>
      </c>
      <c r="I142" s="34" t="n">
        <f aca="false">IF(E142=0,0,(D142/(E142*3)))</f>
        <v>0.296296296296296</v>
      </c>
      <c r="J142" s="33" t="n">
        <f aca="false">SUMIF(CAL!B:C,B142,CAL!C:C)+SUMIF(CAL!J:J,B142,CAL!D:D)</f>
        <v>11</v>
      </c>
      <c r="K142" s="22" t="n">
        <f aca="false">SUMIF(CAL!B:D,B142,CAL!D:D)+SUMIF(CAL!J:L,B142,CAL!K:K)</f>
        <v>12</v>
      </c>
      <c r="L142" s="22" t="n">
        <f aca="false">J142-K142</f>
        <v>-1</v>
      </c>
      <c r="M142" s="35" t="n">
        <f aca="false">IF(E142=0,0,(J142/E142))</f>
        <v>1.22222222222222</v>
      </c>
      <c r="N142" s="35" t="n">
        <f aca="false">IF(E142=0,0,(K142/E142))</f>
        <v>1.33333333333333</v>
      </c>
      <c r="O142" s="22" t="n">
        <f aca="false">SUMIF(CAL!B:I,B142,CAL!I:I)+SUMIF(CAL!J:Q,B142,CAL!Q:Q)</f>
        <v>1</v>
      </c>
      <c r="P142" s="19" t="n">
        <f aca="false">Q142+R142</f>
        <v>0</v>
      </c>
      <c r="Q142" s="22" t="n">
        <v>0</v>
      </c>
      <c r="R142" s="22" t="n">
        <v>0</v>
      </c>
      <c r="S142" s="22" t="s">
        <v>5440</v>
      </c>
      <c r="T142" s="22" t="s">
        <v>5396</v>
      </c>
      <c r="U142" s="22" t="s">
        <v>5397</v>
      </c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customFormat="false" ht="12" hidden="false" customHeight="true" outlineLevel="0" collapsed="false">
      <c r="A143" s="31" t="n">
        <v>142</v>
      </c>
      <c r="B143" s="32" t="s">
        <v>266</v>
      </c>
      <c r="C143" s="32" t="s">
        <v>5663</v>
      </c>
      <c r="D143" s="22" t="n">
        <f aca="false">SUMIF(CAL!B:E,B143,CAL!E:E)+SUMIF(CAL!J:M,B143,CAL!M:M)</f>
        <v>16</v>
      </c>
      <c r="E143" s="33" t="n">
        <f aca="false">COUNTIF(CAL!B:J,B143)</f>
        <v>16</v>
      </c>
      <c r="F143" s="22" t="n">
        <f aca="false">SUMIF(CAL!B:F,B143,CAL!F:F)+SUMIF(CAL!J:N,B143,CAL!N:N)</f>
        <v>3</v>
      </c>
      <c r="G143" s="22" t="n">
        <f aca="false">SUMIF(CAL!B:F,B143,CAL!G:G)+SUMIF(CAL!J:N,B143,CAL!O:O)</f>
        <v>7</v>
      </c>
      <c r="H143" s="22" t="n">
        <f aca="false">SUMIF(CAL!B:F,B143,CAL!H:H)+SUMIF(CAL!J:N,B143,CAL!P:P)</f>
        <v>6</v>
      </c>
      <c r="I143" s="34" t="n">
        <f aca="false">IF(E143=0,0,(D143/(E143*3)))</f>
        <v>0.333333333333333</v>
      </c>
      <c r="J143" s="33" t="n">
        <f aca="false">SUMIF(CAL!B:C,B143,CAL!C:C)+SUMIF(CAL!J:J,B143,CAL!D:D)</f>
        <v>21</v>
      </c>
      <c r="K143" s="22" t="n">
        <f aca="false">SUMIF(CAL!B:D,B143,CAL!D:D)+SUMIF(CAL!J:L,B143,CAL!K:K)</f>
        <v>21</v>
      </c>
      <c r="L143" s="22" t="n">
        <f aca="false">J143-K143</f>
        <v>0</v>
      </c>
      <c r="M143" s="35" t="n">
        <f aca="false">IF(E143=0,0,(J143/E143))</f>
        <v>1.3125</v>
      </c>
      <c r="N143" s="35" t="n">
        <f aca="false">IF(E143=0,0,(K143/E143))</f>
        <v>1.3125</v>
      </c>
      <c r="O143" s="22" t="n">
        <f aca="false">SUMIF(CAL!B:I,B143,CAL!I:I)+SUMIF(CAL!J:Q,B143,CAL!Q:Q)</f>
        <v>3</v>
      </c>
      <c r="P143" s="19" t="n">
        <f aca="false">Q143+R143</f>
        <v>0</v>
      </c>
      <c r="Q143" s="22" t="n">
        <v>0</v>
      </c>
      <c r="R143" s="22" t="n">
        <v>0</v>
      </c>
      <c r="S143" s="22" t="s">
        <v>5409</v>
      </c>
      <c r="T143" s="22" t="s">
        <v>5664</v>
      </c>
      <c r="U143" s="22" t="s">
        <v>5423</v>
      </c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customFormat="false" ht="12" hidden="false" customHeight="true" outlineLevel="0" collapsed="false">
      <c r="A144" s="31" t="n">
        <v>143</v>
      </c>
      <c r="B144" s="32" t="s">
        <v>389</v>
      </c>
      <c r="C144" s="32" t="s">
        <v>5665</v>
      </c>
      <c r="D144" s="22" t="n">
        <f aca="false">SUMIF(CAL!B:E,B144,CAL!E:E)+SUMIF(CAL!J:M,B144,CAL!M:M)</f>
        <v>17</v>
      </c>
      <c r="E144" s="33" t="n">
        <f aca="false">COUNTIF(CAL!B:J,B144)</f>
        <v>10</v>
      </c>
      <c r="F144" s="22" t="n">
        <f aca="false">SUMIF(CAL!B:F,B144,CAL!F:F)+SUMIF(CAL!J:N,B144,CAL!N:N)</f>
        <v>5</v>
      </c>
      <c r="G144" s="22" t="n">
        <f aca="false">SUMIF(CAL!B:F,B144,CAL!G:G)+SUMIF(CAL!J:N,B144,CAL!O:O)</f>
        <v>2</v>
      </c>
      <c r="H144" s="22" t="n">
        <f aca="false">SUMIF(CAL!B:F,B144,CAL!H:H)+SUMIF(CAL!J:N,B144,CAL!P:P)</f>
        <v>3</v>
      </c>
      <c r="I144" s="34" t="n">
        <f aca="false">IF(E144=0,0,(D144/(E144*3)))</f>
        <v>0.566666666666667</v>
      </c>
      <c r="J144" s="33" t="n">
        <f aca="false">SUMIF(CAL!B:C,B144,CAL!C:C)+SUMIF(CAL!J:J,B144,CAL!D:D)</f>
        <v>18</v>
      </c>
      <c r="K144" s="22" t="n">
        <f aca="false">SUMIF(CAL!B:D,B144,CAL!D:D)+SUMIF(CAL!J:L,B144,CAL!K:K)</f>
        <v>12</v>
      </c>
      <c r="L144" s="22" t="n">
        <f aca="false">J144-K144</f>
        <v>6</v>
      </c>
      <c r="M144" s="35" t="n">
        <f aca="false">IF(E144=0,0,(J144/E144))</f>
        <v>1.8</v>
      </c>
      <c r="N144" s="35" t="n">
        <f aca="false">IF(E144=0,0,(K144/E144))</f>
        <v>1.2</v>
      </c>
      <c r="O144" s="22" t="n">
        <f aca="false">SUMIF(CAL!B:I,B144,CAL!I:I)+SUMIF(CAL!J:Q,B144,CAL!Q:Q)</f>
        <v>3</v>
      </c>
      <c r="P144" s="19" t="n">
        <f aca="false">Q144+R144</f>
        <v>0</v>
      </c>
      <c r="Q144" s="22" t="n">
        <v>0</v>
      </c>
      <c r="R144" s="22" t="n">
        <v>0</v>
      </c>
      <c r="S144" s="22" t="s">
        <v>5375</v>
      </c>
      <c r="T144" s="22" t="s">
        <v>5393</v>
      </c>
      <c r="U144" s="22" t="s">
        <v>5394</v>
      </c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customFormat="false" ht="12" hidden="false" customHeight="true" outlineLevel="0" collapsed="false">
      <c r="A145" s="31" t="n">
        <v>144</v>
      </c>
      <c r="B145" s="32" t="s">
        <v>343</v>
      </c>
      <c r="C145" s="32" t="s">
        <v>5666</v>
      </c>
      <c r="D145" s="22" t="n">
        <f aca="false">SUMIF(CAL!B:E,B145,CAL!E:E)+SUMIF(CAL!J:M,B145,CAL!M:M)</f>
        <v>32</v>
      </c>
      <c r="E145" s="33" t="n">
        <f aca="false">COUNTIF(CAL!B:J,B145)</f>
        <v>16</v>
      </c>
      <c r="F145" s="22" t="n">
        <f aca="false">SUMIF(CAL!B:F,B145,CAL!F:F)+SUMIF(CAL!J:N,B145,CAL!N:N)</f>
        <v>10</v>
      </c>
      <c r="G145" s="22" t="n">
        <f aca="false">SUMIF(CAL!B:F,B145,CAL!G:G)+SUMIF(CAL!J:N,B145,CAL!O:O)</f>
        <v>2</v>
      </c>
      <c r="H145" s="22" t="n">
        <f aca="false">SUMIF(CAL!B:F,B145,CAL!H:H)+SUMIF(CAL!J:N,B145,CAL!P:P)</f>
        <v>4</v>
      </c>
      <c r="I145" s="34" t="n">
        <f aca="false">IF(E145=0,0,(D145/(E145*3)))</f>
        <v>0.666666666666667</v>
      </c>
      <c r="J145" s="33" t="n">
        <f aca="false">SUMIF(CAL!B:C,B145,CAL!C:C)+SUMIF(CAL!J:J,B145,CAL!D:D)</f>
        <v>24</v>
      </c>
      <c r="K145" s="22" t="n">
        <f aca="false">SUMIF(CAL!B:D,B145,CAL!D:D)+SUMIF(CAL!J:L,B145,CAL!K:K)</f>
        <v>18</v>
      </c>
      <c r="L145" s="22" t="n">
        <f aca="false">J145-K145</f>
        <v>6</v>
      </c>
      <c r="M145" s="35" t="n">
        <f aca="false">IF(E145=0,0,(J145/E145))</f>
        <v>1.5</v>
      </c>
      <c r="N145" s="35" t="n">
        <f aca="false">IF(E145=0,0,(K145/E145))</f>
        <v>1.125</v>
      </c>
      <c r="O145" s="22" t="n">
        <f aca="false">SUMIF(CAL!B:I,B145,CAL!I:I)+SUMIF(CAL!J:Q,B145,CAL!Q:Q)</f>
        <v>6</v>
      </c>
      <c r="P145" s="19" t="n">
        <f aca="false">Q145+R145</f>
        <v>0</v>
      </c>
      <c r="Q145" s="22" t="n">
        <v>0</v>
      </c>
      <c r="R145" s="22" t="n">
        <v>0</v>
      </c>
      <c r="S145" s="22" t="s">
        <v>5375</v>
      </c>
      <c r="T145" s="22" t="s">
        <v>5667</v>
      </c>
      <c r="U145" s="22" t="s">
        <v>5458</v>
      </c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customFormat="false" ht="12" hidden="false" customHeight="true" outlineLevel="0" collapsed="false">
      <c r="A146" s="31" t="n">
        <v>145</v>
      </c>
      <c r="B146" s="32" t="s">
        <v>138</v>
      </c>
      <c r="C146" s="32" t="s">
        <v>5668</v>
      </c>
      <c r="D146" s="22" t="n">
        <f aca="false">SUMIF(CAL!B:E,B146,CAL!E:E)+SUMIF(CAL!J:M,B146,CAL!M:M)</f>
        <v>29</v>
      </c>
      <c r="E146" s="33" t="n">
        <f aca="false">COUNTIF(CAL!B:J,B146)</f>
        <v>16</v>
      </c>
      <c r="F146" s="22" t="n">
        <f aca="false">SUMIF(CAL!B:F,B146,CAL!F:F)+SUMIF(CAL!J:N,B146,CAL!N:N)</f>
        <v>9</v>
      </c>
      <c r="G146" s="22" t="n">
        <f aca="false">SUMIF(CAL!B:F,B146,CAL!G:G)+SUMIF(CAL!J:N,B146,CAL!O:O)</f>
        <v>2</v>
      </c>
      <c r="H146" s="22" t="n">
        <f aca="false">SUMIF(CAL!B:F,B146,CAL!H:H)+SUMIF(CAL!J:N,B146,CAL!P:P)</f>
        <v>5</v>
      </c>
      <c r="I146" s="34" t="n">
        <f aca="false">IF(E146=0,0,(D146/(E146*3)))</f>
        <v>0.604166666666667</v>
      </c>
      <c r="J146" s="33" t="n">
        <f aca="false">SUMIF(CAL!B:C,B146,CAL!C:C)+SUMIF(CAL!J:J,B146,CAL!D:D)</f>
        <v>16</v>
      </c>
      <c r="K146" s="22" t="n">
        <f aca="false">SUMIF(CAL!B:D,B146,CAL!D:D)+SUMIF(CAL!J:L,B146,CAL!K:K)</f>
        <v>13</v>
      </c>
      <c r="L146" s="22" t="n">
        <f aca="false">J146-K146</f>
        <v>3</v>
      </c>
      <c r="M146" s="35" t="n">
        <f aca="false">IF(E146=0,0,(J146/E146))</f>
        <v>1</v>
      </c>
      <c r="N146" s="35" t="n">
        <f aca="false">IF(E146=0,0,(K146/E146))</f>
        <v>0.8125</v>
      </c>
      <c r="O146" s="22" t="n">
        <f aca="false">SUMIF(CAL!B:I,B146,CAL!I:I)+SUMIF(CAL!J:Q,B146,CAL!Q:Q)</f>
        <v>7</v>
      </c>
      <c r="P146" s="19" t="n">
        <f aca="false">Q146+R146</f>
        <v>0</v>
      </c>
      <c r="Q146" s="22" t="n">
        <v>0</v>
      </c>
      <c r="R146" s="22" t="n">
        <v>0</v>
      </c>
      <c r="S146" s="22" t="s">
        <v>5440</v>
      </c>
      <c r="T146" s="22" t="s">
        <v>5436</v>
      </c>
      <c r="U146" s="22" t="s">
        <v>5380</v>
      </c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customFormat="false" ht="12" hidden="false" customHeight="true" outlineLevel="0" collapsed="false">
      <c r="A147" s="31" t="n">
        <v>146</v>
      </c>
      <c r="B147" s="36" t="s">
        <v>229</v>
      </c>
      <c r="C147" s="32" t="s">
        <v>5669</v>
      </c>
      <c r="D147" s="22" t="n">
        <f aca="false">SUMIF(CAL!B:E,B147,CAL!E:E)+SUMIF(CAL!J:M,B147,CAL!M:M)</f>
        <v>5</v>
      </c>
      <c r="E147" s="33" t="n">
        <f aca="false">COUNTIF(CAL!B:J,B147)</f>
        <v>13</v>
      </c>
      <c r="F147" s="22" t="n">
        <f aca="false">SUMIF(CAL!B:F,B147,CAL!F:F)+SUMIF(CAL!J:N,B147,CAL!N:N)</f>
        <v>1</v>
      </c>
      <c r="G147" s="22" t="n">
        <f aca="false">SUMIF(CAL!B:F,B147,CAL!G:G)+SUMIF(CAL!J:N,B147,CAL!O:O)</f>
        <v>2</v>
      </c>
      <c r="H147" s="22" t="n">
        <f aca="false">SUMIF(CAL!B:F,B147,CAL!H:H)+SUMIF(CAL!J:N,B147,CAL!P:P)</f>
        <v>10</v>
      </c>
      <c r="I147" s="34" t="n">
        <f aca="false">IF(E147=0,0,(D147/(E147*3)))</f>
        <v>0.128205128205128</v>
      </c>
      <c r="J147" s="33" t="n">
        <f aca="false">SUMIF(CAL!B:C,B147,CAL!C:C)+SUMIF(CAL!J:J,B147,CAL!D:D)</f>
        <v>6</v>
      </c>
      <c r="K147" s="22" t="n">
        <f aca="false">SUMIF(CAL!B:D,B147,CAL!D:D)+SUMIF(CAL!J:L,B147,CAL!K:K)</f>
        <v>19</v>
      </c>
      <c r="L147" s="22" t="n">
        <f aca="false">J147-K147</f>
        <v>-13</v>
      </c>
      <c r="M147" s="35" t="n">
        <f aca="false">IF(E147=0,0,(J147/E147))</f>
        <v>0.461538461538462</v>
      </c>
      <c r="N147" s="35" t="n">
        <f aca="false">IF(E147=0,0,(K147/E147))</f>
        <v>1.46153846153846</v>
      </c>
      <c r="O147" s="22" t="n">
        <f aca="false">SUMIF(CAL!B:I,B147,CAL!I:I)+SUMIF(CAL!J:Q,B147,CAL!Q:Q)</f>
        <v>1</v>
      </c>
      <c r="P147" s="19" t="n">
        <f aca="false">Q147+R147</f>
        <v>0</v>
      </c>
      <c r="Q147" s="22" t="n">
        <v>0</v>
      </c>
      <c r="R147" s="22" t="n">
        <v>0</v>
      </c>
      <c r="S147" s="22" t="s">
        <v>5421</v>
      </c>
      <c r="T147" s="22" t="s">
        <v>5582</v>
      </c>
      <c r="U147" s="22" t="s">
        <v>5453</v>
      </c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customFormat="false" ht="12" hidden="false" customHeight="true" outlineLevel="0" collapsed="false">
      <c r="A148" s="31" t="n">
        <v>147</v>
      </c>
      <c r="B148" s="36" t="s">
        <v>263</v>
      </c>
      <c r="C148" s="32" t="s">
        <v>5670</v>
      </c>
      <c r="D148" s="22" t="n">
        <f aca="false">SUMIF(CAL!B:E,B148,CAL!E:E)+SUMIF(CAL!J:M,B148,CAL!M:M)</f>
        <v>14</v>
      </c>
      <c r="E148" s="33" t="n">
        <f aca="false">COUNTIF(CAL!B:J,B148)</f>
        <v>12</v>
      </c>
      <c r="F148" s="22" t="n">
        <f aca="false">SUMIF(CAL!B:F,B148,CAL!F:F)+SUMIF(CAL!J:N,B148,CAL!N:N)</f>
        <v>4</v>
      </c>
      <c r="G148" s="22" t="n">
        <f aca="false">SUMIF(CAL!B:F,B148,CAL!G:G)+SUMIF(CAL!J:N,B148,CAL!O:O)</f>
        <v>2</v>
      </c>
      <c r="H148" s="22" t="n">
        <f aca="false">SUMIF(CAL!B:F,B148,CAL!H:H)+SUMIF(CAL!J:N,B148,CAL!P:P)</f>
        <v>6</v>
      </c>
      <c r="I148" s="34" t="n">
        <f aca="false">IF(E148=0,0,(D148/(E148*3)))</f>
        <v>0.388888888888889</v>
      </c>
      <c r="J148" s="33" t="n">
        <f aca="false">SUMIF(CAL!B:C,B148,CAL!C:C)+SUMIF(CAL!J:J,B148,CAL!D:D)</f>
        <v>11</v>
      </c>
      <c r="K148" s="22" t="n">
        <f aca="false">SUMIF(CAL!B:D,B148,CAL!D:D)+SUMIF(CAL!J:L,B148,CAL!K:K)</f>
        <v>16</v>
      </c>
      <c r="L148" s="22" t="n">
        <f aca="false">J148-K148</f>
        <v>-5</v>
      </c>
      <c r="M148" s="35" t="n">
        <f aca="false">IF(E148=0,0,(J148/E148))</f>
        <v>0.916666666666667</v>
      </c>
      <c r="N148" s="35" t="n">
        <f aca="false">IF(E148=0,0,(K148/E148))</f>
        <v>1.33333333333333</v>
      </c>
      <c r="O148" s="22" t="n">
        <f aca="false">SUMIF(CAL!B:I,B148,CAL!I:I)+SUMIF(CAL!J:Q,B148,CAL!Q:Q)</f>
        <v>2</v>
      </c>
      <c r="P148" s="19" t="n">
        <f aca="false">Q148+R148</f>
        <v>0</v>
      </c>
      <c r="Q148" s="22" t="n">
        <v>0</v>
      </c>
      <c r="R148" s="22" t="n">
        <v>0</v>
      </c>
      <c r="S148" s="22" t="s">
        <v>5375</v>
      </c>
      <c r="T148" s="22" t="s">
        <v>5671</v>
      </c>
      <c r="U148" s="22" t="s">
        <v>5580</v>
      </c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customFormat="false" ht="12" hidden="false" customHeight="true" outlineLevel="0" collapsed="false">
      <c r="A149" s="31" t="n">
        <v>148</v>
      </c>
      <c r="B149" s="32" t="s">
        <v>70</v>
      </c>
      <c r="C149" s="32" t="s">
        <v>5672</v>
      </c>
      <c r="D149" s="22" t="n">
        <f aca="false">SUMIF(CAL!B:E,B149,CAL!E:E)+SUMIF(CAL!J:M,B149,CAL!M:M)</f>
        <v>21</v>
      </c>
      <c r="E149" s="33" t="n">
        <f aca="false">COUNTIF(CAL!B:J,B149)</f>
        <v>16</v>
      </c>
      <c r="F149" s="22" t="n">
        <f aca="false">SUMIF(CAL!B:F,B149,CAL!F:F)+SUMIF(CAL!J:N,B149,CAL!N:N)</f>
        <v>6</v>
      </c>
      <c r="G149" s="22" t="n">
        <f aca="false">SUMIF(CAL!B:F,B149,CAL!G:G)+SUMIF(CAL!J:N,B149,CAL!O:O)</f>
        <v>3</v>
      </c>
      <c r="H149" s="22" t="n">
        <f aca="false">SUMIF(CAL!B:F,B149,CAL!H:H)+SUMIF(CAL!J:N,B149,CAL!P:P)</f>
        <v>7</v>
      </c>
      <c r="I149" s="34" t="n">
        <f aca="false">IF(E149=0,0,(D149/(E149*3)))</f>
        <v>0.4375</v>
      </c>
      <c r="J149" s="33" t="n">
        <f aca="false">SUMIF(CAL!B:C,B149,CAL!C:C)+SUMIF(CAL!J:J,B149,CAL!D:D)</f>
        <v>18</v>
      </c>
      <c r="K149" s="22" t="n">
        <f aca="false">SUMIF(CAL!B:D,B149,CAL!D:D)+SUMIF(CAL!J:L,B149,CAL!K:K)</f>
        <v>20</v>
      </c>
      <c r="L149" s="22" t="n">
        <f aca="false">J149-K149</f>
        <v>-2</v>
      </c>
      <c r="M149" s="35" t="n">
        <f aca="false">IF(E149=0,0,(J149/E149))</f>
        <v>1.125</v>
      </c>
      <c r="N149" s="35" t="n">
        <f aca="false">IF(E149=0,0,(K149/E149))</f>
        <v>1.25</v>
      </c>
      <c r="O149" s="22" t="n">
        <f aca="false">SUMIF(CAL!B:I,B149,CAL!I:I)+SUMIF(CAL!J:Q,B149,CAL!Q:Q)</f>
        <v>4</v>
      </c>
      <c r="P149" s="19" t="n">
        <f aca="false">Q149+R149</f>
        <v>0</v>
      </c>
      <c r="Q149" s="22" t="n">
        <v>0</v>
      </c>
      <c r="R149" s="22" t="n">
        <v>0</v>
      </c>
      <c r="S149" s="22" t="s">
        <v>5421</v>
      </c>
      <c r="T149" s="22" t="s">
        <v>5482</v>
      </c>
      <c r="U149" s="22" t="s">
        <v>5483</v>
      </c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customFormat="false" ht="12" hidden="false" customHeight="true" outlineLevel="0" collapsed="false">
      <c r="A150" s="31" t="n">
        <v>149</v>
      </c>
      <c r="B150" s="32" t="s">
        <v>41</v>
      </c>
      <c r="C150" s="32" t="s">
        <v>5673</v>
      </c>
      <c r="D150" s="22" t="n">
        <f aca="false">SUMIF(CAL!B:E,B150,CAL!E:E)+SUMIF(CAL!J:M,B150,CAL!M:M)</f>
        <v>17</v>
      </c>
      <c r="E150" s="33" t="n">
        <f aca="false">COUNTIF(CAL!B:J,B150)</f>
        <v>14</v>
      </c>
      <c r="F150" s="22" t="n">
        <f aca="false">SUMIF(CAL!B:F,B150,CAL!F:F)+SUMIF(CAL!J:N,B150,CAL!N:N)</f>
        <v>4</v>
      </c>
      <c r="G150" s="22" t="n">
        <f aca="false">SUMIF(CAL!B:F,B150,CAL!G:G)+SUMIF(CAL!J:N,B150,CAL!O:O)</f>
        <v>5</v>
      </c>
      <c r="H150" s="22" t="n">
        <f aca="false">SUMIF(CAL!B:F,B150,CAL!H:H)+SUMIF(CAL!J:N,B150,CAL!P:P)</f>
        <v>5</v>
      </c>
      <c r="I150" s="34" t="n">
        <f aca="false">IF(E150=0,0,(D150/(E150*3)))</f>
        <v>0.404761904761905</v>
      </c>
      <c r="J150" s="33" t="n">
        <f aca="false">SUMIF(CAL!B:C,B150,CAL!C:C)+SUMIF(CAL!J:J,B150,CAL!D:D)</f>
        <v>15</v>
      </c>
      <c r="K150" s="22" t="n">
        <f aca="false">SUMIF(CAL!B:D,B150,CAL!D:D)+SUMIF(CAL!J:L,B150,CAL!K:K)</f>
        <v>15</v>
      </c>
      <c r="L150" s="22" t="n">
        <f aca="false">J150-K150</f>
        <v>0</v>
      </c>
      <c r="M150" s="35" t="n">
        <f aca="false">IF(E150=0,0,(J150/E150))</f>
        <v>1.07142857142857</v>
      </c>
      <c r="N150" s="35" t="n">
        <f aca="false">IF(E150=0,0,(K150/E150))</f>
        <v>1.07142857142857</v>
      </c>
      <c r="O150" s="22" t="n">
        <f aca="false">SUMIF(CAL!B:I,B150,CAL!I:I)+SUMIF(CAL!J:Q,B150,CAL!Q:Q)</f>
        <v>3</v>
      </c>
      <c r="P150" s="19" t="n">
        <f aca="false">Q150+R150</f>
        <v>0</v>
      </c>
      <c r="Q150" s="22" t="n">
        <v>0</v>
      </c>
      <c r="R150" s="22" t="n">
        <v>0</v>
      </c>
      <c r="S150" s="22" t="s">
        <v>5375</v>
      </c>
      <c r="T150" s="22" t="s">
        <v>5674</v>
      </c>
      <c r="U150" s="22" t="s">
        <v>5423</v>
      </c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customFormat="false" ht="12" hidden="false" customHeight="true" outlineLevel="0" collapsed="false">
      <c r="A151" s="31" t="n">
        <v>150</v>
      </c>
      <c r="B151" s="32" t="s">
        <v>158</v>
      </c>
      <c r="C151" s="32" t="s">
        <v>5675</v>
      </c>
      <c r="D151" s="22" t="n">
        <f aca="false">SUMIF(CAL!B:E,B151,CAL!E:E)+SUMIF(CAL!J:M,B151,CAL!M:M)</f>
        <v>22</v>
      </c>
      <c r="E151" s="33" t="n">
        <f aca="false">COUNTIF(CAL!B:J,B151)</f>
        <v>20</v>
      </c>
      <c r="F151" s="22" t="n">
        <f aca="false">SUMIF(CAL!B:F,B151,CAL!F:F)+SUMIF(CAL!J:N,B151,CAL!N:N)</f>
        <v>5</v>
      </c>
      <c r="G151" s="22" t="n">
        <f aca="false">SUMIF(CAL!B:F,B151,CAL!G:G)+SUMIF(CAL!J:N,B151,CAL!O:O)</f>
        <v>7</v>
      </c>
      <c r="H151" s="22" t="n">
        <f aca="false">SUMIF(CAL!B:F,B151,CAL!H:H)+SUMIF(CAL!J:N,B151,CAL!P:P)</f>
        <v>8</v>
      </c>
      <c r="I151" s="34" t="n">
        <f aca="false">IF(E151=0,0,(D151/(E151*3)))</f>
        <v>0.366666666666667</v>
      </c>
      <c r="J151" s="33" t="n">
        <f aca="false">SUMIF(CAL!B:C,B151,CAL!C:C)+SUMIF(CAL!J:J,B151,CAL!D:D)</f>
        <v>26</v>
      </c>
      <c r="K151" s="22" t="n">
        <f aca="false">SUMIF(CAL!B:D,B151,CAL!D:D)+SUMIF(CAL!J:L,B151,CAL!K:K)</f>
        <v>26</v>
      </c>
      <c r="L151" s="22" t="n">
        <f aca="false">J151-K151</f>
        <v>0</v>
      </c>
      <c r="M151" s="35" t="n">
        <f aca="false">IF(E151=0,0,(J151/E151))</f>
        <v>1.3</v>
      </c>
      <c r="N151" s="35" t="n">
        <f aca="false">IF(E151=0,0,(K151/E151))</f>
        <v>1.3</v>
      </c>
      <c r="O151" s="22" t="n">
        <f aca="false">SUMIF(CAL!B:I,B151,CAL!I:I)+SUMIF(CAL!J:Q,B151,CAL!Q:Q)</f>
        <v>4</v>
      </c>
      <c r="P151" s="19" t="n">
        <f aca="false">Q151+R151</f>
        <v>0</v>
      </c>
      <c r="Q151" s="22" t="n">
        <v>0</v>
      </c>
      <c r="R151" s="22" t="n">
        <v>0</v>
      </c>
      <c r="S151" s="22" t="s">
        <v>5375</v>
      </c>
      <c r="T151" s="22" t="s">
        <v>5590</v>
      </c>
      <c r="U151" s="22" t="s">
        <v>5518</v>
      </c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customFormat="false" ht="12" hidden="false" customHeight="true" outlineLevel="0" collapsed="false">
      <c r="A152" s="31" t="n">
        <v>151</v>
      </c>
      <c r="B152" s="32" t="s">
        <v>220</v>
      </c>
      <c r="C152" s="32" t="s">
        <v>5676</v>
      </c>
      <c r="D152" s="22" t="n">
        <f aca="false">SUMIF(CAL!B:E,B152,CAL!E:E)+SUMIF(CAL!J:M,B152,CAL!M:M)</f>
        <v>9</v>
      </c>
      <c r="E152" s="33" t="n">
        <f aca="false">COUNTIF(CAL!B:J,B152)</f>
        <v>10</v>
      </c>
      <c r="F152" s="22" t="n">
        <f aca="false">SUMIF(CAL!B:F,B152,CAL!F:F)+SUMIF(CAL!J:N,B152,CAL!N:N)</f>
        <v>2</v>
      </c>
      <c r="G152" s="22" t="n">
        <f aca="false">SUMIF(CAL!B:F,B152,CAL!G:G)+SUMIF(CAL!J:N,B152,CAL!O:O)</f>
        <v>3</v>
      </c>
      <c r="H152" s="22" t="n">
        <f aca="false">SUMIF(CAL!B:F,B152,CAL!H:H)+SUMIF(CAL!J:N,B152,CAL!P:P)</f>
        <v>5</v>
      </c>
      <c r="I152" s="34" t="n">
        <f aca="false">IF(E152=0,0,(D152/(E152*3)))</f>
        <v>0.3</v>
      </c>
      <c r="J152" s="33" t="n">
        <f aca="false">SUMIF(CAL!B:C,B152,CAL!C:C)+SUMIF(CAL!J:J,B152,CAL!D:D)</f>
        <v>9</v>
      </c>
      <c r="K152" s="22" t="n">
        <f aca="false">SUMIF(CAL!B:D,B152,CAL!D:D)+SUMIF(CAL!J:L,B152,CAL!K:K)</f>
        <v>14</v>
      </c>
      <c r="L152" s="22" t="n">
        <f aca="false">J152-K152</f>
        <v>-5</v>
      </c>
      <c r="M152" s="35" t="n">
        <f aca="false">IF(E152=0,0,(J152/E152))</f>
        <v>0.9</v>
      </c>
      <c r="N152" s="35" t="n">
        <f aca="false">IF(E152=0,0,(K152/E152))</f>
        <v>1.4</v>
      </c>
      <c r="O152" s="22" t="n">
        <f aca="false">SUMIF(CAL!B:I,B152,CAL!I:I)+SUMIF(CAL!J:Q,B152,CAL!Q:Q)</f>
        <v>4</v>
      </c>
      <c r="P152" s="19" t="n">
        <f aca="false">Q152+R152</f>
        <v>0</v>
      </c>
      <c r="Q152" s="22" t="n">
        <v>0</v>
      </c>
      <c r="R152" s="22" t="n">
        <v>0</v>
      </c>
      <c r="S152" s="22" t="s">
        <v>5409</v>
      </c>
      <c r="T152" s="22" t="s">
        <v>5677</v>
      </c>
      <c r="U152" s="22" t="s">
        <v>5407</v>
      </c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customFormat="false" ht="12" hidden="false" customHeight="true" outlineLevel="0" collapsed="false">
      <c r="A153" s="31" t="n">
        <v>152</v>
      </c>
      <c r="B153" s="32" t="s">
        <v>216</v>
      </c>
      <c r="C153" s="32" t="s">
        <v>5678</v>
      </c>
      <c r="D153" s="22" t="n">
        <f aca="false">SUMIF(CAL!B:E,B153,CAL!E:E)+SUMIF(CAL!J:M,B153,CAL!M:M)</f>
        <v>14</v>
      </c>
      <c r="E153" s="33" t="n">
        <f aca="false">COUNTIF(CAL!B:J,B153)</f>
        <v>13</v>
      </c>
      <c r="F153" s="22" t="n">
        <f aca="false">SUMIF(CAL!B:F,B153,CAL!F:F)+SUMIF(CAL!J:N,B153,CAL!N:N)</f>
        <v>3</v>
      </c>
      <c r="G153" s="22" t="n">
        <f aca="false">SUMIF(CAL!B:F,B153,CAL!G:G)+SUMIF(CAL!J:N,B153,CAL!O:O)</f>
        <v>5</v>
      </c>
      <c r="H153" s="22" t="n">
        <f aca="false">SUMIF(CAL!B:F,B153,CAL!H:H)+SUMIF(CAL!J:N,B153,CAL!P:P)</f>
        <v>5</v>
      </c>
      <c r="I153" s="34" t="n">
        <f aca="false">IF(E153=0,0,(D153/(E153*3)))</f>
        <v>0.358974358974359</v>
      </c>
      <c r="J153" s="33" t="n">
        <f aca="false">SUMIF(CAL!B:C,B153,CAL!C:C)+SUMIF(CAL!J:J,B153,CAL!D:D)</f>
        <v>11</v>
      </c>
      <c r="K153" s="22" t="n">
        <f aca="false">SUMIF(CAL!B:D,B153,CAL!D:D)+SUMIF(CAL!J:L,B153,CAL!K:K)</f>
        <v>19</v>
      </c>
      <c r="L153" s="22" t="n">
        <f aca="false">J153-K153</f>
        <v>-8</v>
      </c>
      <c r="M153" s="35" t="n">
        <f aca="false">IF(E153=0,0,(J153/E153))</f>
        <v>0.846153846153846</v>
      </c>
      <c r="N153" s="35" t="n">
        <f aca="false">IF(E153=0,0,(K153/E153))</f>
        <v>1.46153846153846</v>
      </c>
      <c r="O153" s="22" t="n">
        <f aca="false">SUMIF(CAL!B:I,B153,CAL!I:I)+SUMIF(CAL!J:Q,B153,CAL!Q:Q)</f>
        <v>4</v>
      </c>
      <c r="P153" s="19" t="n">
        <f aca="false">Q153+R153</f>
        <v>0</v>
      </c>
      <c r="Q153" s="22" t="n">
        <v>0</v>
      </c>
      <c r="R153" s="22" t="n">
        <v>0</v>
      </c>
      <c r="S153" s="22" t="s">
        <v>5409</v>
      </c>
      <c r="T153" s="22" t="s">
        <v>5679</v>
      </c>
      <c r="U153" s="22" t="s">
        <v>5450</v>
      </c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customFormat="false" ht="12" hidden="false" customHeight="true" outlineLevel="0" collapsed="false">
      <c r="A154" s="31" t="n">
        <v>153</v>
      </c>
      <c r="B154" s="32" t="s">
        <v>290</v>
      </c>
      <c r="C154" s="32" t="s">
        <v>5680</v>
      </c>
      <c r="D154" s="22" t="n">
        <f aca="false">SUMIF(CAL!B:E,B154,CAL!E:E)+SUMIF(CAL!J:M,B154,CAL!M:M)</f>
        <v>28</v>
      </c>
      <c r="E154" s="33" t="n">
        <f aca="false">COUNTIF(CAL!B:J,B154)</f>
        <v>15</v>
      </c>
      <c r="F154" s="22" t="n">
        <f aca="false">SUMIF(CAL!B:F,B154,CAL!F:F)+SUMIF(CAL!J:N,B154,CAL!N:N)</f>
        <v>8</v>
      </c>
      <c r="G154" s="22" t="n">
        <f aca="false">SUMIF(CAL!B:F,B154,CAL!G:G)+SUMIF(CAL!J:N,B154,CAL!O:O)</f>
        <v>4</v>
      </c>
      <c r="H154" s="22" t="n">
        <f aca="false">SUMIF(CAL!B:F,B154,CAL!H:H)+SUMIF(CAL!J:N,B154,CAL!P:P)</f>
        <v>3</v>
      </c>
      <c r="I154" s="34" t="n">
        <f aca="false">IF(E154=0,0,(D154/(E154*3)))</f>
        <v>0.622222222222222</v>
      </c>
      <c r="J154" s="33" t="n">
        <f aca="false">SUMIF(CAL!B:C,B154,CAL!C:C)+SUMIF(CAL!J:J,B154,CAL!D:D)</f>
        <v>19</v>
      </c>
      <c r="K154" s="22" t="n">
        <f aca="false">SUMIF(CAL!B:D,B154,CAL!D:D)+SUMIF(CAL!J:L,B154,CAL!K:K)</f>
        <v>14</v>
      </c>
      <c r="L154" s="22" t="n">
        <f aca="false">J154-K154</f>
        <v>5</v>
      </c>
      <c r="M154" s="35" t="n">
        <f aca="false">IF(E154=0,0,(J154/E154))</f>
        <v>1.26666666666667</v>
      </c>
      <c r="N154" s="35" t="n">
        <f aca="false">IF(E154=0,0,(K154/E154))</f>
        <v>0.933333333333333</v>
      </c>
      <c r="O154" s="22" t="n">
        <f aca="false">SUMIF(CAL!B:I,B154,CAL!I:I)+SUMIF(CAL!J:Q,B154,CAL!Q:Q)</f>
        <v>7</v>
      </c>
      <c r="P154" s="19" t="n">
        <f aca="false">Q154+R154</f>
        <v>0</v>
      </c>
      <c r="Q154" s="22" t="n">
        <v>0</v>
      </c>
      <c r="R154" s="22" t="n">
        <v>0</v>
      </c>
      <c r="S154" s="22" t="s">
        <v>5375</v>
      </c>
      <c r="T154" s="22" t="s">
        <v>5681</v>
      </c>
      <c r="U154" s="22" t="s">
        <v>5397</v>
      </c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customFormat="false" ht="12" hidden="false" customHeight="true" outlineLevel="0" collapsed="false">
      <c r="A155" s="31" t="n">
        <v>154</v>
      </c>
      <c r="B155" s="32" t="s">
        <v>128</v>
      </c>
      <c r="C155" s="32" t="s">
        <v>5682</v>
      </c>
      <c r="D155" s="22" t="n">
        <f aca="false">SUMIF(CAL!B:E,B155,CAL!E:E)+SUMIF(CAL!J:M,B155,CAL!M:M)</f>
        <v>10</v>
      </c>
      <c r="E155" s="33" t="n">
        <f aca="false">COUNTIF(CAL!B:J,B155)</f>
        <v>10</v>
      </c>
      <c r="F155" s="22" t="n">
        <f aca="false">SUMIF(CAL!B:F,B155,CAL!F:F)+SUMIF(CAL!J:N,B155,CAL!N:N)</f>
        <v>2</v>
      </c>
      <c r="G155" s="22" t="n">
        <f aca="false">SUMIF(CAL!B:F,B155,CAL!G:G)+SUMIF(CAL!J:N,B155,CAL!O:O)</f>
        <v>4</v>
      </c>
      <c r="H155" s="22" t="n">
        <f aca="false">SUMIF(CAL!B:F,B155,CAL!H:H)+SUMIF(CAL!J:N,B155,CAL!P:P)</f>
        <v>4</v>
      </c>
      <c r="I155" s="34" t="n">
        <f aca="false">IF(E155=0,0,(D155/(E155*3)))</f>
        <v>0.333333333333333</v>
      </c>
      <c r="J155" s="33" t="n">
        <f aca="false">SUMIF(CAL!B:C,B155,CAL!C:C)+SUMIF(CAL!J:J,B155,CAL!D:D)</f>
        <v>7</v>
      </c>
      <c r="K155" s="22" t="n">
        <f aca="false">SUMIF(CAL!B:D,B155,CAL!D:D)+SUMIF(CAL!J:L,B155,CAL!K:K)</f>
        <v>8</v>
      </c>
      <c r="L155" s="22" t="n">
        <f aca="false">J155-K155</f>
        <v>-1</v>
      </c>
      <c r="M155" s="35" t="n">
        <f aca="false">IF(E155=0,0,(J155/E155))</f>
        <v>0.7</v>
      </c>
      <c r="N155" s="35" t="n">
        <f aca="false">IF(E155=0,0,(K155/E155))</f>
        <v>0.8</v>
      </c>
      <c r="O155" s="22" t="n">
        <f aca="false">SUMIF(CAL!B:I,B155,CAL!I:I)+SUMIF(CAL!J:Q,B155,CAL!Q:Q)</f>
        <v>6</v>
      </c>
      <c r="P155" s="19" t="n">
        <f aca="false">Q155+R155</f>
        <v>0</v>
      </c>
      <c r="Q155" s="22" t="n">
        <v>0</v>
      </c>
      <c r="R155" s="22" t="n">
        <v>0</v>
      </c>
      <c r="S155" s="22" t="s">
        <v>5375</v>
      </c>
      <c r="T155" s="22" t="s">
        <v>5600</v>
      </c>
      <c r="U155" s="22" t="s">
        <v>5476</v>
      </c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customFormat="false" ht="12" hidden="false" customHeight="true" outlineLevel="0" collapsed="false">
      <c r="A156" s="31" t="n">
        <v>155</v>
      </c>
      <c r="B156" s="32" t="s">
        <v>230</v>
      </c>
      <c r="C156" s="32" t="s">
        <v>5683</v>
      </c>
      <c r="D156" s="22" t="n">
        <f aca="false">SUMIF(CAL!B:E,B156,CAL!E:E)+SUMIF(CAL!J:M,B156,CAL!M:M)</f>
        <v>7</v>
      </c>
      <c r="E156" s="33" t="n">
        <f aca="false">COUNTIF(CAL!B:J,B156)</f>
        <v>11</v>
      </c>
      <c r="F156" s="22" t="n">
        <f aca="false">SUMIF(CAL!B:F,B156,CAL!F:F)+SUMIF(CAL!J:N,B156,CAL!N:N)</f>
        <v>1</v>
      </c>
      <c r="G156" s="22" t="n">
        <f aca="false">SUMIF(CAL!B:F,B156,CAL!G:G)+SUMIF(CAL!J:N,B156,CAL!O:O)</f>
        <v>4</v>
      </c>
      <c r="H156" s="22" t="n">
        <f aca="false">SUMIF(CAL!B:F,B156,CAL!H:H)+SUMIF(CAL!J:N,B156,CAL!P:P)</f>
        <v>6</v>
      </c>
      <c r="I156" s="34" t="n">
        <f aca="false">IF(E156=0,0,(D156/(E156*3)))</f>
        <v>0.212121212121212</v>
      </c>
      <c r="J156" s="33" t="n">
        <f aca="false">SUMIF(CAL!B:C,B156,CAL!C:C)+SUMIF(CAL!J:J,B156,CAL!D:D)</f>
        <v>4</v>
      </c>
      <c r="K156" s="22" t="n">
        <f aca="false">SUMIF(CAL!B:D,B156,CAL!D:D)+SUMIF(CAL!J:L,B156,CAL!K:K)</f>
        <v>16</v>
      </c>
      <c r="L156" s="22" t="n">
        <f aca="false">J156-K156</f>
        <v>-12</v>
      </c>
      <c r="M156" s="35" t="n">
        <f aca="false">IF(E156=0,0,(J156/E156))</f>
        <v>0.363636363636364</v>
      </c>
      <c r="N156" s="35" t="n">
        <f aca="false">IF(E156=0,0,(K156/E156))</f>
        <v>1.45454545454545</v>
      </c>
      <c r="O156" s="22" t="n">
        <f aca="false">SUMIF(CAL!B:I,B156,CAL!I:I)+SUMIF(CAL!J:Q,B156,CAL!Q:Q)</f>
        <v>3</v>
      </c>
      <c r="P156" s="19" t="n">
        <f aca="false">Q156+R156</f>
        <v>0</v>
      </c>
      <c r="Q156" s="22" t="n">
        <v>0</v>
      </c>
      <c r="R156" s="22" t="n">
        <v>0</v>
      </c>
      <c r="S156" s="22" t="s">
        <v>5440</v>
      </c>
      <c r="T156" s="22" t="s">
        <v>5684</v>
      </c>
      <c r="U156" s="22" t="s">
        <v>5450</v>
      </c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 customFormat="false" ht="12" hidden="false" customHeight="true" outlineLevel="0" collapsed="false">
      <c r="A157" s="31" t="n">
        <v>156</v>
      </c>
      <c r="B157" s="32" t="s">
        <v>59</v>
      </c>
      <c r="C157" s="32" t="s">
        <v>5685</v>
      </c>
      <c r="D157" s="22" t="n">
        <f aca="false">SUMIF(CAL!B:E,B157,CAL!E:E)+SUMIF(CAL!J:M,B157,CAL!M:M)</f>
        <v>30</v>
      </c>
      <c r="E157" s="33" t="n">
        <f aca="false">COUNTIF(CAL!B:J,B157)</f>
        <v>15</v>
      </c>
      <c r="F157" s="22" t="n">
        <f aca="false">SUMIF(CAL!B:F,B157,CAL!F:F)+SUMIF(CAL!J:N,B157,CAL!N:N)</f>
        <v>9</v>
      </c>
      <c r="G157" s="22" t="n">
        <f aca="false">SUMIF(CAL!B:F,B157,CAL!G:G)+SUMIF(CAL!J:N,B157,CAL!O:O)</f>
        <v>3</v>
      </c>
      <c r="H157" s="22" t="n">
        <f aca="false">SUMIF(CAL!B:F,B157,CAL!H:H)+SUMIF(CAL!J:N,B157,CAL!P:P)</f>
        <v>3</v>
      </c>
      <c r="I157" s="34" t="n">
        <f aca="false">IF(E157=0,0,(D157/(E157*3)))</f>
        <v>0.666666666666667</v>
      </c>
      <c r="J157" s="33" t="n">
        <f aca="false">SUMIF(CAL!B:C,B157,CAL!C:C)+SUMIF(CAL!J:J,B157,CAL!D:D)</f>
        <v>29</v>
      </c>
      <c r="K157" s="22" t="n">
        <f aca="false">SUMIF(CAL!B:D,B157,CAL!D:D)+SUMIF(CAL!J:L,B157,CAL!K:K)</f>
        <v>13</v>
      </c>
      <c r="L157" s="22" t="n">
        <f aca="false">J157-K157</f>
        <v>16</v>
      </c>
      <c r="M157" s="35" t="n">
        <f aca="false">IF(E157=0,0,(J157/E157))</f>
        <v>1.93333333333333</v>
      </c>
      <c r="N157" s="35" t="n">
        <f aca="false">IF(E157=0,0,(K157/E157))</f>
        <v>0.866666666666667</v>
      </c>
      <c r="O157" s="22" t="n">
        <f aca="false">SUMIF(CAL!B:I,B157,CAL!I:I)+SUMIF(CAL!J:Q,B157,CAL!Q:Q)</f>
        <v>7</v>
      </c>
      <c r="P157" s="19" t="n">
        <f aca="false">Q157+R157</f>
        <v>0</v>
      </c>
      <c r="Q157" s="22" t="n">
        <v>0</v>
      </c>
      <c r="R157" s="22" t="n">
        <v>0</v>
      </c>
      <c r="S157" s="22" t="s">
        <v>5375</v>
      </c>
      <c r="T157" s="22" t="s">
        <v>5686</v>
      </c>
      <c r="U157" s="22" t="s">
        <v>5616</v>
      </c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customFormat="false" ht="12" hidden="false" customHeight="true" outlineLevel="0" collapsed="false">
      <c r="A158" s="31" t="n">
        <v>157</v>
      </c>
      <c r="B158" s="37" t="s">
        <v>271</v>
      </c>
      <c r="C158" s="37" t="s">
        <v>5687</v>
      </c>
      <c r="D158" s="22" t="n">
        <f aca="false">SUMIF(CAL!B:E,B158,CAL!E:E)+SUMIF(CAL!J:M,B158,CAL!M:M)</f>
        <v>5</v>
      </c>
      <c r="E158" s="33" t="n">
        <f aca="false">COUNTIF(CAL!B:J,B158)</f>
        <v>7</v>
      </c>
      <c r="F158" s="22" t="n">
        <f aca="false">SUMIF(CAL!B:F,B158,CAL!F:F)+SUMIF(CAL!J:N,B158,CAL!N:N)</f>
        <v>1</v>
      </c>
      <c r="G158" s="22" t="n">
        <f aca="false">SUMIF(CAL!B:F,B158,CAL!G:G)+SUMIF(CAL!J:N,B158,CAL!O:O)</f>
        <v>2</v>
      </c>
      <c r="H158" s="22" t="n">
        <f aca="false">SUMIF(CAL!B:F,B158,CAL!H:H)+SUMIF(CAL!J:N,B158,CAL!P:P)</f>
        <v>4</v>
      </c>
      <c r="I158" s="34" t="n">
        <f aca="false">IF(E158=0,0,(D158/(E158*3)))</f>
        <v>0.238095238095238</v>
      </c>
      <c r="J158" s="33" t="n">
        <f aca="false">SUMIF(CAL!B:C,B158,CAL!C:C)+SUMIF(CAL!J:J,B158,CAL!D:D)</f>
        <v>7</v>
      </c>
      <c r="K158" s="22" t="n">
        <f aca="false">SUMIF(CAL!B:D,B158,CAL!D:D)+SUMIF(CAL!J:L,B158,CAL!K:K)</f>
        <v>12</v>
      </c>
      <c r="L158" s="22" t="n">
        <f aca="false">J158-K158</f>
        <v>-5</v>
      </c>
      <c r="M158" s="35" t="n">
        <f aca="false">IF(E158=0,0,(J158/E158))</f>
        <v>1</v>
      </c>
      <c r="N158" s="35" t="n">
        <f aca="false">IF(E158=0,0,(K158/E158))</f>
        <v>1.71428571428571</v>
      </c>
      <c r="O158" s="22" t="n">
        <f aca="false">SUMIF(CAL!B:I,B158,CAL!I:I)+SUMIF(CAL!J:Q,B158,CAL!Q:Q)</f>
        <v>1</v>
      </c>
      <c r="P158" s="19"/>
      <c r="Q158" s="22"/>
      <c r="R158" s="22"/>
      <c r="S158" s="22"/>
      <c r="T158" s="22" t="s">
        <v>5688</v>
      </c>
      <c r="U158" s="22" t="s">
        <v>5518</v>
      </c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 customFormat="false" ht="12" hidden="false" customHeight="true" outlineLevel="0" collapsed="false">
      <c r="A159" s="31" t="n">
        <v>158</v>
      </c>
      <c r="B159" s="32" t="s">
        <v>317</v>
      </c>
      <c r="C159" s="32" t="s">
        <v>5689</v>
      </c>
      <c r="D159" s="22" t="n">
        <f aca="false">SUMIF(CAL!B:E,B159,CAL!E:E)+SUMIF(CAL!J:M,B159,CAL!M:M)</f>
        <v>6</v>
      </c>
      <c r="E159" s="33" t="n">
        <f aca="false">COUNTIF(CAL!B:J,B159)</f>
        <v>8</v>
      </c>
      <c r="F159" s="22" t="n">
        <f aca="false">SUMIF(CAL!B:F,B159,CAL!F:F)+SUMIF(CAL!J:N,B159,CAL!N:N)</f>
        <v>1</v>
      </c>
      <c r="G159" s="22" t="n">
        <f aca="false">SUMIF(CAL!B:F,B159,CAL!G:G)+SUMIF(CAL!J:N,B159,CAL!O:O)</f>
        <v>3</v>
      </c>
      <c r="H159" s="22" t="n">
        <f aca="false">SUMIF(CAL!B:F,B159,CAL!H:H)+SUMIF(CAL!J:N,B159,CAL!P:P)</f>
        <v>4</v>
      </c>
      <c r="I159" s="34" t="n">
        <f aca="false">IF(E159=0,0,(D159/(E159*3)))</f>
        <v>0.25</v>
      </c>
      <c r="J159" s="33" t="n">
        <f aca="false">SUMIF(CAL!B:C,B159,CAL!C:C)+SUMIF(CAL!J:J,B159,CAL!D:D)</f>
        <v>8</v>
      </c>
      <c r="K159" s="22" t="n">
        <f aca="false">SUMIF(CAL!B:D,B159,CAL!D:D)+SUMIF(CAL!J:L,B159,CAL!K:K)</f>
        <v>12</v>
      </c>
      <c r="L159" s="22" t="n">
        <f aca="false">J159-K159</f>
        <v>-4</v>
      </c>
      <c r="M159" s="35" t="n">
        <f aca="false">IF(E159=0,0,(J159/E159))</f>
        <v>1</v>
      </c>
      <c r="N159" s="35" t="n">
        <f aca="false">IF(E159=0,0,(K159/E159))</f>
        <v>1.5</v>
      </c>
      <c r="O159" s="22" t="n">
        <f aca="false">SUMIF(CAL!B:I,B159,CAL!I:I)+SUMIF(CAL!J:Q,B159,CAL!Q:Q)</f>
        <v>0</v>
      </c>
      <c r="P159" s="19"/>
      <c r="Q159" s="22"/>
      <c r="R159" s="22"/>
      <c r="S159" s="22"/>
      <c r="T159" s="22" t="s">
        <v>5690</v>
      </c>
      <c r="U159" s="22" t="s">
        <v>5576</v>
      </c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 customFormat="false" ht="12" hidden="false" customHeight="true" outlineLevel="0" collapsed="false">
      <c r="A160" s="31" t="n">
        <v>159</v>
      </c>
      <c r="B160" s="32" t="s">
        <v>358</v>
      </c>
      <c r="C160" s="32" t="s">
        <v>5691</v>
      </c>
      <c r="D160" s="22" t="n">
        <f aca="false">SUMIF(CAL!B:E,B160,CAL!E:E)+SUMIF(CAL!J:M,B160,CAL!M:M)</f>
        <v>6</v>
      </c>
      <c r="E160" s="33" t="n">
        <f aca="false">COUNTIF(CAL!B:J,B160)</f>
        <v>6</v>
      </c>
      <c r="F160" s="22" t="n">
        <f aca="false">SUMIF(CAL!B:F,B160,CAL!F:F)+SUMIF(CAL!J:N,B160,CAL!N:N)</f>
        <v>1</v>
      </c>
      <c r="G160" s="22" t="n">
        <f aca="false">SUMIF(CAL!B:F,B160,CAL!G:G)+SUMIF(CAL!J:N,B160,CAL!O:O)</f>
        <v>3</v>
      </c>
      <c r="H160" s="22" t="n">
        <f aca="false">SUMIF(CAL!B:F,B160,CAL!H:H)+SUMIF(CAL!J:N,B160,CAL!P:P)</f>
        <v>2</v>
      </c>
      <c r="I160" s="34" t="n">
        <f aca="false">IF(E160=0,0,(D160/(E160*3)))</f>
        <v>0.333333333333333</v>
      </c>
      <c r="J160" s="33" t="n">
        <f aca="false">SUMIF(CAL!B:C,B160,CAL!C:C)+SUMIF(CAL!J:J,B160,CAL!D:D)</f>
        <v>7</v>
      </c>
      <c r="K160" s="22" t="n">
        <f aca="false">SUMIF(CAL!B:D,B160,CAL!D:D)+SUMIF(CAL!J:L,B160,CAL!K:K)</f>
        <v>11</v>
      </c>
      <c r="L160" s="22" t="n">
        <f aca="false">J160-K160</f>
        <v>-4</v>
      </c>
      <c r="M160" s="35" t="n">
        <f aca="false">IF(E160=0,0,(J160/E160))</f>
        <v>1.16666666666667</v>
      </c>
      <c r="N160" s="35" t="n">
        <f aca="false">IF(E160=0,0,(K160/E160))</f>
        <v>1.83333333333333</v>
      </c>
      <c r="O160" s="22" t="n">
        <f aca="false">SUMIF(CAL!B:I,B160,CAL!I:I)+SUMIF(CAL!J:Q,B160,CAL!Q:Q)</f>
        <v>1</v>
      </c>
      <c r="P160" s="19"/>
      <c r="Q160" s="22"/>
      <c r="R160" s="22"/>
      <c r="S160" s="22"/>
      <c r="T160" s="22" t="s">
        <v>1212</v>
      </c>
      <c r="U160" s="22" t="s">
        <v>5447</v>
      </c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 customFormat="false" ht="12" hidden="false" customHeight="true" outlineLevel="0" collapsed="false">
      <c r="A161" s="31" t="n">
        <v>160</v>
      </c>
      <c r="B161" s="32" t="s">
        <v>222</v>
      </c>
      <c r="C161" s="32" t="s">
        <v>5692</v>
      </c>
      <c r="D161" s="22" t="n">
        <f aca="false">SUMIF(CAL!B:E,B161,CAL!E:E)+SUMIF(CAL!J:M,B161,CAL!M:M)</f>
        <v>18</v>
      </c>
      <c r="E161" s="33" t="n">
        <f aca="false">COUNTIF(CAL!B:J,B161)</f>
        <v>14</v>
      </c>
      <c r="F161" s="22" t="n">
        <f aca="false">SUMIF(CAL!B:F,B161,CAL!F:F)+SUMIF(CAL!J:N,B161,CAL!N:N)</f>
        <v>3</v>
      </c>
      <c r="G161" s="22" t="n">
        <f aca="false">SUMIF(CAL!B:F,B161,CAL!G:G)+SUMIF(CAL!J:N,B161,CAL!O:O)</f>
        <v>9</v>
      </c>
      <c r="H161" s="22" t="n">
        <f aca="false">SUMIF(CAL!B:F,B161,CAL!H:H)+SUMIF(CAL!J:N,B161,CAL!P:P)</f>
        <v>2</v>
      </c>
      <c r="I161" s="34" t="n">
        <f aca="false">IF(E161=0,0,(D161/(E161*3)))</f>
        <v>0.428571428571429</v>
      </c>
      <c r="J161" s="33" t="n">
        <f aca="false">SUMIF(CAL!B:C,B161,CAL!C:C)+SUMIF(CAL!J:J,B161,CAL!D:D)</f>
        <v>14</v>
      </c>
      <c r="K161" s="22" t="n">
        <f aca="false">SUMIF(CAL!B:D,B161,CAL!D:D)+SUMIF(CAL!J:L,B161,CAL!K:K)</f>
        <v>12</v>
      </c>
      <c r="L161" s="22" t="n">
        <f aca="false">J161-K161</f>
        <v>2</v>
      </c>
      <c r="M161" s="35" t="n">
        <f aca="false">IF(E161=0,0,(J161/E161))</f>
        <v>1</v>
      </c>
      <c r="N161" s="35" t="n">
        <f aca="false">IF(E161=0,0,(K161/E161))</f>
        <v>0.857142857142857</v>
      </c>
      <c r="O161" s="22" t="n">
        <f aca="false">SUMIF(CAL!B:I,B161,CAL!I:I)+SUMIF(CAL!J:Q,B161,CAL!Q:Q)</f>
        <v>6</v>
      </c>
      <c r="P161" s="19"/>
      <c r="Q161" s="22"/>
      <c r="R161" s="22"/>
      <c r="S161" s="22"/>
      <c r="T161" s="22" t="s">
        <v>5693</v>
      </c>
      <c r="U161" s="22" t="s">
        <v>5407</v>
      </c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 customFormat="false" ht="12" hidden="false" customHeight="true" outlineLevel="0" collapsed="false">
      <c r="A162" s="31" t="n">
        <v>161</v>
      </c>
      <c r="B162" s="32" t="s">
        <v>189</v>
      </c>
      <c r="C162" s="32" t="s">
        <v>5694</v>
      </c>
      <c r="D162" s="22" t="n">
        <f aca="false">SUMIF(CAL!B:E,B162,CAL!E:E)+SUMIF(CAL!J:M,B162,CAL!M:M)</f>
        <v>18</v>
      </c>
      <c r="E162" s="33" t="n">
        <f aca="false">COUNTIF(CAL!B:J,B162)</f>
        <v>12</v>
      </c>
      <c r="F162" s="22" t="n">
        <f aca="false">SUMIF(CAL!B:F,B162,CAL!F:F)+SUMIF(CAL!J:N,B162,CAL!N:N)</f>
        <v>5</v>
      </c>
      <c r="G162" s="22" t="n">
        <f aca="false">SUMIF(CAL!B:F,B162,CAL!G:G)+SUMIF(CAL!J:N,B162,CAL!O:O)</f>
        <v>3</v>
      </c>
      <c r="H162" s="22" t="n">
        <f aca="false">SUMIF(CAL!B:F,B162,CAL!H:H)+SUMIF(CAL!J:N,B162,CAL!P:P)</f>
        <v>4</v>
      </c>
      <c r="I162" s="34" t="n">
        <f aca="false">IF(E162=0,0,(D162/(E162*3)))</f>
        <v>0.5</v>
      </c>
      <c r="J162" s="33" t="n">
        <f aca="false">SUMIF(CAL!B:C,B162,CAL!C:C)+SUMIF(CAL!J:J,B162,CAL!D:D)</f>
        <v>15</v>
      </c>
      <c r="K162" s="22" t="n">
        <f aca="false">SUMIF(CAL!B:D,B162,CAL!D:D)+SUMIF(CAL!J:L,B162,CAL!K:K)</f>
        <v>16</v>
      </c>
      <c r="L162" s="22" t="n">
        <f aca="false">J162-K162</f>
        <v>-1</v>
      </c>
      <c r="M162" s="35" t="n">
        <f aca="false">IF(E162=0,0,(J162/E162))</f>
        <v>1.25</v>
      </c>
      <c r="N162" s="35" t="n">
        <f aca="false">IF(E162=0,0,(K162/E162))</f>
        <v>1.33333333333333</v>
      </c>
      <c r="O162" s="22" t="n">
        <f aca="false">SUMIF(CAL!B:I,B162,CAL!I:I)+SUMIF(CAL!J:Q,B162,CAL!Q:Q)</f>
        <v>3</v>
      </c>
      <c r="P162" s="19"/>
      <c r="Q162" s="22"/>
      <c r="R162" s="22"/>
      <c r="S162" s="22"/>
      <c r="T162" s="22" t="s">
        <v>5544</v>
      </c>
      <c r="U162" s="22" t="s">
        <v>5414</v>
      </c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customFormat="false" ht="12" hidden="false" customHeight="true" outlineLevel="0" collapsed="false">
      <c r="A163" s="31" t="n">
        <v>162</v>
      </c>
      <c r="B163" s="32" t="s">
        <v>66</v>
      </c>
      <c r="C163" s="32" t="s">
        <v>5695</v>
      </c>
      <c r="D163" s="22" t="n">
        <f aca="false">SUMIF(CAL!B:E,B163,CAL!E:E)+SUMIF(CAL!J:M,B163,CAL!M:M)</f>
        <v>4</v>
      </c>
      <c r="E163" s="33" t="n">
        <f aca="false">COUNTIF(CAL!B:J,B163)</f>
        <v>8</v>
      </c>
      <c r="F163" s="22" t="n">
        <f aca="false">SUMIF(CAL!B:F,B163,CAL!F:F)+SUMIF(CAL!J:N,B163,CAL!N:N)</f>
        <v>1</v>
      </c>
      <c r="G163" s="22" t="n">
        <f aca="false">SUMIF(CAL!B:F,B163,CAL!G:G)+SUMIF(CAL!J:N,B163,CAL!O:O)</f>
        <v>1</v>
      </c>
      <c r="H163" s="22" t="n">
        <f aca="false">SUMIF(CAL!B:F,B163,CAL!H:H)+SUMIF(CAL!J:N,B163,CAL!P:P)</f>
        <v>6</v>
      </c>
      <c r="I163" s="34" t="n">
        <f aca="false">IF(E163=0,0,(D163/(E163*3)))</f>
        <v>0.166666666666667</v>
      </c>
      <c r="J163" s="33" t="n">
        <f aca="false">SUMIF(CAL!B:C,B163,CAL!C:C)+SUMIF(CAL!J:J,B163,CAL!D:D)</f>
        <v>7</v>
      </c>
      <c r="K163" s="22" t="n">
        <f aca="false">SUMIF(CAL!B:D,B163,CAL!D:D)+SUMIF(CAL!J:L,B163,CAL!K:K)</f>
        <v>16</v>
      </c>
      <c r="L163" s="22" t="n">
        <f aca="false">J163-K163</f>
        <v>-9</v>
      </c>
      <c r="M163" s="35" t="n">
        <f aca="false">IF(E163=0,0,(J163/E163))</f>
        <v>0.875</v>
      </c>
      <c r="N163" s="35" t="n">
        <f aca="false">IF(E163=0,0,(K163/E163))</f>
        <v>2</v>
      </c>
      <c r="O163" s="22" t="n">
        <f aca="false">SUMIF(CAL!B:I,B163,CAL!I:I)+SUMIF(CAL!J:Q,B163,CAL!Q:Q)</f>
        <v>1</v>
      </c>
      <c r="P163" s="19"/>
      <c r="Q163" s="22"/>
      <c r="R163" s="22"/>
      <c r="S163" s="22"/>
      <c r="T163" s="22" t="s">
        <v>5696</v>
      </c>
      <c r="U163" s="22" t="s">
        <v>5434</v>
      </c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customFormat="false" ht="12" hidden="false" customHeight="true" outlineLevel="0" collapsed="false">
      <c r="A164" s="31" t="n">
        <v>163</v>
      </c>
      <c r="B164" s="32" t="s">
        <v>315</v>
      </c>
      <c r="C164" s="32" t="s">
        <v>5697</v>
      </c>
      <c r="D164" s="22" t="n">
        <f aca="false">SUMIF(CAL!B:E,B164,CAL!E:E)+SUMIF(CAL!J:M,B164,CAL!M:M)</f>
        <v>7</v>
      </c>
      <c r="E164" s="33" t="n">
        <f aca="false">COUNTIF(CAL!B:J,B164)</f>
        <v>8</v>
      </c>
      <c r="F164" s="22" t="n">
        <f aca="false">SUMIF(CAL!B:F,B164,CAL!F:F)+SUMIF(CAL!J:N,B164,CAL!N:N)</f>
        <v>1</v>
      </c>
      <c r="G164" s="22" t="n">
        <f aca="false">SUMIF(CAL!B:F,B164,CAL!G:G)+SUMIF(CAL!J:N,B164,CAL!O:O)</f>
        <v>4</v>
      </c>
      <c r="H164" s="22" t="n">
        <f aca="false">SUMIF(CAL!B:F,B164,CAL!H:H)+SUMIF(CAL!J:N,B164,CAL!P:P)</f>
        <v>3</v>
      </c>
      <c r="I164" s="34" t="n">
        <f aca="false">IF(E164=0,0,(D164/(E164*3)))</f>
        <v>0.291666666666667</v>
      </c>
      <c r="J164" s="33" t="n">
        <f aca="false">SUMIF(CAL!B:C,B164,CAL!C:C)+SUMIF(CAL!J:J,B164,CAL!D:D)</f>
        <v>10</v>
      </c>
      <c r="K164" s="22" t="n">
        <f aca="false">SUMIF(CAL!B:D,B164,CAL!D:D)+SUMIF(CAL!J:L,B164,CAL!K:K)</f>
        <v>13</v>
      </c>
      <c r="L164" s="22" t="n">
        <f aca="false">J164-K164</f>
        <v>-3</v>
      </c>
      <c r="M164" s="35" t="n">
        <f aca="false">IF(E164=0,0,(J164/E164))</f>
        <v>1.25</v>
      </c>
      <c r="N164" s="35" t="n">
        <f aca="false">IF(E164=0,0,(K164/E164))</f>
        <v>1.625</v>
      </c>
      <c r="O164" s="22" t="n">
        <f aca="false">SUMIF(CAL!B:I,B164,CAL!I:I)+SUMIF(CAL!J:Q,B164,CAL!Q:Q)</f>
        <v>0</v>
      </c>
      <c r="P164" s="19"/>
      <c r="Q164" s="22"/>
      <c r="R164" s="22"/>
      <c r="S164" s="22"/>
      <c r="T164" s="22" t="s">
        <v>5698</v>
      </c>
      <c r="U164" s="22" t="s">
        <v>5576</v>
      </c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customFormat="false" ht="12" hidden="false" customHeight="true" outlineLevel="0" collapsed="false">
      <c r="A165" s="31" t="n">
        <v>164</v>
      </c>
      <c r="B165" s="32" t="s">
        <v>374</v>
      </c>
      <c r="C165" s="32" t="s">
        <v>5699</v>
      </c>
      <c r="D165" s="22" t="n">
        <f aca="false">SUMIF(CAL!B:E,B165,CAL!E:E)+SUMIF(CAL!J:M,B165,CAL!M:M)</f>
        <v>5</v>
      </c>
      <c r="E165" s="33" t="n">
        <f aca="false">COUNTIF(CAL!B:J,B165)</f>
        <v>15</v>
      </c>
      <c r="F165" s="22" t="n">
        <f aca="false">SUMIF(CAL!B:F,B165,CAL!F:F)+SUMIF(CAL!J:N,B165,CAL!N:N)</f>
        <v>1</v>
      </c>
      <c r="G165" s="22" t="n">
        <f aca="false">SUMIF(CAL!B:F,B165,CAL!G:G)+SUMIF(CAL!J:N,B165,CAL!O:O)</f>
        <v>2</v>
      </c>
      <c r="H165" s="22" t="n">
        <f aca="false">SUMIF(CAL!B:F,B165,CAL!H:H)+SUMIF(CAL!J:N,B165,CAL!P:P)</f>
        <v>12</v>
      </c>
      <c r="I165" s="34" t="n">
        <f aca="false">IF(E165=0,0,(D165/(E165*3)))</f>
        <v>0.111111111111111</v>
      </c>
      <c r="J165" s="33" t="n">
        <f aca="false">SUMIF(CAL!B:C,B165,CAL!C:C)+SUMIF(CAL!J:J,B165,CAL!D:D)</f>
        <v>6</v>
      </c>
      <c r="K165" s="22" t="n">
        <f aca="false">SUMIF(CAL!B:D,B165,CAL!D:D)+SUMIF(CAL!J:L,B165,CAL!K:K)</f>
        <v>37</v>
      </c>
      <c r="L165" s="22" t="n">
        <f aca="false">J165-K165</f>
        <v>-31</v>
      </c>
      <c r="M165" s="35" t="n">
        <f aca="false">IF(E165=0,0,(J165/E165))</f>
        <v>0.4</v>
      </c>
      <c r="N165" s="35" t="n">
        <f aca="false">IF(E165=0,0,(K165/E165))</f>
        <v>2.46666666666667</v>
      </c>
      <c r="O165" s="22" t="n">
        <f aca="false">SUMIF(CAL!B:I,B165,CAL!I:I)+SUMIF(CAL!J:Q,B165,CAL!Q:Q)</f>
        <v>3</v>
      </c>
      <c r="P165" s="19"/>
      <c r="Q165" s="22"/>
      <c r="R165" s="22"/>
      <c r="S165" s="22"/>
      <c r="T165" s="22" t="s">
        <v>5700</v>
      </c>
      <c r="U165" s="22" t="s">
        <v>5450</v>
      </c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customFormat="false" ht="12" hidden="false" customHeight="true" outlineLevel="0" collapsed="false">
      <c r="A166" s="31" t="n">
        <v>165</v>
      </c>
      <c r="B166" s="37" t="s">
        <v>413</v>
      </c>
      <c r="C166" s="37" t="s">
        <v>5701</v>
      </c>
      <c r="D166" s="22" t="n">
        <f aca="false">SUMIF(CAL!B:E,B166,CAL!E:E)+SUMIF(CAL!J:M,B166,CAL!M:M)</f>
        <v>6</v>
      </c>
      <c r="E166" s="33" t="n">
        <f aca="false">COUNTIF(CAL!B:J,B166)</f>
        <v>6</v>
      </c>
      <c r="F166" s="22" t="n">
        <f aca="false">SUMIF(CAL!B:F,B166,CAL!F:F)+SUMIF(CAL!J:N,B166,CAL!N:N)</f>
        <v>1</v>
      </c>
      <c r="G166" s="22" t="n">
        <f aca="false">SUMIF(CAL!B:F,B166,CAL!G:G)+SUMIF(CAL!J:N,B166,CAL!O:O)</f>
        <v>3</v>
      </c>
      <c r="H166" s="22" t="n">
        <f aca="false">SUMIF(CAL!B:F,B166,CAL!H:H)+SUMIF(CAL!J:N,B166,CAL!P:P)</f>
        <v>2</v>
      </c>
      <c r="I166" s="34" t="n">
        <f aca="false">IF(E166=0,0,(D166/(E166*3)))</f>
        <v>0.333333333333333</v>
      </c>
      <c r="J166" s="33" t="n">
        <f aca="false">SUMIF(CAL!B:C,B166,CAL!C:C)+SUMIF(CAL!J:J,B166,CAL!D:D)</f>
        <v>11</v>
      </c>
      <c r="K166" s="22" t="n">
        <f aca="false">SUMIF(CAL!B:D,B166,CAL!D:D)+SUMIF(CAL!J:L,B166,CAL!K:K)</f>
        <v>13</v>
      </c>
      <c r="L166" s="22" t="n">
        <f aca="false">J166-K166</f>
        <v>-2</v>
      </c>
      <c r="M166" s="35" t="n">
        <f aca="false">IF(E166=0,0,(J166/E166))</f>
        <v>1.83333333333333</v>
      </c>
      <c r="N166" s="35" t="n">
        <f aca="false">IF(E166=0,0,(K166/E166))</f>
        <v>2.16666666666667</v>
      </c>
      <c r="O166" s="22" t="n">
        <f aca="false">SUMIF(CAL!B:I,B166,CAL!I:I)+SUMIF(CAL!J:Q,B166,CAL!Q:Q)</f>
        <v>0</v>
      </c>
      <c r="P166" s="19"/>
      <c r="Q166" s="22"/>
      <c r="R166" s="22"/>
      <c r="S166" s="22"/>
      <c r="T166" s="22" t="s">
        <v>5702</v>
      </c>
      <c r="U166" s="22" t="s">
        <v>5434</v>
      </c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customFormat="false" ht="12" hidden="false" customHeight="true" outlineLevel="0" collapsed="false">
      <c r="A167" s="31" t="n">
        <v>166</v>
      </c>
      <c r="B167" s="32" t="s">
        <v>95</v>
      </c>
      <c r="C167" s="32" t="s">
        <v>5703</v>
      </c>
      <c r="D167" s="22" t="n">
        <f aca="false">SUMIF(CAL!B:E,B167,CAL!E:E)+SUMIF(CAL!J:M,B167,CAL!M:M)</f>
        <v>3</v>
      </c>
      <c r="E167" s="33" t="n">
        <f aca="false">COUNTIF(CAL!B:J,B167)</f>
        <v>9</v>
      </c>
      <c r="F167" s="22" t="n">
        <f aca="false">SUMIF(CAL!B:F,B167,CAL!F:F)+SUMIF(CAL!J:N,B167,CAL!N:N)</f>
        <v>1</v>
      </c>
      <c r="G167" s="22" t="n">
        <f aca="false">SUMIF(CAL!B:F,B167,CAL!G:G)+SUMIF(CAL!J:N,B167,CAL!O:O)</f>
        <v>0</v>
      </c>
      <c r="H167" s="22" t="n">
        <f aca="false">SUMIF(CAL!B:F,B167,CAL!H:H)+SUMIF(CAL!J:N,B167,CAL!P:P)</f>
        <v>8</v>
      </c>
      <c r="I167" s="34" t="n">
        <f aca="false">IF(E167=0,0,(D167/(E167*3)))</f>
        <v>0.111111111111111</v>
      </c>
      <c r="J167" s="33" t="n">
        <f aca="false">SUMIF(CAL!B:C,B167,CAL!C:C)+SUMIF(CAL!J:J,B167,CAL!D:D)</f>
        <v>3</v>
      </c>
      <c r="K167" s="22" t="n">
        <f aca="false">SUMIF(CAL!B:D,B167,CAL!D:D)+SUMIF(CAL!J:L,B167,CAL!K:K)</f>
        <v>20</v>
      </c>
      <c r="L167" s="22" t="n">
        <f aca="false">J167-K167</f>
        <v>-17</v>
      </c>
      <c r="M167" s="35" t="n">
        <f aca="false">IF(E167=0,0,(J167/E167))</f>
        <v>0.333333333333333</v>
      </c>
      <c r="N167" s="35" t="n">
        <f aca="false">IF(E167=0,0,(K167/E167))</f>
        <v>2.22222222222222</v>
      </c>
      <c r="O167" s="22" t="n">
        <f aca="false">SUMIF(CAL!B:I,B167,CAL!I:I)+SUMIF(CAL!J:Q,B167,CAL!Q:Q)</f>
        <v>1</v>
      </c>
      <c r="P167" s="19"/>
      <c r="Q167" s="22"/>
      <c r="R167" s="22"/>
      <c r="S167" s="22"/>
      <c r="T167" s="22" t="s">
        <v>5704</v>
      </c>
      <c r="U167" s="22" t="s">
        <v>5471</v>
      </c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customFormat="false" ht="12" hidden="false" customHeight="true" outlineLevel="0" collapsed="false">
      <c r="A168" s="31" t="n">
        <v>167</v>
      </c>
      <c r="B168" s="32" t="s">
        <v>278</v>
      </c>
      <c r="C168" s="32" t="s">
        <v>5705</v>
      </c>
      <c r="D168" s="22" t="n">
        <f aca="false">SUMIF(CAL!B:E,B168,CAL!E:E)+SUMIF(CAL!J:M,B168,CAL!M:M)</f>
        <v>10</v>
      </c>
      <c r="E168" s="33" t="n">
        <f aca="false">COUNTIF(CAL!B:J,B168)</f>
        <v>9</v>
      </c>
      <c r="F168" s="22" t="n">
        <f aca="false">SUMIF(CAL!B:F,B168,CAL!F:F)+SUMIF(CAL!J:N,B168,CAL!N:N)</f>
        <v>3</v>
      </c>
      <c r="G168" s="22" t="n">
        <f aca="false">SUMIF(CAL!B:F,B168,CAL!G:G)+SUMIF(CAL!J:N,B168,CAL!O:O)</f>
        <v>1</v>
      </c>
      <c r="H168" s="22" t="n">
        <f aca="false">SUMIF(CAL!B:F,B168,CAL!H:H)+SUMIF(CAL!J:N,B168,CAL!P:P)</f>
        <v>5</v>
      </c>
      <c r="I168" s="34" t="n">
        <f aca="false">IF(E168=0,0,(D168/(E168*3)))</f>
        <v>0.37037037037037</v>
      </c>
      <c r="J168" s="33" t="n">
        <f aca="false">SUMIF(CAL!B:C,B168,CAL!C:C)+SUMIF(CAL!J:J,B168,CAL!D:D)</f>
        <v>6</v>
      </c>
      <c r="K168" s="22" t="n">
        <f aca="false">SUMIF(CAL!B:D,B168,CAL!D:D)+SUMIF(CAL!J:L,B168,CAL!K:K)</f>
        <v>11</v>
      </c>
      <c r="L168" s="22" t="n">
        <f aca="false">J168-K168</f>
        <v>-5</v>
      </c>
      <c r="M168" s="35" t="n">
        <f aca="false">IF(E168=0,0,(J168/E168))</f>
        <v>0.666666666666667</v>
      </c>
      <c r="N168" s="35" t="n">
        <f aca="false">IF(E168=0,0,(K168/E168))</f>
        <v>1.22222222222222</v>
      </c>
      <c r="O168" s="22" t="n">
        <f aca="false">SUMIF(CAL!B:I,B168,CAL!I:I)+SUMIF(CAL!J:Q,B168,CAL!Q:Q)</f>
        <v>2</v>
      </c>
      <c r="P168" s="19"/>
      <c r="Q168" s="22"/>
      <c r="R168" s="22"/>
      <c r="S168" s="22"/>
      <c r="T168" s="22" t="s">
        <v>5706</v>
      </c>
      <c r="U168" s="22" t="s">
        <v>5400</v>
      </c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customFormat="false" ht="12" hidden="false" customHeight="true" outlineLevel="0" collapsed="false">
      <c r="A169" s="31" t="n">
        <v>168</v>
      </c>
      <c r="B169" s="32" t="s">
        <v>204</v>
      </c>
      <c r="C169" s="32" t="s">
        <v>5707</v>
      </c>
      <c r="D169" s="22" t="n">
        <f aca="false">SUMIF(CAL!B:E,B169,CAL!E:E)+SUMIF(CAL!J:M,B169,CAL!M:M)</f>
        <v>21</v>
      </c>
      <c r="E169" s="33" t="n">
        <f aca="false">COUNTIF(CAL!B:J,B169)</f>
        <v>11</v>
      </c>
      <c r="F169" s="22" t="n">
        <f aca="false">SUMIF(CAL!B:F,B169,CAL!F:F)+SUMIF(CAL!J:N,B169,CAL!N:N)</f>
        <v>6</v>
      </c>
      <c r="G169" s="22" t="n">
        <f aca="false">SUMIF(CAL!B:F,B169,CAL!G:G)+SUMIF(CAL!J:N,B169,CAL!O:O)</f>
        <v>3</v>
      </c>
      <c r="H169" s="22" t="n">
        <f aca="false">SUMIF(CAL!B:F,B169,CAL!H:H)+SUMIF(CAL!J:N,B169,CAL!P:P)</f>
        <v>2</v>
      </c>
      <c r="I169" s="34" t="n">
        <f aca="false">IF(E169=0,0,(D169/(E169*3)))</f>
        <v>0.636363636363636</v>
      </c>
      <c r="J169" s="33" t="n">
        <f aca="false">SUMIF(CAL!B:C,B169,CAL!C:C)+SUMIF(CAL!J:J,B169,CAL!D:D)</f>
        <v>17</v>
      </c>
      <c r="K169" s="22" t="n">
        <f aca="false">SUMIF(CAL!B:D,B169,CAL!D:D)+SUMIF(CAL!J:L,B169,CAL!K:K)</f>
        <v>7</v>
      </c>
      <c r="L169" s="22" t="n">
        <f aca="false">J169-K169</f>
        <v>10</v>
      </c>
      <c r="M169" s="35" t="n">
        <f aca="false">IF(E169=0,0,(J169/E169))</f>
        <v>1.54545454545455</v>
      </c>
      <c r="N169" s="35" t="n">
        <f aca="false">IF(E169=0,0,(K169/E169))</f>
        <v>0.636363636363636</v>
      </c>
      <c r="O169" s="22" t="n">
        <f aca="false">SUMIF(CAL!B:I,B169,CAL!I:I)+SUMIF(CAL!J:Q,B169,CAL!Q:Q)</f>
        <v>5</v>
      </c>
      <c r="P169" s="19"/>
      <c r="Q169" s="22"/>
      <c r="R169" s="22"/>
      <c r="S169" s="22"/>
      <c r="T169" s="22" t="s">
        <v>5460</v>
      </c>
      <c r="U169" s="22" t="s">
        <v>5391</v>
      </c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customFormat="false" ht="12" hidden="false" customHeight="true" outlineLevel="0" collapsed="false">
      <c r="A170" s="31" t="n">
        <v>169</v>
      </c>
      <c r="B170" s="32" t="s">
        <v>364</v>
      </c>
      <c r="C170" s="32" t="s">
        <v>5708</v>
      </c>
      <c r="D170" s="22" t="n">
        <f aca="false">SUMIF(CAL!B:E,B170,CAL!E:E)+SUMIF(CAL!J:M,B170,CAL!M:M)</f>
        <v>1</v>
      </c>
      <c r="E170" s="33" t="n">
        <f aca="false">COUNTIF(CAL!B:J,B170)</f>
        <v>8</v>
      </c>
      <c r="F170" s="22" t="n">
        <f aca="false">SUMIF(CAL!B:F,B170,CAL!F:F)+SUMIF(CAL!J:N,B170,CAL!N:N)</f>
        <v>0</v>
      </c>
      <c r="G170" s="22" t="n">
        <f aca="false">SUMIF(CAL!B:F,B170,CAL!G:G)+SUMIF(CAL!J:N,B170,CAL!O:O)</f>
        <v>1</v>
      </c>
      <c r="H170" s="22" t="n">
        <f aca="false">SUMIF(CAL!B:F,B170,CAL!H:H)+SUMIF(CAL!J:N,B170,CAL!P:P)</f>
        <v>7</v>
      </c>
      <c r="I170" s="34" t="n">
        <f aca="false">IF(E170=0,0,(D170/(E170*3)))</f>
        <v>0.0416666666666667</v>
      </c>
      <c r="J170" s="33" t="n">
        <f aca="false">SUMIF(CAL!B:C,B170,CAL!C:C)+SUMIF(CAL!J:J,B170,CAL!D:D)</f>
        <v>5</v>
      </c>
      <c r="K170" s="22" t="n">
        <f aca="false">SUMIF(CAL!B:D,B170,CAL!D:D)+SUMIF(CAL!J:L,B170,CAL!K:K)</f>
        <v>34</v>
      </c>
      <c r="L170" s="22" t="n">
        <f aca="false">J170-K170</f>
        <v>-29</v>
      </c>
      <c r="M170" s="35" t="n">
        <f aca="false">IF(E170=0,0,(J170/E170))</f>
        <v>0.625</v>
      </c>
      <c r="N170" s="35" t="n">
        <f aca="false">IF(E170=0,0,(K170/E170))</f>
        <v>4.25</v>
      </c>
      <c r="O170" s="22" t="n">
        <f aca="false">SUMIF(CAL!B:I,B170,CAL!I:I)+SUMIF(CAL!J:Q,B170,CAL!Q:Q)</f>
        <v>1</v>
      </c>
      <c r="P170" s="19"/>
      <c r="Q170" s="22"/>
      <c r="R170" s="22"/>
      <c r="S170" s="22"/>
      <c r="T170" s="22" t="s">
        <v>5416</v>
      </c>
      <c r="U170" s="22" t="s">
        <v>5417</v>
      </c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customFormat="false" ht="12" hidden="false" customHeight="true" outlineLevel="0" collapsed="false">
      <c r="A171" s="31" t="n">
        <v>170</v>
      </c>
      <c r="B171" s="32" t="s">
        <v>148</v>
      </c>
      <c r="C171" s="32" t="s">
        <v>5709</v>
      </c>
      <c r="D171" s="22" t="n">
        <f aca="false">SUMIF(CAL!B:E,B171,CAL!E:E)+SUMIF(CAL!J:M,B171,CAL!M:M)</f>
        <v>13</v>
      </c>
      <c r="E171" s="33" t="n">
        <f aca="false">COUNTIF(CAL!B:J,B171)</f>
        <v>12</v>
      </c>
      <c r="F171" s="22" t="n">
        <f aca="false">SUMIF(CAL!B:F,B171,CAL!F:F)+SUMIF(CAL!J:N,B171,CAL!N:N)</f>
        <v>2</v>
      </c>
      <c r="G171" s="22" t="n">
        <f aca="false">SUMIF(CAL!B:F,B171,CAL!G:G)+SUMIF(CAL!J:N,B171,CAL!O:O)</f>
        <v>7</v>
      </c>
      <c r="H171" s="22" t="n">
        <f aca="false">SUMIF(CAL!B:F,B171,CAL!H:H)+SUMIF(CAL!J:N,B171,CAL!P:P)</f>
        <v>3</v>
      </c>
      <c r="I171" s="34" t="n">
        <f aca="false">IF(E171=0,0,(D171/(E171*3)))</f>
        <v>0.361111111111111</v>
      </c>
      <c r="J171" s="33" t="n">
        <f aca="false">SUMIF(CAL!B:C,B171,CAL!C:C)+SUMIF(CAL!J:J,B171,CAL!D:D)</f>
        <v>10</v>
      </c>
      <c r="K171" s="22" t="n">
        <f aca="false">SUMIF(CAL!B:D,B171,CAL!D:D)+SUMIF(CAL!J:L,B171,CAL!K:K)</f>
        <v>14</v>
      </c>
      <c r="L171" s="22" t="n">
        <f aca="false">J171-K171</f>
        <v>-4</v>
      </c>
      <c r="M171" s="35" t="n">
        <f aca="false">IF(E171=0,0,(J171/E171))</f>
        <v>0.833333333333333</v>
      </c>
      <c r="N171" s="35" t="n">
        <f aca="false">IF(E171=0,0,(K171/E171))</f>
        <v>1.16666666666667</v>
      </c>
      <c r="O171" s="22" t="n">
        <f aca="false">SUMIF(CAL!B:I,B171,CAL!I:I)+SUMIF(CAL!J:Q,B171,CAL!Q:Q)</f>
        <v>3</v>
      </c>
      <c r="P171" s="19"/>
      <c r="Q171" s="22"/>
      <c r="R171" s="22"/>
      <c r="S171" s="22"/>
      <c r="T171" s="22" t="s">
        <v>5710</v>
      </c>
      <c r="U171" s="22" t="s">
        <v>5423</v>
      </c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customFormat="false" ht="12" hidden="false" customHeight="true" outlineLevel="0" collapsed="false">
      <c r="A172" s="31" t="n">
        <v>171</v>
      </c>
      <c r="B172" s="32" t="s">
        <v>179</v>
      </c>
      <c r="C172" s="32" t="s">
        <v>5711</v>
      </c>
      <c r="D172" s="22" t="n">
        <f aca="false">SUMIF(CAL!B:E,B172,CAL!E:E)+SUMIF(CAL!J:M,B172,CAL!M:M)</f>
        <v>9</v>
      </c>
      <c r="E172" s="33" t="n">
        <f aca="false">COUNTIF(CAL!B:J,B172)</f>
        <v>9</v>
      </c>
      <c r="F172" s="22" t="n">
        <f aca="false">SUMIF(CAL!B:F,B172,CAL!F:F)+SUMIF(CAL!J:N,B172,CAL!N:N)</f>
        <v>2</v>
      </c>
      <c r="G172" s="22" t="n">
        <f aca="false">SUMIF(CAL!B:F,B172,CAL!G:G)+SUMIF(CAL!J:N,B172,CAL!O:O)</f>
        <v>3</v>
      </c>
      <c r="H172" s="22" t="n">
        <f aca="false">SUMIF(CAL!B:F,B172,CAL!H:H)+SUMIF(CAL!J:N,B172,CAL!P:P)</f>
        <v>4</v>
      </c>
      <c r="I172" s="34" t="n">
        <f aca="false">IF(E172=0,0,(D172/(E172*3)))</f>
        <v>0.333333333333333</v>
      </c>
      <c r="J172" s="33" t="n">
        <f aca="false">SUMIF(CAL!B:C,B172,CAL!C:C)+SUMIF(CAL!J:J,B172,CAL!D:D)</f>
        <v>11</v>
      </c>
      <c r="K172" s="22" t="n">
        <f aca="false">SUMIF(CAL!B:D,B172,CAL!D:D)+SUMIF(CAL!J:L,B172,CAL!K:K)</f>
        <v>12</v>
      </c>
      <c r="L172" s="22" t="n">
        <f aca="false">J172-K172</f>
        <v>-1</v>
      </c>
      <c r="M172" s="35" t="n">
        <f aca="false">IF(E172=0,0,(J172/E172))</f>
        <v>1.22222222222222</v>
      </c>
      <c r="N172" s="35" t="n">
        <f aca="false">IF(E172=0,0,(K172/E172))</f>
        <v>1.33333333333333</v>
      </c>
      <c r="O172" s="22" t="n">
        <f aca="false">SUMIF(CAL!B:I,B172,CAL!I:I)+SUMIF(CAL!J:Q,B172,CAL!Q:Q)</f>
        <v>2</v>
      </c>
      <c r="P172" s="19"/>
      <c r="Q172" s="22"/>
      <c r="R172" s="22"/>
      <c r="S172" s="22"/>
      <c r="T172" s="22" t="s">
        <v>5712</v>
      </c>
      <c r="U172" s="22" t="s">
        <v>5458</v>
      </c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customFormat="false" ht="12" hidden="false" customHeight="true" outlineLevel="0" collapsed="false">
      <c r="A173" s="31" t="n">
        <v>172</v>
      </c>
      <c r="B173" s="32" t="s">
        <v>338</v>
      </c>
      <c r="C173" s="32" t="s">
        <v>5713</v>
      </c>
      <c r="D173" s="22" t="n">
        <f aca="false">SUMIF(CAL!B:E,B173,CAL!E:E)+SUMIF(CAL!J:M,B173,CAL!M:M)</f>
        <v>18</v>
      </c>
      <c r="E173" s="33" t="n">
        <f aca="false">COUNTIF(CAL!B:J,B173)</f>
        <v>15</v>
      </c>
      <c r="F173" s="22" t="n">
        <f aca="false">SUMIF(CAL!B:F,B173,CAL!F:F)+SUMIF(CAL!J:N,B173,CAL!N:N)</f>
        <v>4</v>
      </c>
      <c r="G173" s="22" t="n">
        <f aca="false">SUMIF(CAL!B:F,B173,CAL!G:G)+SUMIF(CAL!J:N,B173,CAL!O:O)</f>
        <v>6</v>
      </c>
      <c r="H173" s="22" t="n">
        <f aca="false">SUMIF(CAL!B:F,B173,CAL!H:H)+SUMIF(CAL!J:N,B173,CAL!P:P)</f>
        <v>5</v>
      </c>
      <c r="I173" s="34" t="n">
        <f aca="false">IF(E173=0,0,(D173/(E173*3)))</f>
        <v>0.4</v>
      </c>
      <c r="J173" s="33" t="n">
        <f aca="false">SUMIF(CAL!B:C,B173,CAL!C:C)+SUMIF(CAL!J:J,B173,CAL!D:D)</f>
        <v>15</v>
      </c>
      <c r="K173" s="22" t="n">
        <f aca="false">SUMIF(CAL!B:D,B173,CAL!D:D)+SUMIF(CAL!J:L,B173,CAL!K:K)</f>
        <v>19</v>
      </c>
      <c r="L173" s="22" t="n">
        <f aca="false">J173-K173</f>
        <v>-4</v>
      </c>
      <c r="M173" s="35" t="n">
        <f aca="false">IF(E173=0,0,(J173/E173))</f>
        <v>1</v>
      </c>
      <c r="N173" s="35" t="n">
        <f aca="false">IF(E173=0,0,(K173/E173))</f>
        <v>1.26666666666667</v>
      </c>
      <c r="O173" s="22" t="n">
        <f aca="false">SUMIF(CAL!B:I,B173,CAL!I:I)+SUMIF(CAL!J:Q,B173,CAL!Q:Q)</f>
        <v>6</v>
      </c>
      <c r="P173" s="19"/>
      <c r="Q173" s="22"/>
      <c r="R173" s="22"/>
      <c r="S173" s="22"/>
      <c r="T173" s="22" t="s">
        <v>5714</v>
      </c>
      <c r="U173" s="22" t="s">
        <v>5450</v>
      </c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customFormat="false" ht="12" hidden="false" customHeight="true" outlineLevel="0" collapsed="false">
      <c r="A174" s="31" t="n">
        <v>173</v>
      </c>
      <c r="B174" s="32" t="s">
        <v>257</v>
      </c>
      <c r="C174" s="32" t="s">
        <v>5715</v>
      </c>
      <c r="D174" s="22" t="n">
        <f aca="false">SUMIF(CAL!B:E,B174,CAL!E:E)+SUMIF(CAL!J:M,B174,CAL!M:M)</f>
        <v>14</v>
      </c>
      <c r="E174" s="33" t="n">
        <f aca="false">COUNTIF(CAL!B:J,B174)</f>
        <v>10</v>
      </c>
      <c r="F174" s="22" t="n">
        <f aca="false">SUMIF(CAL!B:F,B174,CAL!F:F)+SUMIF(CAL!J:N,B174,CAL!N:N)</f>
        <v>4</v>
      </c>
      <c r="G174" s="22" t="n">
        <f aca="false">SUMIF(CAL!B:F,B174,CAL!G:G)+SUMIF(CAL!J:N,B174,CAL!O:O)</f>
        <v>2</v>
      </c>
      <c r="H174" s="22" t="n">
        <f aca="false">SUMIF(CAL!B:F,B174,CAL!H:H)+SUMIF(CAL!J:N,B174,CAL!P:P)</f>
        <v>4</v>
      </c>
      <c r="I174" s="34" t="n">
        <f aca="false">IF(E174=0,0,(D174/(E174*3)))</f>
        <v>0.466666666666667</v>
      </c>
      <c r="J174" s="33" t="n">
        <f aca="false">SUMIF(CAL!B:C,B174,CAL!C:C)+SUMIF(CAL!J:J,B174,CAL!D:D)</f>
        <v>11</v>
      </c>
      <c r="K174" s="22" t="n">
        <f aca="false">SUMIF(CAL!B:D,B174,CAL!D:D)+SUMIF(CAL!J:L,B174,CAL!K:K)</f>
        <v>14</v>
      </c>
      <c r="L174" s="22" t="n">
        <f aca="false">J174-K174</f>
        <v>-3</v>
      </c>
      <c r="M174" s="35" t="n">
        <f aca="false">IF(E174=0,0,(J174/E174))</f>
        <v>1.1</v>
      </c>
      <c r="N174" s="35" t="n">
        <f aca="false">IF(E174=0,0,(K174/E174))</f>
        <v>1.4</v>
      </c>
      <c r="O174" s="22" t="n">
        <f aca="false">SUMIF(CAL!B:I,B174,CAL!I:I)+SUMIF(CAL!J:Q,B174,CAL!Q:Q)</f>
        <v>1</v>
      </c>
      <c r="P174" s="19"/>
      <c r="Q174" s="22"/>
      <c r="R174" s="22"/>
      <c r="S174" s="22"/>
      <c r="T174" s="22" t="s">
        <v>5396</v>
      </c>
      <c r="U174" s="22" t="s">
        <v>5397</v>
      </c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customFormat="false" ht="12" hidden="false" customHeight="true" outlineLevel="0" collapsed="false">
      <c r="A175" s="31" t="n">
        <v>174</v>
      </c>
      <c r="B175" s="37" t="s">
        <v>424</v>
      </c>
      <c r="C175" s="37" t="s">
        <v>5716</v>
      </c>
      <c r="D175" s="22" t="n">
        <f aca="false">SUMIF(CAL!B:E,B175,CAL!E:E)+SUMIF(CAL!J:M,B175,CAL!M:M)</f>
        <v>4</v>
      </c>
      <c r="E175" s="33" t="n">
        <f aca="false">COUNTIF(CAL!B:J,B175)</f>
        <v>3</v>
      </c>
      <c r="F175" s="22" t="n">
        <f aca="false">SUMIF(CAL!B:F,B175,CAL!F:F)+SUMIF(CAL!J:N,B175,CAL!N:N)</f>
        <v>1</v>
      </c>
      <c r="G175" s="22" t="n">
        <f aca="false">SUMIF(CAL!B:F,B175,CAL!G:G)+SUMIF(CAL!J:N,B175,CAL!O:O)</f>
        <v>1</v>
      </c>
      <c r="H175" s="22" t="n">
        <f aca="false">SUMIF(CAL!B:F,B175,CAL!H:H)+SUMIF(CAL!J:N,B175,CAL!P:P)</f>
        <v>1</v>
      </c>
      <c r="I175" s="34" t="n">
        <f aca="false">IF(E175=0,0,(D175/(E175*3)))</f>
        <v>0.444444444444444</v>
      </c>
      <c r="J175" s="33" t="n">
        <f aca="false">SUMIF(CAL!B:C,B175,CAL!C:C)+SUMIF(CAL!J:J,B175,CAL!D:D)</f>
        <v>1</v>
      </c>
      <c r="K175" s="22" t="n">
        <f aca="false">SUMIF(CAL!B:D,B175,CAL!D:D)+SUMIF(CAL!J:L,B175,CAL!K:K)</f>
        <v>1</v>
      </c>
      <c r="L175" s="22" t="n">
        <f aca="false">J175-K175</f>
        <v>0</v>
      </c>
      <c r="M175" s="35" t="n">
        <f aca="false">IF(E175=0,0,(J175/E175))</f>
        <v>0.333333333333333</v>
      </c>
      <c r="N175" s="35" t="n">
        <f aca="false">IF(E175=0,0,(K175/E175))</f>
        <v>0.333333333333333</v>
      </c>
      <c r="O175" s="22" t="n">
        <f aca="false">SUMIF(CAL!B:I,B175,CAL!I:I)+SUMIF(CAL!J:Q,B175,CAL!Q:Q)</f>
        <v>2</v>
      </c>
      <c r="P175" s="19"/>
      <c r="Q175" s="22"/>
      <c r="R175" s="22"/>
      <c r="S175" s="22"/>
      <c r="T175" s="22" t="s">
        <v>5717</v>
      </c>
      <c r="U175" s="22" t="s">
        <v>5483</v>
      </c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customFormat="false" ht="12" hidden="false" customHeight="true" outlineLevel="0" collapsed="false">
      <c r="A176" s="31" t="n">
        <v>175</v>
      </c>
      <c r="B176" s="32" t="s">
        <v>180</v>
      </c>
      <c r="C176" s="32" t="s">
        <v>5718</v>
      </c>
      <c r="D176" s="22" t="n">
        <f aca="false">SUMIF(CAL!B:E,B176,CAL!E:E)+SUMIF(CAL!J:M,B176,CAL!M:M)</f>
        <v>10</v>
      </c>
      <c r="E176" s="33" t="n">
        <f aca="false">COUNTIF(CAL!B:J,B176)</f>
        <v>10</v>
      </c>
      <c r="F176" s="22" t="n">
        <f aca="false">SUMIF(CAL!B:F,B176,CAL!F:F)+SUMIF(CAL!J:N,B176,CAL!N:N)</f>
        <v>2</v>
      </c>
      <c r="G176" s="22" t="n">
        <f aca="false">SUMIF(CAL!B:F,B176,CAL!G:G)+SUMIF(CAL!J:N,B176,CAL!O:O)</f>
        <v>4</v>
      </c>
      <c r="H176" s="22" t="n">
        <f aca="false">SUMIF(CAL!B:F,B176,CAL!H:H)+SUMIF(CAL!J:N,B176,CAL!P:P)</f>
        <v>4</v>
      </c>
      <c r="I176" s="34" t="n">
        <f aca="false">IF(E176=0,0,(D176/(E176*3)))</f>
        <v>0.333333333333333</v>
      </c>
      <c r="J176" s="33" t="n">
        <f aca="false">SUMIF(CAL!B:C,B176,CAL!C:C)+SUMIF(CAL!J:J,B176,CAL!D:D)</f>
        <v>7</v>
      </c>
      <c r="K176" s="22" t="n">
        <f aca="false">SUMIF(CAL!B:D,B176,CAL!D:D)+SUMIF(CAL!J:L,B176,CAL!K:K)</f>
        <v>18</v>
      </c>
      <c r="L176" s="22" t="n">
        <f aca="false">J176-K176</f>
        <v>-11</v>
      </c>
      <c r="M176" s="35" t="n">
        <f aca="false">IF(E176=0,0,(J176/E176))</f>
        <v>0.7</v>
      </c>
      <c r="N176" s="35" t="n">
        <f aca="false">IF(E176=0,0,(K176/E176))</f>
        <v>1.8</v>
      </c>
      <c r="O176" s="22" t="n">
        <f aca="false">SUMIF(CAL!B:I,B176,CAL!I:I)+SUMIF(CAL!J:Q,B176,CAL!Q:Q)</f>
        <v>4</v>
      </c>
      <c r="P176" s="19"/>
      <c r="Q176" s="22"/>
      <c r="R176" s="22"/>
      <c r="S176" s="22"/>
      <c r="T176" s="22" t="s">
        <v>5719</v>
      </c>
      <c r="U176" s="22" t="s">
        <v>5458</v>
      </c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customFormat="false" ht="12" hidden="false" customHeight="true" outlineLevel="0" collapsed="false">
      <c r="A177" s="31" t="n">
        <v>176</v>
      </c>
      <c r="B177" s="32" t="s">
        <v>283</v>
      </c>
      <c r="C177" s="32" t="s">
        <v>5720</v>
      </c>
      <c r="D177" s="22" t="n">
        <f aca="false">SUMIF(CAL!B:E,B177,CAL!E:E)+SUMIF(CAL!J:M,B177,CAL!M:M)</f>
        <v>10</v>
      </c>
      <c r="E177" s="33" t="n">
        <f aca="false">COUNTIF(CAL!B:J,B177)</f>
        <v>11</v>
      </c>
      <c r="F177" s="22" t="n">
        <f aca="false">SUMIF(CAL!B:F,B177,CAL!F:F)+SUMIF(CAL!J:N,B177,CAL!N:N)</f>
        <v>3</v>
      </c>
      <c r="G177" s="22" t="n">
        <f aca="false">SUMIF(CAL!B:F,B177,CAL!G:G)+SUMIF(CAL!J:N,B177,CAL!O:O)</f>
        <v>1</v>
      </c>
      <c r="H177" s="22" t="n">
        <f aca="false">SUMIF(CAL!B:F,B177,CAL!H:H)+SUMIF(CAL!J:N,B177,CAL!P:P)</f>
        <v>7</v>
      </c>
      <c r="I177" s="34" t="n">
        <f aca="false">IF(E177=0,0,(D177/(E177*3)))</f>
        <v>0.303030303030303</v>
      </c>
      <c r="J177" s="33" t="n">
        <f aca="false">SUMIF(CAL!B:C,B177,CAL!C:C)+SUMIF(CAL!J:J,B177,CAL!D:D)</f>
        <v>12</v>
      </c>
      <c r="K177" s="22" t="n">
        <f aca="false">SUMIF(CAL!B:D,B177,CAL!D:D)+SUMIF(CAL!J:L,B177,CAL!K:K)</f>
        <v>20</v>
      </c>
      <c r="L177" s="22" t="n">
        <f aca="false">J177-K177</f>
        <v>-8</v>
      </c>
      <c r="M177" s="35" t="n">
        <f aca="false">IF(E177=0,0,(J177/E177))</f>
        <v>1.09090909090909</v>
      </c>
      <c r="N177" s="35" t="n">
        <f aca="false">IF(E177=0,0,(K177/E177))</f>
        <v>1.81818181818182</v>
      </c>
      <c r="O177" s="22" t="n">
        <f aca="false">SUMIF(CAL!B:I,B177,CAL!I:I)+SUMIF(CAL!J:Q,B177,CAL!Q:Q)</f>
        <v>2</v>
      </c>
      <c r="P177" s="19"/>
      <c r="Q177" s="22"/>
      <c r="R177" s="22"/>
      <c r="S177" s="22"/>
      <c r="T177" s="22" t="s">
        <v>5721</v>
      </c>
      <c r="U177" s="22" t="s">
        <v>5428</v>
      </c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customFormat="false" ht="12" hidden="false" customHeight="true" outlineLevel="0" collapsed="false">
      <c r="A178" s="31" t="n">
        <v>177</v>
      </c>
      <c r="B178" s="32" t="s">
        <v>326</v>
      </c>
      <c r="C178" s="32" t="s">
        <v>5722</v>
      </c>
      <c r="D178" s="22" t="n">
        <f aca="false">SUMIF(CAL!B:E,B178,CAL!E:E)+SUMIF(CAL!J:M,B178,CAL!M:M)</f>
        <v>18</v>
      </c>
      <c r="E178" s="33" t="n">
        <f aca="false">COUNTIF(CAL!B:J,B178)</f>
        <v>11</v>
      </c>
      <c r="F178" s="22" t="n">
        <f aca="false">SUMIF(CAL!B:F,B178,CAL!F:F)+SUMIF(CAL!J:N,B178,CAL!N:N)</f>
        <v>6</v>
      </c>
      <c r="G178" s="22" t="n">
        <f aca="false">SUMIF(CAL!B:F,B178,CAL!G:G)+SUMIF(CAL!J:N,B178,CAL!O:O)</f>
        <v>0</v>
      </c>
      <c r="H178" s="22" t="n">
        <f aca="false">SUMIF(CAL!B:F,B178,CAL!H:H)+SUMIF(CAL!J:N,B178,CAL!P:P)</f>
        <v>5</v>
      </c>
      <c r="I178" s="34" t="n">
        <f aca="false">IF(E178=0,0,(D178/(E178*3)))</f>
        <v>0.545454545454545</v>
      </c>
      <c r="J178" s="33" t="n">
        <f aca="false">SUMIF(CAL!B:C,B178,CAL!C:C)+SUMIF(CAL!J:J,B178,CAL!D:D)</f>
        <v>18</v>
      </c>
      <c r="K178" s="22" t="n">
        <f aca="false">SUMIF(CAL!B:D,B178,CAL!D:D)+SUMIF(CAL!J:L,B178,CAL!K:K)</f>
        <v>12</v>
      </c>
      <c r="L178" s="22" t="n">
        <f aca="false">J178-K178</f>
        <v>6</v>
      </c>
      <c r="M178" s="35" t="n">
        <f aca="false">IF(E178=0,0,(J178/E178))</f>
        <v>1.63636363636364</v>
      </c>
      <c r="N178" s="35" t="n">
        <f aca="false">IF(E178=0,0,(K178/E178))</f>
        <v>1.09090909090909</v>
      </c>
      <c r="O178" s="22" t="n">
        <f aca="false">SUMIF(CAL!B:I,B178,CAL!I:I)+SUMIF(CAL!J:Q,B178,CAL!Q:Q)</f>
        <v>4</v>
      </c>
      <c r="P178" s="19"/>
      <c r="Q178" s="22"/>
      <c r="R178" s="22"/>
      <c r="S178" s="22"/>
      <c r="T178" s="22" t="s">
        <v>5416</v>
      </c>
      <c r="U178" s="22" t="s">
        <v>5417</v>
      </c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customFormat="false" ht="12" hidden="false" customHeight="true" outlineLevel="0" collapsed="false">
      <c r="A179" s="31" t="n">
        <v>178</v>
      </c>
      <c r="B179" s="32" t="s">
        <v>360</v>
      </c>
      <c r="C179" s="32" t="s">
        <v>5723</v>
      </c>
      <c r="D179" s="22" t="n">
        <f aca="false">SUMIF(CAL!B:E,B179,CAL!E:E)+SUMIF(CAL!J:M,B179,CAL!M:M)</f>
        <v>27</v>
      </c>
      <c r="E179" s="33" t="n">
        <f aca="false">COUNTIF(CAL!B:J,B179)</f>
        <v>16</v>
      </c>
      <c r="F179" s="22" t="n">
        <f aca="false">SUMIF(CAL!B:F,B179,CAL!F:F)+SUMIF(CAL!J:N,B179,CAL!N:N)</f>
        <v>7</v>
      </c>
      <c r="G179" s="22" t="n">
        <f aca="false">SUMIF(CAL!B:F,B179,CAL!G:G)+SUMIF(CAL!J:N,B179,CAL!O:O)</f>
        <v>6</v>
      </c>
      <c r="H179" s="22" t="n">
        <f aca="false">SUMIF(CAL!B:F,B179,CAL!H:H)+SUMIF(CAL!J:N,B179,CAL!P:P)</f>
        <v>3</v>
      </c>
      <c r="I179" s="34" t="n">
        <f aca="false">IF(E179=0,0,(D179/(E179*3)))</f>
        <v>0.5625</v>
      </c>
      <c r="J179" s="33" t="n">
        <f aca="false">SUMIF(CAL!B:C,B179,CAL!C:C)+SUMIF(CAL!J:J,B179,CAL!D:D)</f>
        <v>13</v>
      </c>
      <c r="K179" s="22" t="n">
        <f aca="false">SUMIF(CAL!B:D,B179,CAL!D:D)+SUMIF(CAL!J:L,B179,CAL!K:K)</f>
        <v>11</v>
      </c>
      <c r="L179" s="22" t="n">
        <f aca="false">J179-K179</f>
        <v>2</v>
      </c>
      <c r="M179" s="35" t="n">
        <f aca="false">IF(E179=0,0,(J179/E179))</f>
        <v>0.8125</v>
      </c>
      <c r="N179" s="35" t="n">
        <f aca="false">IF(E179=0,0,(K179/E179))</f>
        <v>0.6875</v>
      </c>
      <c r="O179" s="22" t="n">
        <f aca="false">SUMIF(CAL!B:I,B179,CAL!I:I)+SUMIF(CAL!J:Q,B179,CAL!Q:Q)</f>
        <v>7</v>
      </c>
      <c r="P179" s="19"/>
      <c r="Q179" s="22"/>
      <c r="R179" s="22"/>
      <c r="S179" s="22"/>
      <c r="T179" s="22" t="s">
        <v>5724</v>
      </c>
      <c r="U179" s="22" t="s">
        <v>5450</v>
      </c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customFormat="false" ht="12" hidden="false" customHeight="true" outlineLevel="0" collapsed="false">
      <c r="A180" s="31" t="n">
        <v>179</v>
      </c>
      <c r="B180" s="32" t="s">
        <v>319</v>
      </c>
      <c r="C180" s="32" t="s">
        <v>5725</v>
      </c>
      <c r="D180" s="22" t="n">
        <f aca="false">SUMIF(CAL!B:E,B180,CAL!E:E)+SUMIF(CAL!J:M,B180,CAL!M:M)</f>
        <v>15</v>
      </c>
      <c r="E180" s="33" t="n">
        <f aca="false">COUNTIF(CAL!B:J,B180)</f>
        <v>14</v>
      </c>
      <c r="F180" s="22" t="n">
        <f aca="false">SUMIF(CAL!B:F,B180,CAL!F:F)+SUMIF(CAL!J:N,B180,CAL!N:N)</f>
        <v>4</v>
      </c>
      <c r="G180" s="22" t="n">
        <f aca="false">SUMIF(CAL!B:F,B180,CAL!G:G)+SUMIF(CAL!J:N,B180,CAL!O:O)</f>
        <v>3</v>
      </c>
      <c r="H180" s="22" t="n">
        <f aca="false">SUMIF(CAL!B:F,B180,CAL!H:H)+SUMIF(CAL!J:N,B180,CAL!P:P)</f>
        <v>7</v>
      </c>
      <c r="I180" s="34" t="n">
        <f aca="false">IF(E180=0,0,(D180/(E180*3)))</f>
        <v>0.357142857142857</v>
      </c>
      <c r="J180" s="33" t="n">
        <f aca="false">SUMIF(CAL!B:C,B180,CAL!C:C)+SUMIF(CAL!J:J,B180,CAL!D:D)</f>
        <v>24</v>
      </c>
      <c r="K180" s="22" t="n">
        <f aca="false">SUMIF(CAL!B:D,B180,CAL!D:D)+SUMIF(CAL!J:L,B180,CAL!K:K)</f>
        <v>28</v>
      </c>
      <c r="L180" s="22" t="n">
        <f aca="false">J180-K180</f>
        <v>-4</v>
      </c>
      <c r="M180" s="35" t="n">
        <f aca="false">IF(E180=0,0,(J180/E180))</f>
        <v>1.71428571428571</v>
      </c>
      <c r="N180" s="35" t="n">
        <f aca="false">IF(E180=0,0,(K180/E180))</f>
        <v>2</v>
      </c>
      <c r="O180" s="22" t="n">
        <f aca="false">SUMIF(CAL!B:I,B180,CAL!I:I)+SUMIF(CAL!J:Q,B180,CAL!Q:Q)</f>
        <v>2</v>
      </c>
      <c r="P180" s="19"/>
      <c r="Q180" s="22"/>
      <c r="R180" s="22"/>
      <c r="S180" s="22"/>
      <c r="T180" s="22" t="s">
        <v>5726</v>
      </c>
      <c r="U180" s="22" t="s">
        <v>5576</v>
      </c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customFormat="false" ht="12" hidden="false" customHeight="true" outlineLevel="0" collapsed="false">
      <c r="A181" s="31" t="n">
        <v>180</v>
      </c>
      <c r="B181" s="37" t="s">
        <v>410</v>
      </c>
      <c r="C181" s="37" t="s">
        <v>5727</v>
      </c>
      <c r="D181" s="22" t="n">
        <f aca="false">SUMIF(CAL!B:E,B181,CAL!E:E)+SUMIF(CAL!J:M,B181,CAL!M:M)</f>
        <v>7</v>
      </c>
      <c r="E181" s="33" t="n">
        <f aca="false">COUNTIF(CAL!B:J,B181)</f>
        <v>6</v>
      </c>
      <c r="F181" s="22" t="n">
        <f aca="false">SUMIF(CAL!B:F,B181,CAL!F:F)+SUMIF(CAL!J:N,B181,CAL!N:N)</f>
        <v>2</v>
      </c>
      <c r="G181" s="22" t="n">
        <f aca="false">SUMIF(CAL!B:F,B181,CAL!G:G)+SUMIF(CAL!J:N,B181,CAL!O:O)</f>
        <v>1</v>
      </c>
      <c r="H181" s="22" t="n">
        <f aca="false">SUMIF(CAL!B:F,B181,CAL!H:H)+SUMIF(CAL!J:N,B181,CAL!P:P)</f>
        <v>3</v>
      </c>
      <c r="I181" s="34" t="n">
        <f aca="false">IF(E181=0,0,(D181/(E181*3)))</f>
        <v>0.388888888888889</v>
      </c>
      <c r="J181" s="33" t="n">
        <f aca="false">SUMIF(CAL!B:C,B181,CAL!C:C)+SUMIF(CAL!J:J,B181,CAL!D:D)</f>
        <v>10</v>
      </c>
      <c r="K181" s="22" t="n">
        <f aca="false">SUMIF(CAL!B:D,B181,CAL!D:D)+SUMIF(CAL!J:L,B181,CAL!K:K)</f>
        <v>9</v>
      </c>
      <c r="L181" s="22" t="n">
        <f aca="false">J181-K181</f>
        <v>1</v>
      </c>
      <c r="M181" s="35" t="n">
        <f aca="false">IF(E181=0,0,(J181/E181))</f>
        <v>1.66666666666667</v>
      </c>
      <c r="N181" s="35" t="n">
        <f aca="false">IF(E181=0,0,(K181/E181))</f>
        <v>1.5</v>
      </c>
      <c r="O181" s="22" t="n">
        <f aca="false">SUMIF(CAL!B:I,B181,CAL!I:I)+SUMIF(CAL!J:Q,B181,CAL!Q:Q)</f>
        <v>0</v>
      </c>
      <c r="P181" s="19"/>
      <c r="Q181" s="22"/>
      <c r="R181" s="22"/>
      <c r="S181" s="22"/>
      <c r="T181" s="22" t="s">
        <v>5728</v>
      </c>
      <c r="U181" s="22" t="s">
        <v>5434</v>
      </c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customFormat="false" ht="12" hidden="false" customHeight="true" outlineLevel="0" collapsed="false">
      <c r="A182" s="31" t="n">
        <v>181</v>
      </c>
      <c r="B182" s="32" t="s">
        <v>306</v>
      </c>
      <c r="C182" s="32" t="s">
        <v>5729</v>
      </c>
      <c r="D182" s="22" t="n">
        <f aca="false">SUMIF(CAL!B:E,B182,CAL!E:E)+SUMIF(CAL!J:M,B182,CAL!M:M)</f>
        <v>8</v>
      </c>
      <c r="E182" s="33" t="n">
        <f aca="false">COUNTIF(CAL!B:J,B182)</f>
        <v>7</v>
      </c>
      <c r="F182" s="22" t="n">
        <f aca="false">SUMIF(CAL!B:F,B182,CAL!F:F)+SUMIF(CAL!J:N,B182,CAL!N:N)</f>
        <v>2</v>
      </c>
      <c r="G182" s="22" t="n">
        <f aca="false">SUMIF(CAL!B:F,B182,CAL!G:G)+SUMIF(CAL!J:N,B182,CAL!O:O)</f>
        <v>2</v>
      </c>
      <c r="H182" s="22" t="n">
        <f aca="false">SUMIF(CAL!B:F,B182,CAL!H:H)+SUMIF(CAL!J:N,B182,CAL!P:P)</f>
        <v>3</v>
      </c>
      <c r="I182" s="34" t="n">
        <f aca="false">IF(E182=0,0,(D182/(E182*3)))</f>
        <v>0.380952380952381</v>
      </c>
      <c r="J182" s="33" t="n">
        <f aca="false">SUMIF(CAL!B:C,B182,CAL!C:C)+SUMIF(CAL!J:J,B182,CAL!D:D)</f>
        <v>8</v>
      </c>
      <c r="K182" s="22" t="n">
        <f aca="false">SUMIF(CAL!B:D,B182,CAL!D:D)+SUMIF(CAL!J:L,B182,CAL!K:K)</f>
        <v>14</v>
      </c>
      <c r="L182" s="22" t="n">
        <f aca="false">J182-K182</f>
        <v>-6</v>
      </c>
      <c r="M182" s="35" t="n">
        <f aca="false">IF(E182=0,0,(J182/E182))</f>
        <v>1.14285714285714</v>
      </c>
      <c r="N182" s="35" t="n">
        <f aca="false">IF(E182=0,0,(K182/E182))</f>
        <v>2</v>
      </c>
      <c r="O182" s="22" t="n">
        <f aca="false">SUMIF(CAL!B:I,B182,CAL!I:I)+SUMIF(CAL!J:Q,B182,CAL!Q:Q)</f>
        <v>1</v>
      </c>
      <c r="P182" s="19"/>
      <c r="Q182" s="22"/>
      <c r="R182" s="22"/>
      <c r="S182" s="22"/>
      <c r="T182" s="22" t="s">
        <v>5730</v>
      </c>
      <c r="U182" s="22" t="s">
        <v>5616</v>
      </c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customFormat="false" ht="12" hidden="false" customHeight="true" outlineLevel="0" collapsed="false">
      <c r="A183" s="31" t="n">
        <v>182</v>
      </c>
      <c r="B183" s="36" t="s">
        <v>254</v>
      </c>
      <c r="C183" s="32" t="s">
        <v>5731</v>
      </c>
      <c r="D183" s="22" t="n">
        <f aca="false">SUMIF(CAL!B:E,B183,CAL!E:E)+SUMIF(CAL!J:M,B183,CAL!M:M)</f>
        <v>9</v>
      </c>
      <c r="E183" s="33" t="n">
        <f aca="false">COUNTIF(CAL!B:J,B183)</f>
        <v>10</v>
      </c>
      <c r="F183" s="22" t="n">
        <f aca="false">SUMIF(CAL!B:F,B183,CAL!F:F)+SUMIF(CAL!J:N,B183,CAL!N:N)</f>
        <v>2</v>
      </c>
      <c r="G183" s="22" t="n">
        <f aca="false">SUMIF(CAL!B:F,B183,CAL!G:G)+SUMIF(CAL!J:N,B183,CAL!O:O)</f>
        <v>3</v>
      </c>
      <c r="H183" s="22" t="n">
        <f aca="false">SUMIF(CAL!B:F,B183,CAL!H:H)+SUMIF(CAL!J:N,B183,CAL!P:P)</f>
        <v>5</v>
      </c>
      <c r="I183" s="34" t="n">
        <f aca="false">IF(E183=0,0,(D183/(E183*3)))</f>
        <v>0.3</v>
      </c>
      <c r="J183" s="33" t="n">
        <f aca="false">SUMIF(CAL!B:C,B183,CAL!C:C)+SUMIF(CAL!J:J,B183,CAL!D:D)</f>
        <v>9</v>
      </c>
      <c r="K183" s="22" t="n">
        <f aca="false">SUMIF(CAL!B:D,B183,CAL!D:D)+SUMIF(CAL!J:L,B183,CAL!K:K)</f>
        <v>15</v>
      </c>
      <c r="L183" s="22" t="n">
        <f aca="false">J183-K183</f>
        <v>-6</v>
      </c>
      <c r="M183" s="35" t="n">
        <f aca="false">IF(E183=0,0,(J183/E183))</f>
        <v>0.9</v>
      </c>
      <c r="N183" s="35" t="n">
        <f aca="false">IF(E183=0,0,(K183/E183))</f>
        <v>1.5</v>
      </c>
      <c r="O183" s="22" t="n">
        <f aca="false">SUMIF(CAL!B:I,B183,CAL!I:I)+SUMIF(CAL!J:Q,B183,CAL!Q:Q)</f>
        <v>2</v>
      </c>
      <c r="P183" s="19"/>
      <c r="Q183" s="22"/>
      <c r="R183" s="22"/>
      <c r="S183" s="22"/>
      <c r="T183" s="22" t="s">
        <v>5444</v>
      </c>
      <c r="U183" s="22" t="s">
        <v>5397</v>
      </c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customFormat="false" ht="12" hidden="false" customHeight="true" outlineLevel="0" collapsed="false">
      <c r="A184" s="31" t="n">
        <v>183</v>
      </c>
      <c r="B184" s="36" t="s">
        <v>323</v>
      </c>
      <c r="C184" s="32" t="s">
        <v>5732</v>
      </c>
      <c r="D184" s="22" t="n">
        <f aca="false">SUMIF(CAL!B:E,B184,CAL!E:E)+SUMIF(CAL!J:M,B184,CAL!M:M)</f>
        <v>5</v>
      </c>
      <c r="E184" s="33" t="n">
        <f aca="false">COUNTIF(CAL!B:J,B184)</f>
        <v>7</v>
      </c>
      <c r="F184" s="22" t="n">
        <f aca="false">SUMIF(CAL!B:F,B184,CAL!F:F)+SUMIF(CAL!J:N,B184,CAL!N:N)</f>
        <v>1</v>
      </c>
      <c r="G184" s="22" t="n">
        <f aca="false">SUMIF(CAL!B:F,B184,CAL!G:G)+SUMIF(CAL!J:N,B184,CAL!O:O)</f>
        <v>2</v>
      </c>
      <c r="H184" s="22" t="n">
        <f aca="false">SUMIF(CAL!B:F,B184,CAL!H:H)+SUMIF(CAL!J:N,B184,CAL!P:P)</f>
        <v>4</v>
      </c>
      <c r="I184" s="34" t="n">
        <f aca="false">IF(E184=0,0,(D184/(E184*3)))</f>
        <v>0.238095238095238</v>
      </c>
      <c r="J184" s="33" t="n">
        <f aca="false">SUMIF(CAL!B:C,B184,CAL!C:C)+SUMIF(CAL!J:J,B184,CAL!D:D)</f>
        <v>7</v>
      </c>
      <c r="K184" s="22" t="n">
        <f aca="false">SUMIF(CAL!B:D,B184,CAL!D:D)+SUMIF(CAL!J:L,B184,CAL!K:K)</f>
        <v>9</v>
      </c>
      <c r="L184" s="22" t="n">
        <f aca="false">J184-K184</f>
        <v>-2</v>
      </c>
      <c r="M184" s="35" t="n">
        <f aca="false">IF(E184=0,0,(J184/E184))</f>
        <v>1</v>
      </c>
      <c r="N184" s="35" t="n">
        <f aca="false">IF(E184=0,0,(K184/E184))</f>
        <v>1.28571428571429</v>
      </c>
      <c r="O184" s="22" t="n">
        <f aca="false">SUMIF(CAL!B:I,B184,CAL!I:I)+SUMIF(CAL!J:Q,B184,CAL!Q:Q)</f>
        <v>1</v>
      </c>
      <c r="P184" s="19"/>
      <c r="Q184" s="22"/>
      <c r="R184" s="22"/>
      <c r="S184" s="22"/>
      <c r="T184" s="22" t="s">
        <v>5733</v>
      </c>
      <c r="U184" s="22" t="s">
        <v>5447</v>
      </c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customFormat="false" ht="12" hidden="false" customHeight="true" outlineLevel="0" collapsed="false">
      <c r="A185" s="31" t="n">
        <v>184</v>
      </c>
      <c r="B185" s="32" t="s">
        <v>5734</v>
      </c>
      <c r="C185" s="32" t="s">
        <v>5735</v>
      </c>
      <c r="D185" s="22" t="n">
        <f aca="false">SUMIF(CAL!B:E,B185,CAL!E:E)+SUMIF(CAL!J:M,B185,CAL!M:M)</f>
        <v>3</v>
      </c>
      <c r="E185" s="33" t="n">
        <f aca="false">COUNTIF(CAL!B:J,B185)</f>
        <v>9</v>
      </c>
      <c r="F185" s="22" t="n">
        <f aca="false">SUMIF(CAL!B:F,B185,CAL!F:F)+SUMIF(CAL!J:N,B185,CAL!N:N)</f>
        <v>1</v>
      </c>
      <c r="G185" s="22" t="n">
        <f aca="false">SUMIF(CAL!B:F,B185,CAL!G:G)+SUMIF(CAL!J:N,B185,CAL!O:O)</f>
        <v>0</v>
      </c>
      <c r="H185" s="22" t="n">
        <f aca="false">SUMIF(CAL!B:F,B185,CAL!H:H)+SUMIF(CAL!J:N,B185,CAL!P:P)</f>
        <v>8</v>
      </c>
      <c r="I185" s="34" t="n">
        <f aca="false">IF(E185=0,0,(D185/(E185*3)))</f>
        <v>0.111111111111111</v>
      </c>
      <c r="J185" s="33" t="n">
        <f aca="false">SUMIF(CAL!B:C,B185,CAL!C:C)+SUMIF(CAL!J:J,B185,CAL!D:D)</f>
        <v>4</v>
      </c>
      <c r="K185" s="22" t="n">
        <f aca="false">SUMIF(CAL!B:D,B185,CAL!D:D)+SUMIF(CAL!J:L,B185,CAL!K:K)</f>
        <v>19</v>
      </c>
      <c r="L185" s="22" t="n">
        <f aca="false">J185-K185</f>
        <v>-15</v>
      </c>
      <c r="M185" s="35" t="n">
        <f aca="false">IF(E185=0,0,(J185/E185))</f>
        <v>0.444444444444444</v>
      </c>
      <c r="N185" s="35" t="n">
        <f aca="false">IF(E185=0,0,(K185/E185))</f>
        <v>2.11111111111111</v>
      </c>
      <c r="O185" s="22" t="n">
        <f aca="false">SUMIF(CAL!B:I,B185,CAL!I:I)+SUMIF(CAL!J:Q,B185,CAL!Q:Q)</f>
        <v>1</v>
      </c>
      <c r="P185" s="19"/>
      <c r="Q185" s="22"/>
      <c r="R185" s="22"/>
      <c r="S185" s="22"/>
      <c r="T185" s="22" t="s">
        <v>5540</v>
      </c>
      <c r="U185" s="22" t="s">
        <v>5471</v>
      </c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customFormat="false" ht="12" hidden="false" customHeight="true" outlineLevel="0" collapsed="false">
      <c r="A186" s="31" t="n">
        <v>185</v>
      </c>
      <c r="B186" s="37" t="s">
        <v>42</v>
      </c>
      <c r="C186" s="37" t="s">
        <v>5736</v>
      </c>
      <c r="D186" s="22" t="n">
        <f aca="false">SUMIF(CAL!B:E,B186,CAL!E:E)+SUMIF(CAL!J:M,B186,CAL!M:M)</f>
        <v>19</v>
      </c>
      <c r="E186" s="33" t="n">
        <f aca="false">COUNTIF(CAL!B:J,B186)</f>
        <v>13</v>
      </c>
      <c r="F186" s="22" t="n">
        <f aca="false">SUMIF(CAL!B:F,B186,CAL!F:F)+SUMIF(CAL!J:N,B186,CAL!N:N)</f>
        <v>5</v>
      </c>
      <c r="G186" s="22" t="n">
        <f aca="false">SUMIF(CAL!B:F,B186,CAL!G:G)+SUMIF(CAL!J:N,B186,CAL!O:O)</f>
        <v>4</v>
      </c>
      <c r="H186" s="22" t="n">
        <f aca="false">SUMIF(CAL!B:F,B186,CAL!H:H)+SUMIF(CAL!J:N,B186,CAL!P:P)</f>
        <v>4</v>
      </c>
      <c r="I186" s="34" t="n">
        <f aca="false">IF(E186=0,0,(D186/(E186*3)))</f>
        <v>0.487179487179487</v>
      </c>
      <c r="J186" s="33" t="n">
        <f aca="false">SUMIF(CAL!B:C,B186,CAL!C:C)+SUMIF(CAL!J:J,B186,CAL!D:D)</f>
        <v>15</v>
      </c>
      <c r="K186" s="22" t="n">
        <f aca="false">SUMIF(CAL!B:D,B186,CAL!D:D)+SUMIF(CAL!J:L,B186,CAL!K:K)</f>
        <v>15</v>
      </c>
      <c r="L186" s="22" t="n">
        <f aca="false">J186-K186</f>
        <v>0</v>
      </c>
      <c r="M186" s="35" t="n">
        <f aca="false">IF(E186=0,0,(J186/E186))</f>
        <v>1.15384615384615</v>
      </c>
      <c r="N186" s="35" t="n">
        <f aca="false">IF(E186=0,0,(K186/E186))</f>
        <v>1.15384615384615</v>
      </c>
      <c r="O186" s="22" t="n">
        <f aca="false">SUMIF(CAL!B:I,B186,CAL!I:I)+SUMIF(CAL!J:Q,B186,CAL!Q:Q)</f>
        <v>5</v>
      </c>
      <c r="P186" s="19"/>
      <c r="Q186" s="22"/>
      <c r="R186" s="22"/>
      <c r="S186" s="22"/>
      <c r="T186" s="22" t="s">
        <v>5737</v>
      </c>
      <c r="U186" s="22" t="s">
        <v>5453</v>
      </c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customFormat="false" ht="12" hidden="false" customHeight="true" outlineLevel="0" collapsed="false">
      <c r="A187" s="31" t="n">
        <v>186</v>
      </c>
      <c r="B187" s="36" t="s">
        <v>341</v>
      </c>
      <c r="C187" s="32" t="s">
        <v>5738</v>
      </c>
      <c r="D187" s="22" t="n">
        <f aca="false">SUMIF(CAL!B:E,B187,CAL!E:E)+SUMIF(CAL!J:M,B187,CAL!M:M)</f>
        <v>15</v>
      </c>
      <c r="E187" s="33" t="n">
        <f aca="false">COUNTIF(CAL!B:J,B187)</f>
        <v>9</v>
      </c>
      <c r="F187" s="22" t="n">
        <f aca="false">SUMIF(CAL!B:F,B187,CAL!F:F)+SUMIF(CAL!J:N,B187,CAL!N:N)</f>
        <v>4</v>
      </c>
      <c r="G187" s="22" t="n">
        <f aca="false">SUMIF(CAL!B:F,B187,CAL!G:G)+SUMIF(CAL!J:N,B187,CAL!O:O)</f>
        <v>3</v>
      </c>
      <c r="H187" s="22" t="n">
        <f aca="false">SUMIF(CAL!B:F,B187,CAL!H:H)+SUMIF(CAL!J:N,B187,CAL!P:P)</f>
        <v>2</v>
      </c>
      <c r="I187" s="34" t="n">
        <f aca="false">IF(E187=0,0,(D187/(E187*3)))</f>
        <v>0.555555555555556</v>
      </c>
      <c r="J187" s="33" t="n">
        <f aca="false">SUMIF(CAL!B:C,B187,CAL!C:C)+SUMIF(CAL!J:J,B187,CAL!D:D)</f>
        <v>13</v>
      </c>
      <c r="K187" s="22" t="n">
        <f aca="false">SUMIF(CAL!B:D,B187,CAL!D:D)+SUMIF(CAL!J:L,B187,CAL!K:K)</f>
        <v>8</v>
      </c>
      <c r="L187" s="22" t="n">
        <f aca="false">J187-K187</f>
        <v>5</v>
      </c>
      <c r="M187" s="35" t="n">
        <f aca="false">IF(E187=0,0,(J187/E187))</f>
        <v>1.44444444444444</v>
      </c>
      <c r="N187" s="35" t="n">
        <f aca="false">IF(E187=0,0,(K187/E187))</f>
        <v>0.888888888888889</v>
      </c>
      <c r="O187" s="22" t="n">
        <f aca="false">SUMIF(CAL!B:I,B187,CAL!I:I)+SUMIF(CAL!J:Q,B187,CAL!Q:Q)</f>
        <v>3</v>
      </c>
      <c r="P187" s="19"/>
      <c r="Q187" s="22"/>
      <c r="R187" s="22"/>
      <c r="S187" s="22"/>
      <c r="T187" s="22" t="s">
        <v>5739</v>
      </c>
      <c r="U187" s="22" t="s">
        <v>5447</v>
      </c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customFormat="false" ht="12" hidden="false" customHeight="true" outlineLevel="0" collapsed="false">
      <c r="A188" s="31" t="n">
        <v>187</v>
      </c>
      <c r="B188" s="32" t="s">
        <v>277</v>
      </c>
      <c r="C188" s="32" t="s">
        <v>5740</v>
      </c>
      <c r="D188" s="22" t="n">
        <f aca="false">SUMIF(CAL!B:E,B188,CAL!E:E)+SUMIF(CAL!J:M,B188,CAL!M:M)</f>
        <v>18</v>
      </c>
      <c r="E188" s="33" t="n">
        <f aca="false">COUNTIF(CAL!B:J,B188)</f>
        <v>11</v>
      </c>
      <c r="F188" s="22" t="n">
        <f aca="false">SUMIF(CAL!B:F,B188,CAL!F:F)+SUMIF(CAL!J:N,B188,CAL!N:N)</f>
        <v>5</v>
      </c>
      <c r="G188" s="22" t="n">
        <f aca="false">SUMIF(CAL!B:F,B188,CAL!G:G)+SUMIF(CAL!J:N,B188,CAL!O:O)</f>
        <v>3</v>
      </c>
      <c r="H188" s="22" t="n">
        <f aca="false">SUMIF(CAL!B:F,B188,CAL!H:H)+SUMIF(CAL!J:N,B188,CAL!P:P)</f>
        <v>3</v>
      </c>
      <c r="I188" s="34" t="n">
        <f aca="false">IF(E188=0,0,(D188/(E188*3)))</f>
        <v>0.545454545454545</v>
      </c>
      <c r="J188" s="33" t="n">
        <f aca="false">SUMIF(CAL!B:C,B188,CAL!C:C)+SUMIF(CAL!J:J,B188,CAL!D:D)</f>
        <v>15</v>
      </c>
      <c r="K188" s="22" t="n">
        <f aca="false">SUMIF(CAL!B:D,B188,CAL!D:D)+SUMIF(CAL!J:L,B188,CAL!K:K)</f>
        <v>10</v>
      </c>
      <c r="L188" s="22" t="n">
        <f aca="false">J188-K188</f>
        <v>5</v>
      </c>
      <c r="M188" s="35" t="n">
        <f aca="false">IF(E188=0,0,(J188/E188))</f>
        <v>1.36363636363636</v>
      </c>
      <c r="N188" s="35" t="n">
        <f aca="false">IF(E188=0,0,(K188/E188))</f>
        <v>0.909090909090909</v>
      </c>
      <c r="O188" s="22" t="n">
        <f aca="false">SUMIF(CAL!B:I,B188,CAL!I:I)+SUMIF(CAL!J:Q,B188,CAL!Q:Q)</f>
        <v>4</v>
      </c>
      <c r="P188" s="19"/>
      <c r="Q188" s="22"/>
      <c r="R188" s="22"/>
      <c r="S188" s="22"/>
      <c r="T188" s="22" t="s">
        <v>5553</v>
      </c>
      <c r="U188" s="22" t="s">
        <v>5400</v>
      </c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customFormat="false" ht="12" hidden="false" customHeight="true" outlineLevel="0" collapsed="false">
      <c r="A189" s="31" t="n">
        <v>188</v>
      </c>
      <c r="B189" s="32" t="s">
        <v>284</v>
      </c>
      <c r="C189" s="32" t="s">
        <v>5741</v>
      </c>
      <c r="D189" s="22" t="n">
        <f aca="false">SUMIF(CAL!B:E,B189,CAL!E:E)+SUMIF(CAL!J:M,B189,CAL!M:M)</f>
        <v>11</v>
      </c>
      <c r="E189" s="33" t="n">
        <f aca="false">COUNTIF(CAL!B:J,B189)</f>
        <v>10</v>
      </c>
      <c r="F189" s="22" t="n">
        <f aca="false">SUMIF(CAL!B:F,B189,CAL!F:F)+SUMIF(CAL!J:N,B189,CAL!N:N)</f>
        <v>2</v>
      </c>
      <c r="G189" s="22" t="n">
        <f aca="false">SUMIF(CAL!B:F,B189,CAL!G:G)+SUMIF(CAL!J:N,B189,CAL!O:O)</f>
        <v>5</v>
      </c>
      <c r="H189" s="22" t="n">
        <f aca="false">SUMIF(CAL!B:F,B189,CAL!H:H)+SUMIF(CAL!J:N,B189,CAL!P:P)</f>
        <v>3</v>
      </c>
      <c r="I189" s="34" t="n">
        <f aca="false">IF(E189=0,0,(D189/(E189*3)))</f>
        <v>0.366666666666667</v>
      </c>
      <c r="J189" s="33" t="n">
        <f aca="false">SUMIF(CAL!B:C,B189,CAL!C:C)+SUMIF(CAL!J:J,B189,CAL!D:D)</f>
        <v>14</v>
      </c>
      <c r="K189" s="22" t="n">
        <f aca="false">SUMIF(CAL!B:D,B189,CAL!D:D)+SUMIF(CAL!J:L,B189,CAL!K:K)</f>
        <v>14</v>
      </c>
      <c r="L189" s="22" t="n">
        <f aca="false">J189-K189</f>
        <v>0</v>
      </c>
      <c r="M189" s="35" t="n">
        <f aca="false">IF(E189=0,0,(J189/E189))</f>
        <v>1.4</v>
      </c>
      <c r="N189" s="35" t="n">
        <f aca="false">IF(E189=0,0,(K189/E189))</f>
        <v>1.4</v>
      </c>
      <c r="O189" s="22" t="n">
        <f aca="false">SUMIF(CAL!B:I,B189,CAL!I:I)+SUMIF(CAL!J:Q,B189,CAL!Q:Q)</f>
        <v>0</v>
      </c>
      <c r="P189" s="19"/>
      <c r="Q189" s="22"/>
      <c r="R189" s="22"/>
      <c r="S189" s="22"/>
      <c r="T189" s="22" t="s">
        <v>5742</v>
      </c>
      <c r="U189" s="22" t="s">
        <v>5616</v>
      </c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customFormat="false" ht="12" hidden="false" customHeight="true" outlineLevel="0" collapsed="false">
      <c r="A190" s="31" t="n">
        <v>189</v>
      </c>
      <c r="B190" s="32" t="s">
        <v>350</v>
      </c>
      <c r="C190" s="32" t="s">
        <v>5743</v>
      </c>
      <c r="D190" s="22" t="n">
        <f aca="false">SUMIF(CAL!B:E,B190,CAL!E:E)+SUMIF(CAL!J:M,B190,CAL!M:M)</f>
        <v>17</v>
      </c>
      <c r="E190" s="33" t="n">
        <f aca="false">COUNTIF(CAL!B:J,B190)</f>
        <v>10</v>
      </c>
      <c r="F190" s="22" t="n">
        <f aca="false">SUMIF(CAL!B:F,B190,CAL!F:F)+SUMIF(CAL!J:N,B190,CAL!N:N)</f>
        <v>5</v>
      </c>
      <c r="G190" s="22" t="n">
        <f aca="false">SUMIF(CAL!B:F,B190,CAL!G:G)+SUMIF(CAL!J:N,B190,CAL!O:O)</f>
        <v>2</v>
      </c>
      <c r="H190" s="22" t="n">
        <f aca="false">SUMIF(CAL!B:F,B190,CAL!H:H)+SUMIF(CAL!J:N,B190,CAL!P:P)</f>
        <v>3</v>
      </c>
      <c r="I190" s="34" t="n">
        <f aca="false">IF(E190=0,0,(D190/(E190*3)))</f>
        <v>0.566666666666667</v>
      </c>
      <c r="J190" s="33" t="n">
        <f aca="false">SUMIF(CAL!B:C,B190,CAL!C:C)+SUMIF(CAL!J:J,B190,CAL!D:D)</f>
        <v>13</v>
      </c>
      <c r="K190" s="22" t="n">
        <f aca="false">SUMIF(CAL!B:D,B190,CAL!D:D)+SUMIF(CAL!J:L,B190,CAL!K:K)</f>
        <v>9</v>
      </c>
      <c r="L190" s="22" t="n">
        <f aca="false">J190-K190</f>
        <v>4</v>
      </c>
      <c r="M190" s="35" t="n">
        <f aca="false">IF(E190=0,0,(J190/E190))</f>
        <v>1.3</v>
      </c>
      <c r="N190" s="35" t="n">
        <f aca="false">IF(E190=0,0,(K190/E190))</f>
        <v>0.9</v>
      </c>
      <c r="O190" s="22" t="n">
        <f aca="false">SUMIF(CAL!B:I,B190,CAL!I:I)+SUMIF(CAL!J:Q,B190,CAL!Q:Q)</f>
        <v>3</v>
      </c>
      <c r="P190" s="19"/>
      <c r="Q190" s="22"/>
      <c r="R190" s="22"/>
      <c r="S190" s="22"/>
      <c r="T190" s="22" t="s">
        <v>5744</v>
      </c>
      <c r="U190" s="22" t="s">
        <v>5447</v>
      </c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customFormat="false" ht="12" hidden="false" customHeight="true" outlineLevel="0" collapsed="false">
      <c r="A191" s="31" t="n">
        <v>190</v>
      </c>
      <c r="B191" s="32" t="s">
        <v>156</v>
      </c>
      <c r="C191" s="32" t="s">
        <v>5745</v>
      </c>
      <c r="D191" s="22" t="n">
        <f aca="false">SUMIF(CAL!B:E,B191,CAL!E:E)+SUMIF(CAL!J:M,B191,CAL!M:M)</f>
        <v>13</v>
      </c>
      <c r="E191" s="33" t="n">
        <f aca="false">COUNTIF(CAL!B:J,B191)</f>
        <v>9</v>
      </c>
      <c r="F191" s="22" t="n">
        <f aca="false">SUMIF(CAL!B:F,B191,CAL!F:F)+SUMIF(CAL!J:N,B191,CAL!N:N)</f>
        <v>4</v>
      </c>
      <c r="G191" s="22" t="n">
        <f aca="false">SUMIF(CAL!B:F,B191,CAL!G:G)+SUMIF(CAL!J:N,B191,CAL!O:O)</f>
        <v>1</v>
      </c>
      <c r="H191" s="22" t="n">
        <f aca="false">SUMIF(CAL!B:F,B191,CAL!H:H)+SUMIF(CAL!J:N,B191,CAL!P:P)</f>
        <v>4</v>
      </c>
      <c r="I191" s="34" t="n">
        <f aca="false">IF(E191=0,0,(D191/(E191*3)))</f>
        <v>0.481481481481481</v>
      </c>
      <c r="J191" s="33" t="n">
        <f aca="false">SUMIF(CAL!B:C,B191,CAL!C:C)+SUMIF(CAL!J:J,B191,CAL!D:D)</f>
        <v>7</v>
      </c>
      <c r="K191" s="22" t="n">
        <f aca="false">SUMIF(CAL!B:D,B191,CAL!D:D)+SUMIF(CAL!J:L,B191,CAL!K:K)</f>
        <v>14</v>
      </c>
      <c r="L191" s="22" t="n">
        <f aca="false">J191-K191</f>
        <v>-7</v>
      </c>
      <c r="M191" s="35" t="n">
        <f aca="false">IF(E191=0,0,(J191/E191))</f>
        <v>0.777777777777778</v>
      </c>
      <c r="N191" s="35" t="n">
        <f aca="false">IF(E191=0,0,(K191/E191))</f>
        <v>1.55555555555556</v>
      </c>
      <c r="O191" s="22" t="n">
        <f aca="false">SUMIF(CAL!B:I,B191,CAL!I:I)+SUMIF(CAL!J:Q,B191,CAL!Q:Q)</f>
        <v>4</v>
      </c>
      <c r="P191" s="19"/>
      <c r="Q191" s="22"/>
      <c r="R191" s="22"/>
      <c r="S191" s="22"/>
      <c r="T191" s="22" t="s">
        <v>5746</v>
      </c>
      <c r="U191" s="22" t="s">
        <v>5450</v>
      </c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customFormat="false" ht="12" hidden="false" customHeight="true" outlineLevel="0" collapsed="false">
      <c r="A192" s="31" t="n">
        <v>191</v>
      </c>
      <c r="B192" s="32" t="s">
        <v>252</v>
      </c>
      <c r="C192" s="32" t="s">
        <v>5747</v>
      </c>
      <c r="D192" s="22" t="n">
        <f aca="false">SUMIF(CAL!B:E,B192,CAL!E:E)+SUMIF(CAL!J:M,B192,CAL!M:M)</f>
        <v>10</v>
      </c>
      <c r="E192" s="33" t="n">
        <f aca="false">COUNTIF(CAL!B:J,B192)</f>
        <v>9</v>
      </c>
      <c r="F192" s="22" t="n">
        <f aca="false">SUMIF(CAL!B:F,B192,CAL!F:F)+SUMIF(CAL!J:N,B192,CAL!N:N)</f>
        <v>3</v>
      </c>
      <c r="G192" s="22" t="n">
        <f aca="false">SUMIF(CAL!B:F,B192,CAL!G:G)+SUMIF(CAL!J:N,B192,CAL!O:O)</f>
        <v>1</v>
      </c>
      <c r="H192" s="22" t="n">
        <f aca="false">SUMIF(CAL!B:F,B192,CAL!H:H)+SUMIF(CAL!J:N,B192,CAL!P:P)</f>
        <v>5</v>
      </c>
      <c r="I192" s="34" t="n">
        <f aca="false">IF(E192=0,0,(D192/(E192*3)))</f>
        <v>0.37037037037037</v>
      </c>
      <c r="J192" s="33" t="n">
        <f aca="false">SUMIF(CAL!B:C,B192,CAL!C:C)+SUMIF(CAL!J:J,B192,CAL!D:D)</f>
        <v>6</v>
      </c>
      <c r="K192" s="22" t="n">
        <f aca="false">SUMIF(CAL!B:D,B192,CAL!D:D)+SUMIF(CAL!J:L,B192,CAL!K:K)</f>
        <v>13</v>
      </c>
      <c r="L192" s="22" t="n">
        <f aca="false">J192-K192</f>
        <v>-7</v>
      </c>
      <c r="M192" s="35" t="n">
        <f aca="false">IF(E192=0,0,(J192/E192))</f>
        <v>0.666666666666667</v>
      </c>
      <c r="N192" s="35" t="n">
        <f aca="false">IF(E192=0,0,(K192/E192))</f>
        <v>1.44444444444444</v>
      </c>
      <c r="O192" s="22" t="n">
        <f aca="false">SUMIF(CAL!B:I,B192,CAL!I:I)+SUMIF(CAL!J:Q,B192,CAL!Q:Q)</f>
        <v>2</v>
      </c>
      <c r="P192" s="19"/>
      <c r="Q192" s="22"/>
      <c r="R192" s="22"/>
      <c r="S192" s="22"/>
      <c r="T192" s="22" t="s">
        <v>5748</v>
      </c>
      <c r="U192" s="22" t="s">
        <v>5476</v>
      </c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customFormat="false" ht="12" hidden="false" customHeight="true" outlineLevel="0" collapsed="false">
      <c r="A193" s="31" t="n">
        <v>192</v>
      </c>
      <c r="B193" s="32" t="s">
        <v>430</v>
      </c>
      <c r="C193" s="32" t="s">
        <v>5749</v>
      </c>
      <c r="D193" s="22" t="n">
        <f aca="false">SUMIF(CAL!B:E,B193,CAL!E:E)+SUMIF(CAL!J:M,B193,CAL!M:M)</f>
        <v>1</v>
      </c>
      <c r="E193" s="33" t="n">
        <f aca="false">COUNTIF(CAL!B:J,B193)</f>
        <v>3</v>
      </c>
      <c r="F193" s="22" t="n">
        <f aca="false">SUMIF(CAL!B:F,B193,CAL!F:F)+SUMIF(CAL!J:N,B193,CAL!N:N)</f>
        <v>0</v>
      </c>
      <c r="G193" s="22" t="n">
        <f aca="false">SUMIF(CAL!B:F,B193,CAL!G:G)+SUMIF(CAL!J:N,B193,CAL!O:O)</f>
        <v>1</v>
      </c>
      <c r="H193" s="22" t="n">
        <f aca="false">SUMIF(CAL!B:F,B193,CAL!H:H)+SUMIF(CAL!J:N,B193,CAL!P:P)</f>
        <v>2</v>
      </c>
      <c r="I193" s="34" t="n">
        <f aca="false">IF(E193=0,0,(D193/(E193*3)))</f>
        <v>0.111111111111111</v>
      </c>
      <c r="J193" s="33" t="n">
        <f aca="false">SUMIF(CAL!B:C,B193,CAL!C:C)+SUMIF(CAL!J:J,B193,CAL!D:D)</f>
        <v>1</v>
      </c>
      <c r="K193" s="22" t="n">
        <f aca="false">SUMIF(CAL!B:D,B193,CAL!D:D)+SUMIF(CAL!J:L,B193,CAL!K:K)</f>
        <v>4</v>
      </c>
      <c r="L193" s="22" t="n">
        <f aca="false">J193-K193</f>
        <v>-3</v>
      </c>
      <c r="M193" s="35" t="n">
        <f aca="false">IF(E193=0,0,(J193/E193))</f>
        <v>0.333333333333333</v>
      </c>
      <c r="N193" s="35" t="n">
        <f aca="false">IF(E193=0,0,(K193/E193))</f>
        <v>1.33333333333333</v>
      </c>
      <c r="O193" s="22" t="n">
        <f aca="false">SUMIF(CAL!B:I,B193,CAL!I:I)+SUMIF(CAL!J:Q,B193,CAL!Q:Q)</f>
        <v>1</v>
      </c>
      <c r="P193" s="19"/>
      <c r="Q193" s="22"/>
      <c r="R193" s="22"/>
      <c r="S193" s="22"/>
      <c r="T193" s="22" t="s">
        <v>5750</v>
      </c>
      <c r="U193" s="22" t="s">
        <v>5483</v>
      </c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customFormat="false" ht="12" hidden="false" customHeight="true" outlineLevel="0" collapsed="false">
      <c r="A194" s="31" t="n">
        <v>193</v>
      </c>
      <c r="B194" s="32" t="s">
        <v>68</v>
      </c>
      <c r="C194" s="32" t="s">
        <v>5751</v>
      </c>
      <c r="D194" s="22" t="n">
        <f aca="false">SUMIF(CAL!B:E,B194,CAL!E:E)+SUMIF(CAL!J:M,B194,CAL!M:M)</f>
        <v>17</v>
      </c>
      <c r="E194" s="33" t="n">
        <f aca="false">COUNTIF(CAL!B:J,B194)</f>
        <v>12</v>
      </c>
      <c r="F194" s="22" t="n">
        <f aca="false">SUMIF(CAL!B:F,B194,CAL!F:F)+SUMIF(CAL!J:N,B194,CAL!N:N)</f>
        <v>5</v>
      </c>
      <c r="G194" s="22" t="n">
        <f aca="false">SUMIF(CAL!B:F,B194,CAL!G:G)+SUMIF(CAL!J:N,B194,CAL!O:O)</f>
        <v>2</v>
      </c>
      <c r="H194" s="22" t="n">
        <f aca="false">SUMIF(CAL!B:F,B194,CAL!H:H)+SUMIF(CAL!J:N,B194,CAL!P:P)</f>
        <v>5</v>
      </c>
      <c r="I194" s="34" t="n">
        <f aca="false">IF(E194=0,0,(D194/(E194*3)))</f>
        <v>0.472222222222222</v>
      </c>
      <c r="J194" s="33" t="n">
        <f aca="false">SUMIF(CAL!B:C,B194,CAL!C:C)+SUMIF(CAL!J:J,B194,CAL!D:D)</f>
        <v>14</v>
      </c>
      <c r="K194" s="22" t="n">
        <f aca="false">SUMIF(CAL!B:D,B194,CAL!D:D)+SUMIF(CAL!J:L,B194,CAL!K:K)</f>
        <v>16</v>
      </c>
      <c r="L194" s="22" t="n">
        <f aca="false">J194-K194</f>
        <v>-2</v>
      </c>
      <c r="M194" s="35" t="n">
        <f aca="false">IF(E194=0,0,(J194/E194))</f>
        <v>1.16666666666667</v>
      </c>
      <c r="N194" s="35" t="n">
        <f aca="false">IF(E194=0,0,(K194/E194))</f>
        <v>1.33333333333333</v>
      </c>
      <c r="O194" s="22" t="n">
        <f aca="false">SUMIF(CAL!B:I,B194,CAL!I:I)+SUMIF(CAL!J:Q,B194,CAL!Q:Q)</f>
        <v>2</v>
      </c>
      <c r="P194" s="19"/>
      <c r="Q194" s="22"/>
      <c r="R194" s="22"/>
      <c r="S194" s="22"/>
      <c r="T194" s="22" t="s">
        <v>5480</v>
      </c>
      <c r="U194" s="22" t="s">
        <v>5453</v>
      </c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customFormat="false" ht="12" hidden="false" customHeight="true" outlineLevel="0" collapsed="false">
      <c r="A195" s="31" t="n">
        <v>194</v>
      </c>
      <c r="B195" s="32" t="s">
        <v>342</v>
      </c>
      <c r="C195" s="32" t="s">
        <v>5752</v>
      </c>
      <c r="D195" s="22" t="n">
        <f aca="false">SUMIF(CAL!B:E,B195,CAL!E:E)+SUMIF(CAL!J:M,B195,CAL!M:M)</f>
        <v>13</v>
      </c>
      <c r="E195" s="33" t="n">
        <f aca="false">COUNTIF(CAL!B:J,B195)</f>
        <v>12</v>
      </c>
      <c r="F195" s="22" t="n">
        <f aca="false">SUMIF(CAL!B:F,B195,CAL!F:F)+SUMIF(CAL!J:N,B195,CAL!N:N)</f>
        <v>3</v>
      </c>
      <c r="G195" s="22" t="n">
        <f aca="false">SUMIF(CAL!B:F,B195,CAL!G:G)+SUMIF(CAL!J:N,B195,CAL!O:O)</f>
        <v>4</v>
      </c>
      <c r="H195" s="22" t="n">
        <f aca="false">SUMIF(CAL!B:F,B195,CAL!H:H)+SUMIF(CAL!J:N,B195,CAL!P:P)</f>
        <v>5</v>
      </c>
      <c r="I195" s="34" t="n">
        <f aca="false">IF(E195=0,0,(D195/(E195*3)))</f>
        <v>0.361111111111111</v>
      </c>
      <c r="J195" s="33" t="n">
        <f aca="false">SUMIF(CAL!B:C,B195,CAL!C:C)+SUMIF(CAL!J:J,B195,CAL!D:D)</f>
        <v>6</v>
      </c>
      <c r="K195" s="22" t="n">
        <f aca="false">SUMIF(CAL!B:D,B195,CAL!D:D)+SUMIF(CAL!J:L,B195,CAL!K:K)</f>
        <v>12</v>
      </c>
      <c r="L195" s="22" t="n">
        <f aca="false">J195-K195</f>
        <v>-6</v>
      </c>
      <c r="M195" s="35" t="n">
        <f aca="false">IF(E195=0,0,(J195/E195))</f>
        <v>0.5</v>
      </c>
      <c r="N195" s="35" t="n">
        <f aca="false">IF(E195=0,0,(K195/E195))</f>
        <v>1</v>
      </c>
      <c r="O195" s="22" t="n">
        <f aca="false">SUMIF(CAL!B:I,B195,CAL!I:I)+SUMIF(CAL!J:Q,B195,CAL!Q:Q)</f>
        <v>5</v>
      </c>
      <c r="P195" s="19"/>
      <c r="Q195" s="22"/>
      <c r="R195" s="22"/>
      <c r="S195" s="22"/>
      <c r="T195" s="22" t="s">
        <v>5753</v>
      </c>
      <c r="U195" s="22" t="s">
        <v>5447</v>
      </c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customFormat="false" ht="12" hidden="false" customHeight="true" outlineLevel="0" collapsed="false">
      <c r="A196" s="31" t="n">
        <v>195</v>
      </c>
      <c r="B196" s="32" t="s">
        <v>348</v>
      </c>
      <c r="C196" s="32" t="s">
        <v>5754</v>
      </c>
      <c r="D196" s="22" t="n">
        <f aca="false">SUMIF(CAL!B:E,B196,CAL!E:E)+SUMIF(CAL!J:M,B196,CAL!M:M)</f>
        <v>21</v>
      </c>
      <c r="E196" s="33" t="n">
        <f aca="false">COUNTIF(CAL!B:J,B196)</f>
        <v>15</v>
      </c>
      <c r="F196" s="22" t="n">
        <f aca="false">SUMIF(CAL!B:F,B196,CAL!F:F)+SUMIF(CAL!J:N,B196,CAL!N:N)</f>
        <v>5</v>
      </c>
      <c r="G196" s="22" t="n">
        <f aca="false">SUMIF(CAL!B:F,B196,CAL!G:G)+SUMIF(CAL!J:N,B196,CAL!O:O)</f>
        <v>6</v>
      </c>
      <c r="H196" s="22" t="n">
        <f aca="false">SUMIF(CAL!B:F,B196,CAL!H:H)+SUMIF(CAL!J:N,B196,CAL!P:P)</f>
        <v>4</v>
      </c>
      <c r="I196" s="34" t="n">
        <f aca="false">IF(E196=0,0,(D196/(E196*3)))</f>
        <v>0.466666666666667</v>
      </c>
      <c r="J196" s="33" t="n">
        <f aca="false">SUMIF(CAL!B:C,B196,CAL!C:C)+SUMIF(CAL!J:J,B196,CAL!D:D)</f>
        <v>16</v>
      </c>
      <c r="K196" s="22" t="n">
        <f aca="false">SUMIF(CAL!B:D,B196,CAL!D:D)+SUMIF(CAL!J:L,B196,CAL!K:K)</f>
        <v>15</v>
      </c>
      <c r="L196" s="22" t="n">
        <f aca="false">J196-K196</f>
        <v>1</v>
      </c>
      <c r="M196" s="35" t="n">
        <f aca="false">IF(E196=0,0,(J196/E196))</f>
        <v>1.06666666666667</v>
      </c>
      <c r="N196" s="35" t="n">
        <f aca="false">IF(E196=0,0,(K196/E196))</f>
        <v>1</v>
      </c>
      <c r="O196" s="22" t="n">
        <f aca="false">SUMIF(CAL!B:I,B196,CAL!I:I)+SUMIF(CAL!J:Q,B196,CAL!Q:Q)</f>
        <v>7</v>
      </c>
      <c r="P196" s="19"/>
      <c r="Q196" s="22"/>
      <c r="R196" s="22"/>
      <c r="S196" s="22"/>
      <c r="T196" s="22" t="s">
        <v>5755</v>
      </c>
      <c r="U196" s="22" t="s">
        <v>5450</v>
      </c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customFormat="false" ht="12" hidden="false" customHeight="true" outlineLevel="0" collapsed="false">
      <c r="A197" s="31" t="n">
        <v>196</v>
      </c>
      <c r="B197" s="37" t="s">
        <v>427</v>
      </c>
      <c r="C197" s="37" t="s">
        <v>5756</v>
      </c>
      <c r="D197" s="22" t="n">
        <f aca="false">SUMIF(CAL!B:E,B197,CAL!E:E)+SUMIF(CAL!J:M,B197,CAL!M:M)</f>
        <v>7</v>
      </c>
      <c r="E197" s="33" t="n">
        <f aca="false">COUNTIF(CAL!B:J,B197)</f>
        <v>4</v>
      </c>
      <c r="F197" s="22" t="n">
        <f aca="false">SUMIF(CAL!B:F,B197,CAL!F:F)+SUMIF(CAL!J:N,B197,CAL!N:N)</f>
        <v>2</v>
      </c>
      <c r="G197" s="22" t="n">
        <f aca="false">SUMIF(CAL!B:F,B197,CAL!G:G)+SUMIF(CAL!J:N,B197,CAL!O:O)</f>
        <v>1</v>
      </c>
      <c r="H197" s="22" t="n">
        <f aca="false">SUMIF(CAL!B:F,B197,CAL!H:H)+SUMIF(CAL!J:N,B197,CAL!P:P)</f>
        <v>1</v>
      </c>
      <c r="I197" s="34" t="n">
        <f aca="false">IF(E197=0,0,(D197/(E197*3)))</f>
        <v>0.583333333333333</v>
      </c>
      <c r="J197" s="33" t="n">
        <f aca="false">SUMIF(CAL!B:C,B197,CAL!C:C)+SUMIF(CAL!J:J,B197,CAL!D:D)</f>
        <v>6</v>
      </c>
      <c r="K197" s="22" t="n">
        <f aca="false">SUMIF(CAL!B:D,B197,CAL!D:D)+SUMIF(CAL!J:L,B197,CAL!K:K)</f>
        <v>6</v>
      </c>
      <c r="L197" s="22" t="n">
        <f aca="false">J197-K197</f>
        <v>0</v>
      </c>
      <c r="M197" s="35" t="n">
        <f aca="false">IF(E197=0,0,(J197/E197))</f>
        <v>1.5</v>
      </c>
      <c r="N197" s="35" t="n">
        <f aca="false">IF(E197=0,0,(K197/E197))</f>
        <v>1.5</v>
      </c>
      <c r="O197" s="22" t="n">
        <f aca="false">SUMIF(CAL!B:I,B197,CAL!I:I)+SUMIF(CAL!J:Q,B197,CAL!Q:Q)</f>
        <v>1</v>
      </c>
      <c r="P197" s="19"/>
      <c r="Q197" s="22"/>
      <c r="R197" s="22"/>
      <c r="S197" s="22"/>
      <c r="T197" s="22"/>
      <c r="U197" s="22" t="s">
        <v>5483</v>
      </c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customFormat="false" ht="12" hidden="false" customHeight="true" outlineLevel="0" collapsed="false">
      <c r="A198" s="31" t="n">
        <v>197</v>
      </c>
      <c r="B198" s="32" t="s">
        <v>185</v>
      </c>
      <c r="C198" s="32" t="s">
        <v>5757</v>
      </c>
      <c r="D198" s="22" t="n">
        <f aca="false">SUMIF(CAL!B:E,B198,CAL!E:E)+SUMIF(CAL!J:M,B198,CAL!M:M)</f>
        <v>9</v>
      </c>
      <c r="E198" s="33" t="n">
        <f aca="false">COUNTIF(CAL!B:J,B198)</f>
        <v>10</v>
      </c>
      <c r="F198" s="22" t="n">
        <f aca="false">SUMIF(CAL!B:F,B198,CAL!F:F)+SUMIF(CAL!J:N,B198,CAL!N:N)</f>
        <v>2</v>
      </c>
      <c r="G198" s="22" t="n">
        <f aca="false">SUMIF(CAL!B:F,B198,CAL!G:G)+SUMIF(CAL!J:N,B198,CAL!O:O)</f>
        <v>3</v>
      </c>
      <c r="H198" s="22" t="n">
        <f aca="false">SUMIF(CAL!B:F,B198,CAL!H:H)+SUMIF(CAL!J:N,B198,CAL!P:P)</f>
        <v>5</v>
      </c>
      <c r="I198" s="34" t="n">
        <f aca="false">IF(E198=0,0,(D198/(E198*3)))</f>
        <v>0.3</v>
      </c>
      <c r="J198" s="33" t="n">
        <f aca="false">SUMIF(CAL!B:C,B198,CAL!C:C)+SUMIF(CAL!J:J,B198,CAL!D:D)</f>
        <v>8</v>
      </c>
      <c r="K198" s="22" t="n">
        <f aca="false">SUMIF(CAL!B:D,B198,CAL!D:D)+SUMIF(CAL!J:L,B198,CAL!K:K)</f>
        <v>21</v>
      </c>
      <c r="L198" s="22" t="n">
        <f aca="false">J198-K198</f>
        <v>-13</v>
      </c>
      <c r="M198" s="35" t="n">
        <f aca="false">IF(E198=0,0,(J198/E198))</f>
        <v>0.8</v>
      </c>
      <c r="N198" s="35" t="n">
        <f aca="false">IF(E198=0,0,(K198/E198))</f>
        <v>2.1</v>
      </c>
      <c r="O198" s="22" t="n">
        <f aca="false">SUMIF(CAL!B:I,B198,CAL!I:I)+SUMIF(CAL!J:Q,B198,CAL!Q:Q)</f>
        <v>2</v>
      </c>
      <c r="P198" s="19"/>
      <c r="Q198" s="22"/>
      <c r="R198" s="22"/>
      <c r="S198" s="22"/>
      <c r="T198" s="22" t="s">
        <v>5758</v>
      </c>
      <c r="U198" s="22" t="s">
        <v>5414</v>
      </c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customFormat="false" ht="12" hidden="false" customHeight="true" outlineLevel="0" collapsed="false">
      <c r="A199" s="31" t="n">
        <v>198</v>
      </c>
      <c r="B199" s="36" t="s">
        <v>126</v>
      </c>
      <c r="C199" s="32" t="s">
        <v>5759</v>
      </c>
      <c r="D199" s="22" t="n">
        <f aca="false">SUMIF(CAL!B:E,B199,CAL!E:E)+SUMIF(CAL!J:M,B199,CAL!M:M)</f>
        <v>11</v>
      </c>
      <c r="E199" s="33" t="n">
        <f aca="false">COUNTIF(CAL!B:J,B199)</f>
        <v>9</v>
      </c>
      <c r="F199" s="22" t="n">
        <f aca="false">SUMIF(CAL!B:F,B199,CAL!F:F)+SUMIF(CAL!J:N,B199,CAL!N:N)</f>
        <v>3</v>
      </c>
      <c r="G199" s="22" t="n">
        <f aca="false">SUMIF(CAL!B:F,B199,CAL!G:G)+SUMIF(CAL!J:N,B199,CAL!O:O)</f>
        <v>2</v>
      </c>
      <c r="H199" s="22" t="n">
        <f aca="false">SUMIF(CAL!B:F,B199,CAL!H:H)+SUMIF(CAL!J:N,B199,CAL!P:P)</f>
        <v>4</v>
      </c>
      <c r="I199" s="34" t="n">
        <f aca="false">IF(E199=0,0,(D199/(E199*3)))</f>
        <v>0.407407407407407</v>
      </c>
      <c r="J199" s="33" t="n">
        <f aca="false">SUMIF(CAL!B:C,B199,CAL!C:C)+SUMIF(CAL!J:J,B199,CAL!D:D)</f>
        <v>12</v>
      </c>
      <c r="K199" s="22" t="n">
        <f aca="false">SUMIF(CAL!B:D,B199,CAL!D:D)+SUMIF(CAL!J:L,B199,CAL!K:K)</f>
        <v>13</v>
      </c>
      <c r="L199" s="22" t="n">
        <f aca="false">J199-K199</f>
        <v>-1</v>
      </c>
      <c r="M199" s="35" t="n">
        <f aca="false">IF(E199=0,0,(J199/E199))</f>
        <v>1.33333333333333</v>
      </c>
      <c r="N199" s="35" t="n">
        <f aca="false">IF(E199=0,0,(K199/E199))</f>
        <v>1.44444444444444</v>
      </c>
      <c r="O199" s="22" t="n">
        <f aca="false">SUMIF(CAL!B:I,B199,CAL!I:I)+SUMIF(CAL!J:Q,B199,CAL!Q:Q)</f>
        <v>2</v>
      </c>
      <c r="P199" s="19"/>
      <c r="Q199" s="22"/>
      <c r="R199" s="22"/>
      <c r="S199" s="22"/>
      <c r="T199" s="22" t="s">
        <v>5760</v>
      </c>
      <c r="U199" s="22" t="s">
        <v>5431</v>
      </c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customFormat="false" ht="12" hidden="false" customHeight="true" outlineLevel="0" collapsed="false">
      <c r="A200" s="31" t="n">
        <v>199</v>
      </c>
      <c r="B200" s="32" t="s">
        <v>361</v>
      </c>
      <c r="C200" s="32" t="s">
        <v>5761</v>
      </c>
      <c r="D200" s="22" t="n">
        <f aca="false">SUMIF(CAL!B:E,B200,CAL!E:E)+SUMIF(CAL!J:M,B200,CAL!M:M)</f>
        <v>10</v>
      </c>
      <c r="E200" s="33" t="n">
        <f aca="false">COUNTIF(CAL!B:J,B200)</f>
        <v>15</v>
      </c>
      <c r="F200" s="22" t="n">
        <f aca="false">SUMIF(CAL!B:F,B200,CAL!F:F)+SUMIF(CAL!J:N,B200,CAL!N:N)</f>
        <v>1</v>
      </c>
      <c r="G200" s="22" t="n">
        <f aca="false">SUMIF(CAL!B:F,B200,CAL!G:G)+SUMIF(CAL!J:N,B200,CAL!O:O)</f>
        <v>7</v>
      </c>
      <c r="H200" s="22" t="n">
        <f aca="false">SUMIF(CAL!B:F,B200,CAL!H:H)+SUMIF(CAL!J:N,B200,CAL!P:P)</f>
        <v>7</v>
      </c>
      <c r="I200" s="34" t="n">
        <f aca="false">IF(E200=0,0,(D200/(E200*3)))</f>
        <v>0.222222222222222</v>
      </c>
      <c r="J200" s="33" t="n">
        <f aca="false">SUMIF(CAL!B:C,B200,CAL!C:C)+SUMIF(CAL!J:J,B200,CAL!D:D)</f>
        <v>6</v>
      </c>
      <c r="K200" s="22" t="n">
        <f aca="false">SUMIF(CAL!B:D,B200,CAL!D:D)+SUMIF(CAL!J:L,B200,CAL!K:K)</f>
        <v>20</v>
      </c>
      <c r="L200" s="22" t="n">
        <f aca="false">J200-K200</f>
        <v>-14</v>
      </c>
      <c r="M200" s="35" t="n">
        <f aca="false">IF(E200=0,0,(J200/E200))</f>
        <v>0.4</v>
      </c>
      <c r="N200" s="35" t="n">
        <f aca="false">IF(E200=0,0,(K200/E200))</f>
        <v>1.33333333333333</v>
      </c>
      <c r="O200" s="22" t="n">
        <f aca="false">SUMIF(CAL!B:I,B200,CAL!I:I)+SUMIF(CAL!J:Q,B200,CAL!Q:Q)</f>
        <v>5</v>
      </c>
      <c r="P200" s="19"/>
      <c r="Q200" s="22"/>
      <c r="R200" s="22"/>
      <c r="S200" s="22"/>
      <c r="T200" s="22" t="s">
        <v>5762</v>
      </c>
      <c r="U200" s="22" t="s">
        <v>5450</v>
      </c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customFormat="false" ht="12" hidden="false" customHeight="true" outlineLevel="0" collapsed="false">
      <c r="A201" s="31" t="n">
        <v>200</v>
      </c>
      <c r="B201" s="32" t="s">
        <v>366</v>
      </c>
      <c r="C201" s="32" t="s">
        <v>5763</v>
      </c>
      <c r="D201" s="22" t="n">
        <f aca="false">SUMIF(CAL!B:E,B201,CAL!E:E)+SUMIF(CAL!J:M,B201,CAL!M:M)</f>
        <v>20</v>
      </c>
      <c r="E201" s="33" t="n">
        <f aca="false">COUNTIF(CAL!B:J,B201)</f>
        <v>15</v>
      </c>
      <c r="F201" s="22" t="n">
        <f aca="false">SUMIF(CAL!B:F,B201,CAL!F:F)+SUMIF(CAL!J:N,B201,CAL!N:N)</f>
        <v>6</v>
      </c>
      <c r="G201" s="22" t="n">
        <f aca="false">SUMIF(CAL!B:F,B201,CAL!G:G)+SUMIF(CAL!J:N,B201,CAL!O:O)</f>
        <v>2</v>
      </c>
      <c r="H201" s="22" t="n">
        <f aca="false">SUMIF(CAL!B:F,B201,CAL!H:H)+SUMIF(CAL!J:N,B201,CAL!P:P)</f>
        <v>7</v>
      </c>
      <c r="I201" s="34" t="n">
        <f aca="false">IF(E201=0,0,(D201/(E201*3)))</f>
        <v>0.444444444444444</v>
      </c>
      <c r="J201" s="33" t="n">
        <f aca="false">SUMIF(CAL!B:C,B201,CAL!C:C)+SUMIF(CAL!J:J,B201,CAL!D:D)</f>
        <v>17</v>
      </c>
      <c r="K201" s="22" t="n">
        <f aca="false">SUMIF(CAL!B:D,B201,CAL!D:D)+SUMIF(CAL!J:L,B201,CAL!K:K)</f>
        <v>16</v>
      </c>
      <c r="L201" s="22" t="n">
        <f aca="false">J201-K201</f>
        <v>1</v>
      </c>
      <c r="M201" s="35" t="n">
        <f aca="false">IF(E201=0,0,(J201/E201))</f>
        <v>1.13333333333333</v>
      </c>
      <c r="N201" s="35" t="n">
        <f aca="false">IF(E201=0,0,(K201/E201))</f>
        <v>1.06666666666667</v>
      </c>
      <c r="O201" s="22" t="n">
        <f aca="false">SUMIF(CAL!B:I,B201,CAL!I:I)+SUMIF(CAL!J:Q,B201,CAL!Q:Q)</f>
        <v>3</v>
      </c>
      <c r="P201" s="19"/>
      <c r="Q201" s="22"/>
      <c r="R201" s="22"/>
      <c r="S201" s="22"/>
      <c r="T201" s="22" t="s">
        <v>5586</v>
      </c>
      <c r="U201" s="22" t="s">
        <v>5450</v>
      </c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customFormat="false" ht="12" hidden="false" customHeight="true" outlineLevel="0" collapsed="false">
      <c r="A202" s="31" t="n">
        <v>201</v>
      </c>
      <c r="B202" s="32" t="s">
        <v>69</v>
      </c>
      <c r="C202" s="32" t="s">
        <v>5764</v>
      </c>
      <c r="D202" s="22" t="n">
        <f aca="false">SUMIF(CAL!B:E,B202,CAL!E:E)+SUMIF(CAL!J:M,B202,CAL!M:M)</f>
        <v>10</v>
      </c>
      <c r="E202" s="33" t="n">
        <f aca="false">COUNTIF(CAL!B:J,B202)</f>
        <v>10</v>
      </c>
      <c r="F202" s="22" t="n">
        <f aca="false">SUMIF(CAL!B:F,B202,CAL!F:F)+SUMIF(CAL!J:N,B202,CAL!N:N)</f>
        <v>2</v>
      </c>
      <c r="G202" s="22" t="n">
        <f aca="false">SUMIF(CAL!B:F,B202,CAL!G:G)+SUMIF(CAL!J:N,B202,CAL!O:O)</f>
        <v>4</v>
      </c>
      <c r="H202" s="22" t="n">
        <f aca="false">SUMIF(CAL!B:F,B202,CAL!H:H)+SUMIF(CAL!J:N,B202,CAL!P:P)</f>
        <v>4</v>
      </c>
      <c r="I202" s="34" t="n">
        <f aca="false">IF(E202=0,0,(D202/(E202*3)))</f>
        <v>0.333333333333333</v>
      </c>
      <c r="J202" s="33" t="n">
        <f aca="false">SUMIF(CAL!B:C,B202,CAL!C:C)+SUMIF(CAL!J:J,B202,CAL!D:D)</f>
        <v>8</v>
      </c>
      <c r="K202" s="22" t="n">
        <f aca="false">SUMIF(CAL!B:D,B202,CAL!D:D)+SUMIF(CAL!J:L,B202,CAL!K:K)</f>
        <v>17</v>
      </c>
      <c r="L202" s="22" t="n">
        <f aca="false">J202-K202</f>
        <v>-9</v>
      </c>
      <c r="M202" s="35" t="n">
        <f aca="false">IF(E202=0,0,(J202/E202))</f>
        <v>0.8</v>
      </c>
      <c r="N202" s="35" t="n">
        <f aca="false">IF(E202=0,0,(K202/E202))</f>
        <v>1.7</v>
      </c>
      <c r="O202" s="22" t="n">
        <f aca="false">SUMIF(CAL!B:I,B202,CAL!I:I)+SUMIF(CAL!J:Q,B202,CAL!Q:Q)</f>
        <v>4</v>
      </c>
      <c r="P202" s="19"/>
      <c r="Q202" s="22"/>
      <c r="R202" s="22"/>
      <c r="S202" s="22"/>
      <c r="T202" s="22" t="s">
        <v>5765</v>
      </c>
      <c r="U202" s="22" t="s">
        <v>5453</v>
      </c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customFormat="false" ht="12" hidden="false" customHeight="true" outlineLevel="0" collapsed="false">
      <c r="A203" s="31" t="n">
        <v>202</v>
      </c>
      <c r="B203" s="32" t="s">
        <v>275</v>
      </c>
      <c r="C203" s="32" t="s">
        <v>5766</v>
      </c>
      <c r="D203" s="22" t="n">
        <f aca="false">SUMIF(CAL!B:E,B203,CAL!E:E)+SUMIF(CAL!J:M,B203,CAL!M:M)</f>
        <v>8</v>
      </c>
      <c r="E203" s="33" t="n">
        <f aca="false">COUNTIF(CAL!B:J,B203)</f>
        <v>9</v>
      </c>
      <c r="F203" s="22" t="n">
        <f aca="false">SUMIF(CAL!B:F,B203,CAL!F:F)+SUMIF(CAL!J:N,B203,CAL!N:N)</f>
        <v>2</v>
      </c>
      <c r="G203" s="22" t="n">
        <f aca="false">SUMIF(CAL!B:F,B203,CAL!G:G)+SUMIF(CAL!J:N,B203,CAL!O:O)</f>
        <v>2</v>
      </c>
      <c r="H203" s="22" t="n">
        <f aca="false">SUMIF(CAL!B:F,B203,CAL!H:H)+SUMIF(CAL!J:N,B203,CAL!P:P)</f>
        <v>5</v>
      </c>
      <c r="I203" s="34" t="n">
        <f aca="false">IF(E203=0,0,(D203/(E203*3)))</f>
        <v>0.296296296296296</v>
      </c>
      <c r="J203" s="33" t="n">
        <f aca="false">SUMIF(CAL!B:C,B203,CAL!C:C)+SUMIF(CAL!J:J,B203,CAL!D:D)</f>
        <v>12</v>
      </c>
      <c r="K203" s="22" t="n">
        <f aca="false">SUMIF(CAL!B:D,B203,CAL!D:D)+SUMIF(CAL!J:L,B203,CAL!K:K)</f>
        <v>17</v>
      </c>
      <c r="L203" s="22" t="n">
        <f aca="false">J203-K203</f>
        <v>-5</v>
      </c>
      <c r="M203" s="35" t="n">
        <f aca="false">IF(E203=0,0,(J203/E203))</f>
        <v>1.33333333333333</v>
      </c>
      <c r="N203" s="35" t="n">
        <f aca="false">IF(E203=0,0,(K203/E203))</f>
        <v>1.88888888888889</v>
      </c>
      <c r="O203" s="22" t="n">
        <f aca="false">SUMIF(CAL!B:I,B203,CAL!I:I)+SUMIF(CAL!J:Q,B203,CAL!Q:Q)</f>
        <v>1</v>
      </c>
      <c r="P203" s="19"/>
      <c r="Q203" s="22"/>
      <c r="R203" s="22"/>
      <c r="S203" s="22"/>
      <c r="T203" s="22" t="s">
        <v>5767</v>
      </c>
      <c r="U203" s="22" t="s">
        <v>5400</v>
      </c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customFormat="false" ht="12" hidden="false" customHeight="true" outlineLevel="0" collapsed="false">
      <c r="A204" s="31" t="n">
        <v>203</v>
      </c>
      <c r="B204" s="32" t="s">
        <v>205</v>
      </c>
      <c r="C204" s="32" t="s">
        <v>5768</v>
      </c>
      <c r="D204" s="22" t="n">
        <f aca="false">SUMIF(CAL!B:E,B204,CAL!E:E)+SUMIF(CAL!J:M,B204,CAL!M:M)</f>
        <v>5</v>
      </c>
      <c r="E204" s="33" t="n">
        <f aca="false">COUNTIF(CAL!B:J,B204)</f>
        <v>7</v>
      </c>
      <c r="F204" s="22" t="n">
        <f aca="false">SUMIF(CAL!B:F,B204,CAL!F:F)+SUMIF(CAL!J:N,B204,CAL!N:N)</f>
        <v>1</v>
      </c>
      <c r="G204" s="22" t="n">
        <f aca="false">SUMIF(CAL!B:F,B204,CAL!G:G)+SUMIF(CAL!J:N,B204,CAL!O:O)</f>
        <v>2</v>
      </c>
      <c r="H204" s="22" t="n">
        <f aca="false">SUMIF(CAL!B:F,B204,CAL!H:H)+SUMIF(CAL!J:N,B204,CAL!P:P)</f>
        <v>4</v>
      </c>
      <c r="I204" s="34" t="n">
        <f aca="false">IF(E204=0,0,(D204/(E204*3)))</f>
        <v>0.238095238095238</v>
      </c>
      <c r="J204" s="33" t="n">
        <f aca="false">SUMIF(CAL!B:C,B204,CAL!C:C)+SUMIF(CAL!J:J,B204,CAL!D:D)</f>
        <v>6</v>
      </c>
      <c r="K204" s="22" t="n">
        <f aca="false">SUMIF(CAL!B:D,B204,CAL!D:D)+SUMIF(CAL!J:L,B204,CAL!K:K)</f>
        <v>13</v>
      </c>
      <c r="L204" s="22" t="n">
        <f aca="false">J204-K204</f>
        <v>-7</v>
      </c>
      <c r="M204" s="35" t="n">
        <f aca="false">IF(E204=0,0,(J204/E204))</f>
        <v>0.857142857142857</v>
      </c>
      <c r="N204" s="35" t="n">
        <f aca="false">IF(E204=0,0,(K204/E204))</f>
        <v>1.85714285714286</v>
      </c>
      <c r="O204" s="22" t="n">
        <f aca="false">SUMIF(CAL!B:I,B204,CAL!I:I)+SUMIF(CAL!J:Q,B204,CAL!Q:Q)</f>
        <v>1</v>
      </c>
      <c r="P204" s="19"/>
      <c r="Q204" s="22"/>
      <c r="R204" s="22"/>
      <c r="S204" s="22"/>
      <c r="T204" s="22" t="s">
        <v>5769</v>
      </c>
      <c r="U204" s="22" t="s">
        <v>5391</v>
      </c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customFormat="false" ht="12" hidden="false" customHeight="true" outlineLevel="0" collapsed="false">
      <c r="A205" s="31" t="n">
        <v>204</v>
      </c>
      <c r="B205" s="32" t="s">
        <v>318</v>
      </c>
      <c r="C205" s="32" t="s">
        <v>5770</v>
      </c>
      <c r="D205" s="22" t="n">
        <f aca="false">SUMIF(CAL!B:E,B205,CAL!E:E)+SUMIF(CAL!J:M,B205,CAL!M:M)</f>
        <v>17</v>
      </c>
      <c r="E205" s="33" t="n">
        <f aca="false">COUNTIF(CAL!B:J,B205)</f>
        <v>13</v>
      </c>
      <c r="F205" s="22" t="n">
        <f aca="false">SUMIF(CAL!B:F,B205,CAL!F:F)+SUMIF(CAL!J:N,B205,CAL!N:N)</f>
        <v>4</v>
      </c>
      <c r="G205" s="22" t="n">
        <f aca="false">SUMIF(CAL!B:F,B205,CAL!G:G)+SUMIF(CAL!J:N,B205,CAL!O:O)</f>
        <v>5</v>
      </c>
      <c r="H205" s="22" t="n">
        <f aca="false">SUMIF(CAL!B:F,B205,CAL!H:H)+SUMIF(CAL!J:N,B205,CAL!P:P)</f>
        <v>4</v>
      </c>
      <c r="I205" s="34" t="n">
        <f aca="false">IF(E205=0,0,(D205/(E205*3)))</f>
        <v>0.435897435897436</v>
      </c>
      <c r="J205" s="33" t="n">
        <f aca="false">SUMIF(CAL!B:C,B205,CAL!C:C)+SUMIF(CAL!J:J,B205,CAL!D:D)</f>
        <v>14</v>
      </c>
      <c r="K205" s="22" t="n">
        <f aca="false">SUMIF(CAL!B:D,B205,CAL!D:D)+SUMIF(CAL!J:L,B205,CAL!K:K)</f>
        <v>11</v>
      </c>
      <c r="L205" s="22" t="n">
        <f aca="false">J205-K205</f>
        <v>3</v>
      </c>
      <c r="M205" s="35" t="n">
        <f aca="false">IF(E205=0,0,(J205/E205))</f>
        <v>1.07692307692308</v>
      </c>
      <c r="N205" s="35" t="n">
        <f aca="false">IF(E205=0,0,(K205/E205))</f>
        <v>0.846153846153846</v>
      </c>
      <c r="O205" s="22" t="n">
        <f aca="false">SUMIF(CAL!B:I,B205,CAL!I:I)+SUMIF(CAL!J:Q,B205,CAL!Q:Q)</f>
        <v>5</v>
      </c>
      <c r="P205" s="19"/>
      <c r="Q205" s="22"/>
      <c r="R205" s="22"/>
      <c r="S205" s="22"/>
      <c r="T205" s="22" t="s">
        <v>5771</v>
      </c>
      <c r="U205" s="22" t="s">
        <v>5576</v>
      </c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customFormat="false" ht="12" hidden="false" customHeight="true" outlineLevel="0" collapsed="false">
      <c r="A206" s="31" t="n">
        <v>205</v>
      </c>
      <c r="B206" s="32" t="s">
        <v>171</v>
      </c>
      <c r="C206" s="32" t="s">
        <v>5772</v>
      </c>
      <c r="D206" s="22" t="n">
        <f aca="false">SUMIF(CAL!B:E,B206,CAL!E:E)+SUMIF(CAL!J:M,B206,CAL!M:M)</f>
        <v>12</v>
      </c>
      <c r="E206" s="33" t="n">
        <f aca="false">COUNTIF(CAL!B:J,B206)</f>
        <v>11</v>
      </c>
      <c r="F206" s="22" t="n">
        <f aca="false">SUMIF(CAL!B:F,B206,CAL!F:F)+SUMIF(CAL!J:N,B206,CAL!N:N)</f>
        <v>3</v>
      </c>
      <c r="G206" s="22" t="n">
        <f aca="false">SUMIF(CAL!B:F,B206,CAL!G:G)+SUMIF(CAL!J:N,B206,CAL!O:O)</f>
        <v>3</v>
      </c>
      <c r="H206" s="22" t="n">
        <f aca="false">SUMIF(CAL!B:F,B206,CAL!H:H)+SUMIF(CAL!J:N,B206,CAL!P:P)</f>
        <v>5</v>
      </c>
      <c r="I206" s="34" t="n">
        <f aca="false">IF(E206=0,0,(D206/(E206*3)))</f>
        <v>0.363636363636364</v>
      </c>
      <c r="J206" s="33" t="n">
        <f aca="false">SUMIF(CAL!B:C,B206,CAL!C:C)+SUMIF(CAL!J:J,B206,CAL!D:D)</f>
        <v>11</v>
      </c>
      <c r="K206" s="22" t="n">
        <f aca="false">SUMIF(CAL!B:D,B206,CAL!D:D)+SUMIF(CAL!J:L,B206,CAL!K:K)</f>
        <v>18</v>
      </c>
      <c r="L206" s="22" t="n">
        <f aca="false">J206-K206</f>
        <v>-7</v>
      </c>
      <c r="M206" s="35" t="n">
        <f aca="false">IF(E206=0,0,(J206/E206))</f>
        <v>1</v>
      </c>
      <c r="N206" s="35" t="n">
        <f aca="false">IF(E206=0,0,(K206/E206))</f>
        <v>1.63636363636364</v>
      </c>
      <c r="O206" s="22" t="n">
        <f aca="false">SUMIF(CAL!B:I,B206,CAL!I:I)+SUMIF(CAL!J:Q,B206,CAL!Q:Q)</f>
        <v>1</v>
      </c>
      <c r="P206" s="19"/>
      <c r="Q206" s="22"/>
      <c r="R206" s="22"/>
      <c r="S206" s="22"/>
      <c r="T206" s="22" t="s">
        <v>5773</v>
      </c>
      <c r="U206" s="22" t="s">
        <v>5580</v>
      </c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customFormat="false" ht="12" hidden="false" customHeight="true" outlineLevel="0" collapsed="false">
      <c r="A207" s="31" t="n">
        <v>206</v>
      </c>
      <c r="B207" s="32" t="s">
        <v>316</v>
      </c>
      <c r="C207" s="32" t="s">
        <v>5774</v>
      </c>
      <c r="D207" s="22" t="n">
        <f aca="false">SUMIF(CAL!B:E,B207,CAL!E:E)+SUMIF(CAL!J:M,B207,CAL!M:M)</f>
        <v>8</v>
      </c>
      <c r="E207" s="33" t="n">
        <f aca="false">COUNTIF(CAL!B:J,B207)</f>
        <v>9</v>
      </c>
      <c r="F207" s="22" t="n">
        <f aca="false">SUMIF(CAL!B:F,B207,CAL!F:F)+SUMIF(CAL!J:N,B207,CAL!N:N)</f>
        <v>1</v>
      </c>
      <c r="G207" s="22" t="n">
        <f aca="false">SUMIF(CAL!B:F,B207,CAL!G:G)+SUMIF(CAL!J:N,B207,CAL!O:O)</f>
        <v>5</v>
      </c>
      <c r="H207" s="22" t="n">
        <f aca="false">SUMIF(CAL!B:F,B207,CAL!H:H)+SUMIF(CAL!J:N,B207,CAL!P:P)</f>
        <v>3</v>
      </c>
      <c r="I207" s="34" t="n">
        <f aca="false">IF(E207=0,0,(D207/(E207*3)))</f>
        <v>0.296296296296296</v>
      </c>
      <c r="J207" s="33" t="n">
        <f aca="false">SUMIF(CAL!B:C,B207,CAL!C:C)+SUMIF(CAL!J:J,B207,CAL!D:D)</f>
        <v>6</v>
      </c>
      <c r="K207" s="22" t="n">
        <f aca="false">SUMIF(CAL!B:D,B207,CAL!D:D)+SUMIF(CAL!J:L,B207,CAL!K:K)</f>
        <v>10</v>
      </c>
      <c r="L207" s="22" t="n">
        <f aca="false">J207-K207</f>
        <v>-4</v>
      </c>
      <c r="M207" s="35" t="n">
        <f aca="false">IF(E207=0,0,(J207/E207))</f>
        <v>0.666666666666667</v>
      </c>
      <c r="N207" s="35" t="n">
        <f aca="false">IF(E207=0,0,(K207/E207))</f>
        <v>1.11111111111111</v>
      </c>
      <c r="O207" s="22" t="n">
        <f aca="false">SUMIF(CAL!B:I,B207,CAL!I:I)+SUMIF(CAL!J:Q,B207,CAL!Q:Q)</f>
        <v>2</v>
      </c>
      <c r="P207" s="19"/>
      <c r="Q207" s="22"/>
      <c r="R207" s="22"/>
      <c r="S207" s="22"/>
      <c r="T207" s="22" t="s">
        <v>5775</v>
      </c>
      <c r="U207" s="22" t="s">
        <v>5576</v>
      </c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customFormat="false" ht="12" hidden="false" customHeight="true" outlineLevel="0" collapsed="false">
      <c r="A208" s="31" t="n">
        <v>207</v>
      </c>
      <c r="B208" s="37" t="s">
        <v>428</v>
      </c>
      <c r="C208" s="37" t="s">
        <v>5776</v>
      </c>
      <c r="D208" s="22" t="n">
        <f aca="false">SUMIF(CAL!B:E,B208,CAL!E:E)+SUMIF(CAL!J:M,B208,CAL!M:M)</f>
        <v>4</v>
      </c>
      <c r="E208" s="33" t="n">
        <f aca="false">COUNTIF(CAL!B:J,B208)</f>
        <v>4</v>
      </c>
      <c r="F208" s="22" t="n">
        <f aca="false">SUMIF(CAL!B:F,B208,CAL!F:F)+SUMIF(CAL!J:N,B208,CAL!N:N)</f>
        <v>1</v>
      </c>
      <c r="G208" s="22" t="n">
        <f aca="false">SUMIF(CAL!B:F,B208,CAL!G:G)+SUMIF(CAL!J:N,B208,CAL!O:O)</f>
        <v>1</v>
      </c>
      <c r="H208" s="22" t="n">
        <f aca="false">SUMIF(CAL!B:F,B208,CAL!H:H)+SUMIF(CAL!J:N,B208,CAL!P:P)</f>
        <v>2</v>
      </c>
      <c r="I208" s="34" t="n">
        <f aca="false">IF(E208=0,0,(D208/(E208*3)))</f>
        <v>0.333333333333333</v>
      </c>
      <c r="J208" s="33" t="n">
        <f aca="false">SUMIF(CAL!B:C,B208,CAL!C:C)+SUMIF(CAL!J:J,B208,CAL!D:D)</f>
        <v>4</v>
      </c>
      <c r="K208" s="22" t="n">
        <f aca="false">SUMIF(CAL!B:D,B208,CAL!D:D)+SUMIF(CAL!J:L,B208,CAL!K:K)</f>
        <v>3</v>
      </c>
      <c r="L208" s="22" t="n">
        <f aca="false">J208-K208</f>
        <v>1</v>
      </c>
      <c r="M208" s="35" t="n">
        <f aca="false">IF(E208=0,0,(J208/E208))</f>
        <v>1</v>
      </c>
      <c r="N208" s="35" t="n">
        <f aca="false">IF(E208=0,0,(K208/E208))</f>
        <v>0.75</v>
      </c>
      <c r="O208" s="22" t="n">
        <f aca="false">SUMIF(CAL!B:I,B208,CAL!I:I)+SUMIF(CAL!J:Q,B208,CAL!Q:Q)</f>
        <v>1</v>
      </c>
      <c r="P208" s="19"/>
      <c r="Q208" s="22"/>
      <c r="R208" s="22"/>
      <c r="S208" s="22"/>
      <c r="T208" s="22" t="s">
        <v>5777</v>
      </c>
      <c r="U208" s="22" t="s">
        <v>5483</v>
      </c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customFormat="false" ht="12" hidden="false" customHeight="true" outlineLevel="0" collapsed="false">
      <c r="A209" s="31" t="n">
        <v>208</v>
      </c>
      <c r="B209" s="37" t="s">
        <v>425</v>
      </c>
      <c r="C209" s="37" t="s">
        <v>5778</v>
      </c>
      <c r="D209" s="22" t="n">
        <f aca="false">SUMIF(CAL!B:E,B209,CAL!E:E)+SUMIF(CAL!J:M,B209,CAL!M:M)</f>
        <v>8</v>
      </c>
      <c r="E209" s="33" t="n">
        <f aca="false">COUNTIF(CAL!B:J,B209)</f>
        <v>4</v>
      </c>
      <c r="F209" s="22" t="n">
        <f aca="false">SUMIF(CAL!B:F,B209,CAL!F:F)+SUMIF(CAL!J:N,B209,CAL!N:N)</f>
        <v>2</v>
      </c>
      <c r="G209" s="22" t="n">
        <f aca="false">SUMIF(CAL!B:F,B209,CAL!G:G)+SUMIF(CAL!J:N,B209,CAL!O:O)</f>
        <v>2</v>
      </c>
      <c r="H209" s="22" t="n">
        <f aca="false">SUMIF(CAL!B:F,B209,CAL!H:H)+SUMIF(CAL!J:N,B209,CAL!P:P)</f>
        <v>0</v>
      </c>
      <c r="I209" s="34" t="n">
        <f aca="false">IF(E209=0,0,(D209/(E209*3)))</f>
        <v>0.666666666666667</v>
      </c>
      <c r="J209" s="33" t="n">
        <f aca="false">SUMIF(CAL!B:C,B209,CAL!C:C)+SUMIF(CAL!J:J,B209,CAL!D:D)</f>
        <v>4</v>
      </c>
      <c r="K209" s="22" t="n">
        <f aca="false">SUMIF(CAL!B:D,B209,CAL!D:D)+SUMIF(CAL!J:L,B209,CAL!K:K)</f>
        <v>1</v>
      </c>
      <c r="L209" s="22" t="n">
        <f aca="false">J209-K209</f>
        <v>3</v>
      </c>
      <c r="M209" s="35" t="n">
        <f aca="false">IF(E209=0,0,(J209/E209))</f>
        <v>1</v>
      </c>
      <c r="N209" s="35" t="n">
        <f aca="false">IF(E209=0,0,(K209/E209))</f>
        <v>0.25</v>
      </c>
      <c r="O209" s="22" t="n">
        <f aca="false">SUMIF(CAL!B:I,B209,CAL!I:I)+SUMIF(CAL!J:Q,B209,CAL!Q:Q)</f>
        <v>3</v>
      </c>
      <c r="P209" s="19"/>
      <c r="Q209" s="22"/>
      <c r="R209" s="22"/>
      <c r="S209" s="22"/>
      <c r="T209" s="22" t="s">
        <v>5779</v>
      </c>
      <c r="U209" s="22" t="s">
        <v>5483</v>
      </c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customFormat="false" ht="12" hidden="false" customHeight="true" outlineLevel="0" collapsed="false">
      <c r="A210" s="31" t="n">
        <v>209</v>
      </c>
      <c r="B210" s="37" t="s">
        <v>392</v>
      </c>
      <c r="C210" s="37" t="s">
        <v>5780</v>
      </c>
      <c r="D210" s="22" t="n">
        <f aca="false">SUMIF(CAL!B:E,B210,CAL!E:E)+SUMIF(CAL!J:M,B210,CAL!M:M)</f>
        <v>0</v>
      </c>
      <c r="E210" s="33" t="n">
        <f aca="false">COUNTIF(CAL!B:J,B210)</f>
        <v>7</v>
      </c>
      <c r="F210" s="22" t="n">
        <f aca="false">SUMIF(CAL!B:F,B210,CAL!F:F)+SUMIF(CAL!J:N,B210,CAL!N:N)</f>
        <v>0</v>
      </c>
      <c r="G210" s="22" t="n">
        <f aca="false">SUMIF(CAL!B:F,B210,CAL!G:G)+SUMIF(CAL!J:N,B210,CAL!O:O)</f>
        <v>0</v>
      </c>
      <c r="H210" s="22" t="n">
        <f aca="false">SUMIF(CAL!B:F,B210,CAL!H:H)+SUMIF(CAL!J:N,B210,CAL!P:P)</f>
        <v>7</v>
      </c>
      <c r="I210" s="34" t="n">
        <f aca="false">IF(E210=0,0,(D210/(E210*3)))</f>
        <v>0</v>
      </c>
      <c r="J210" s="33" t="n">
        <f aca="false">SUMIF(CAL!B:C,B210,CAL!C:C)+SUMIF(CAL!J:J,B210,CAL!D:D)</f>
        <v>5</v>
      </c>
      <c r="K210" s="22" t="n">
        <f aca="false">SUMIF(CAL!B:D,B210,CAL!D:D)+SUMIF(CAL!J:L,B210,CAL!K:K)</f>
        <v>18</v>
      </c>
      <c r="L210" s="22" t="n">
        <f aca="false">J210-K210</f>
        <v>-13</v>
      </c>
      <c r="M210" s="35" t="n">
        <f aca="false">IF(E210=0,0,(J210/E210))</f>
        <v>0.714285714285714</v>
      </c>
      <c r="N210" s="35" t="n">
        <f aca="false">IF(E210=0,0,(K210/E210))</f>
        <v>2.57142857142857</v>
      </c>
      <c r="O210" s="22" t="n">
        <f aca="false">SUMIF(CAL!B:I,B210,CAL!I:I)+SUMIF(CAL!J:Q,B210,CAL!Q:Q)</f>
        <v>0</v>
      </c>
      <c r="P210" s="19"/>
      <c r="Q210" s="22"/>
      <c r="R210" s="22"/>
      <c r="S210" s="22"/>
      <c r="T210" s="22" t="s">
        <v>5522</v>
      </c>
      <c r="U210" s="22" t="s">
        <v>5523</v>
      </c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customFormat="false" ht="12" hidden="false" customHeight="true" outlineLevel="0" collapsed="false">
      <c r="A211" s="31" t="n">
        <v>210</v>
      </c>
      <c r="B211" s="32" t="s">
        <v>82</v>
      </c>
      <c r="C211" s="32" t="s">
        <v>5781</v>
      </c>
      <c r="D211" s="22" t="n">
        <f aca="false">SUMIF(CAL!B:E,B211,CAL!E:E)+SUMIF(CAL!J:M,B211,CAL!M:M)</f>
        <v>9</v>
      </c>
      <c r="E211" s="33" t="n">
        <f aca="false">COUNTIF(CAL!B:J,B211)</f>
        <v>11</v>
      </c>
      <c r="F211" s="22" t="n">
        <f aca="false">SUMIF(CAL!B:F,B211,CAL!F:F)+SUMIF(CAL!J:N,B211,CAL!N:N)</f>
        <v>2</v>
      </c>
      <c r="G211" s="22" t="n">
        <f aca="false">SUMIF(CAL!B:F,B211,CAL!G:G)+SUMIF(CAL!J:N,B211,CAL!O:O)</f>
        <v>3</v>
      </c>
      <c r="H211" s="22" t="n">
        <f aca="false">SUMIF(CAL!B:F,B211,CAL!H:H)+SUMIF(CAL!J:N,B211,CAL!P:P)</f>
        <v>6</v>
      </c>
      <c r="I211" s="34" t="n">
        <f aca="false">IF(E211=0,0,(D211/(E211*3)))</f>
        <v>0.272727272727273</v>
      </c>
      <c r="J211" s="33" t="n">
        <f aca="false">SUMIF(CAL!B:C,B211,CAL!C:C)+SUMIF(CAL!J:J,B211,CAL!D:D)</f>
        <v>10</v>
      </c>
      <c r="K211" s="22" t="n">
        <f aca="false">SUMIF(CAL!B:D,B211,CAL!D:D)+SUMIF(CAL!J:L,B211,CAL!K:K)</f>
        <v>19</v>
      </c>
      <c r="L211" s="22" t="n">
        <f aca="false">J211-K211</f>
        <v>-9</v>
      </c>
      <c r="M211" s="35" t="n">
        <f aca="false">IF(E211=0,0,(J211/E211))</f>
        <v>0.909090909090909</v>
      </c>
      <c r="N211" s="35" t="n">
        <f aca="false">IF(E211=0,0,(K211/E211))</f>
        <v>1.72727272727273</v>
      </c>
      <c r="O211" s="22" t="n">
        <f aca="false">SUMIF(CAL!B:I,B211,CAL!I:I)+SUMIF(CAL!J:Q,B211,CAL!Q:Q)</f>
        <v>1</v>
      </c>
      <c r="P211" s="19"/>
      <c r="Q211" s="22"/>
      <c r="R211" s="22"/>
      <c r="S211" s="22"/>
      <c r="T211" s="22" t="s">
        <v>5632</v>
      </c>
      <c r="U211" s="22" t="s">
        <v>5580</v>
      </c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customFormat="false" ht="12" hidden="false" customHeight="true" outlineLevel="0" collapsed="false">
      <c r="A212" s="31" t="n">
        <v>211</v>
      </c>
      <c r="B212" s="32" t="s">
        <v>150</v>
      </c>
      <c r="C212" s="32" t="s">
        <v>5782</v>
      </c>
      <c r="D212" s="22" t="n">
        <f aca="false">SUMIF(CAL!B:E,B212,CAL!E:E)+SUMIF(CAL!J:M,B212,CAL!M:M)</f>
        <v>2</v>
      </c>
      <c r="E212" s="33" t="n">
        <f aca="false">COUNTIF(CAL!B:J,B212)</f>
        <v>9</v>
      </c>
      <c r="F212" s="22" t="n">
        <f aca="false">SUMIF(CAL!B:F,B212,CAL!F:F)+SUMIF(CAL!J:N,B212,CAL!N:N)</f>
        <v>0</v>
      </c>
      <c r="G212" s="22" t="n">
        <f aca="false">SUMIF(CAL!B:F,B212,CAL!G:G)+SUMIF(CAL!J:N,B212,CAL!O:O)</f>
        <v>2</v>
      </c>
      <c r="H212" s="22" t="n">
        <f aca="false">SUMIF(CAL!B:F,B212,CAL!H:H)+SUMIF(CAL!J:N,B212,CAL!P:P)</f>
        <v>7</v>
      </c>
      <c r="I212" s="34" t="n">
        <f aca="false">IF(E212=0,0,(D212/(E212*3)))</f>
        <v>0.0740740740740741</v>
      </c>
      <c r="J212" s="33" t="n">
        <f aca="false">SUMIF(CAL!B:C,B212,CAL!C:C)+SUMIF(CAL!J:J,B212,CAL!D:D)</f>
        <v>5</v>
      </c>
      <c r="K212" s="22" t="n">
        <f aca="false">SUMIF(CAL!B:D,B212,CAL!D:D)+SUMIF(CAL!J:L,B212,CAL!K:K)</f>
        <v>17</v>
      </c>
      <c r="L212" s="22" t="n">
        <f aca="false">J212-K212</f>
        <v>-12</v>
      </c>
      <c r="M212" s="35" t="n">
        <f aca="false">IF(E212=0,0,(J212/E212))</f>
        <v>0.555555555555556</v>
      </c>
      <c r="N212" s="35" t="n">
        <f aca="false">IF(E212=0,0,(K212/E212))</f>
        <v>1.88888888888889</v>
      </c>
      <c r="O212" s="22" t="n">
        <f aca="false">SUMIF(CAL!B:I,B212,CAL!I:I)+SUMIF(CAL!J:Q,B212,CAL!Q:Q)</f>
        <v>1</v>
      </c>
      <c r="P212" s="19"/>
      <c r="Q212" s="22"/>
      <c r="R212" s="22"/>
      <c r="S212" s="22"/>
      <c r="T212" s="22" t="s">
        <v>5406</v>
      </c>
      <c r="U212" s="22" t="s">
        <v>5407</v>
      </c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customFormat="false" ht="12" hidden="false" customHeight="true" outlineLevel="0" collapsed="false">
      <c r="A213" s="31" t="n">
        <v>212</v>
      </c>
      <c r="B213" s="32" t="s">
        <v>248</v>
      </c>
      <c r="C213" s="32" t="s">
        <v>5783</v>
      </c>
      <c r="D213" s="22" t="n">
        <f aca="false">SUMIF(CAL!B:E,B213,CAL!E:E)+SUMIF(CAL!J:M,B213,CAL!M:M)</f>
        <v>15</v>
      </c>
      <c r="E213" s="33" t="n">
        <f aca="false">COUNTIF(CAL!B:J,B213)</f>
        <v>13</v>
      </c>
      <c r="F213" s="22" t="n">
        <f aca="false">SUMIF(CAL!B:F,B213,CAL!F:F)+SUMIF(CAL!J:N,B213,CAL!N:N)</f>
        <v>3</v>
      </c>
      <c r="G213" s="22" t="n">
        <f aca="false">SUMIF(CAL!B:F,B213,CAL!G:G)+SUMIF(CAL!J:N,B213,CAL!O:O)</f>
        <v>6</v>
      </c>
      <c r="H213" s="22" t="n">
        <f aca="false">SUMIF(CAL!B:F,B213,CAL!H:H)+SUMIF(CAL!J:N,B213,CAL!P:P)</f>
        <v>4</v>
      </c>
      <c r="I213" s="34" t="n">
        <f aca="false">IF(E213=0,0,(D213/(E213*3)))</f>
        <v>0.384615384615385</v>
      </c>
      <c r="J213" s="33" t="n">
        <f aca="false">SUMIF(CAL!B:C,B213,CAL!C:C)+SUMIF(CAL!J:J,B213,CAL!D:D)</f>
        <v>13</v>
      </c>
      <c r="K213" s="22" t="n">
        <f aca="false">SUMIF(CAL!B:D,B213,CAL!D:D)+SUMIF(CAL!J:L,B213,CAL!K:K)</f>
        <v>14</v>
      </c>
      <c r="L213" s="22" t="n">
        <f aca="false">J213-K213</f>
        <v>-1</v>
      </c>
      <c r="M213" s="35" t="n">
        <f aca="false">IF(E213=0,0,(J213/E213))</f>
        <v>1</v>
      </c>
      <c r="N213" s="35" t="n">
        <f aca="false">IF(E213=0,0,(K213/E213))</f>
        <v>1.07692307692308</v>
      </c>
      <c r="O213" s="22" t="n">
        <f aca="false">SUMIF(CAL!B:I,B213,CAL!I:I)+SUMIF(CAL!J:Q,B213,CAL!Q:Q)</f>
        <v>4</v>
      </c>
      <c r="P213" s="19"/>
      <c r="Q213" s="22"/>
      <c r="R213" s="22"/>
      <c r="S213" s="22"/>
      <c r="T213" s="22" t="s">
        <v>5784</v>
      </c>
      <c r="U213" s="22" t="s">
        <v>5476</v>
      </c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customFormat="false" ht="12" hidden="false" customHeight="true" outlineLevel="0" collapsed="false">
      <c r="A214" s="31" t="n">
        <v>213</v>
      </c>
      <c r="B214" s="32" t="s">
        <v>331</v>
      </c>
      <c r="C214" s="32" t="s">
        <v>5785</v>
      </c>
      <c r="D214" s="22" t="n">
        <f aca="false">SUMIF(CAL!B:E,B214,CAL!E:E)+SUMIF(CAL!J:M,B214,CAL!M:M)</f>
        <v>8</v>
      </c>
      <c r="E214" s="33" t="n">
        <f aca="false">COUNTIF(CAL!B:J,B214)</f>
        <v>15</v>
      </c>
      <c r="F214" s="22" t="n">
        <f aca="false">SUMIF(CAL!B:F,B214,CAL!F:F)+SUMIF(CAL!J:N,B214,CAL!N:N)</f>
        <v>1</v>
      </c>
      <c r="G214" s="22" t="n">
        <f aca="false">SUMIF(CAL!B:F,B214,CAL!G:G)+SUMIF(CAL!J:N,B214,CAL!O:O)</f>
        <v>5</v>
      </c>
      <c r="H214" s="22" t="n">
        <f aca="false">SUMIF(CAL!B:F,B214,CAL!H:H)+SUMIF(CAL!J:N,B214,CAL!P:P)</f>
        <v>9</v>
      </c>
      <c r="I214" s="34" t="n">
        <f aca="false">IF(E214=0,0,(D214/(E214*3)))</f>
        <v>0.177777777777778</v>
      </c>
      <c r="J214" s="33" t="n">
        <f aca="false">SUMIF(CAL!B:C,B214,CAL!C:C)+SUMIF(CAL!J:J,B214,CAL!D:D)</f>
        <v>8</v>
      </c>
      <c r="K214" s="22" t="n">
        <f aca="false">SUMIF(CAL!B:D,B214,CAL!D:D)+SUMIF(CAL!J:L,B214,CAL!K:K)</f>
        <v>25</v>
      </c>
      <c r="L214" s="22" t="n">
        <f aca="false">J214-K214</f>
        <v>-17</v>
      </c>
      <c r="M214" s="35" t="n">
        <f aca="false">IF(E214=0,0,(J214/E214))</f>
        <v>0.533333333333333</v>
      </c>
      <c r="N214" s="35" t="n">
        <f aca="false">IF(E214=0,0,(K214/E214))</f>
        <v>1.66666666666667</v>
      </c>
      <c r="O214" s="22" t="n">
        <f aca="false">SUMIF(CAL!B:I,B214,CAL!I:I)+SUMIF(CAL!J:Q,B214,CAL!Q:Q)</f>
        <v>3</v>
      </c>
      <c r="P214" s="19"/>
      <c r="Q214" s="22"/>
      <c r="R214" s="22"/>
      <c r="S214" s="22"/>
      <c r="T214" s="22" t="s">
        <v>5786</v>
      </c>
      <c r="U214" s="22" t="s">
        <v>5450</v>
      </c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customFormat="false" ht="12" hidden="false" customHeight="true" outlineLevel="0" collapsed="false">
      <c r="A215" s="31" t="n">
        <v>214</v>
      </c>
      <c r="B215" s="32" t="s">
        <v>225</v>
      </c>
      <c r="C215" s="32" t="s">
        <v>5787</v>
      </c>
      <c r="D215" s="22" t="n">
        <f aca="false">SUMIF(CAL!B:E,B215,CAL!E:E)+SUMIF(CAL!J:M,B215,CAL!M:M)</f>
        <v>7</v>
      </c>
      <c r="E215" s="33" t="n">
        <f aca="false">COUNTIF(CAL!B:J,B215)</f>
        <v>9</v>
      </c>
      <c r="F215" s="22" t="n">
        <f aca="false">SUMIF(CAL!B:F,B215,CAL!F:F)+SUMIF(CAL!J:N,B215,CAL!N:N)</f>
        <v>2</v>
      </c>
      <c r="G215" s="22" t="n">
        <f aca="false">SUMIF(CAL!B:F,B215,CAL!G:G)+SUMIF(CAL!J:N,B215,CAL!O:O)</f>
        <v>1</v>
      </c>
      <c r="H215" s="22" t="n">
        <f aca="false">SUMIF(CAL!B:F,B215,CAL!H:H)+SUMIF(CAL!J:N,B215,CAL!P:P)</f>
        <v>6</v>
      </c>
      <c r="I215" s="34" t="n">
        <f aca="false">IF(E215=0,0,(D215/(E215*3)))</f>
        <v>0.259259259259259</v>
      </c>
      <c r="J215" s="33" t="n">
        <f aca="false">SUMIF(CAL!B:C,B215,CAL!C:C)+SUMIF(CAL!J:J,B215,CAL!D:D)</f>
        <v>9</v>
      </c>
      <c r="K215" s="22" t="n">
        <f aca="false">SUMIF(CAL!B:D,B215,CAL!D:D)+SUMIF(CAL!J:L,B215,CAL!K:K)</f>
        <v>23</v>
      </c>
      <c r="L215" s="22" t="n">
        <f aca="false">J215-K215</f>
        <v>-14</v>
      </c>
      <c r="M215" s="35" t="n">
        <f aca="false">IF(E215=0,0,(J215/E215))</f>
        <v>1</v>
      </c>
      <c r="N215" s="35" t="n">
        <f aca="false">IF(E215=0,0,(K215/E215))</f>
        <v>2.55555555555556</v>
      </c>
      <c r="O215" s="22" t="n">
        <f aca="false">SUMIF(CAL!B:I,B215,CAL!I:I)+SUMIF(CAL!J:Q,B215,CAL!Q:Q)</f>
        <v>1</v>
      </c>
      <c r="P215" s="19"/>
      <c r="Q215" s="22"/>
      <c r="R215" s="22"/>
      <c r="S215" s="22"/>
      <c r="T215" s="22" t="s">
        <v>5788</v>
      </c>
      <c r="U215" s="22" t="s">
        <v>5407</v>
      </c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customFormat="false" ht="12" hidden="false" customHeight="true" outlineLevel="0" collapsed="false">
      <c r="A216" s="31" t="n">
        <v>215</v>
      </c>
      <c r="B216" s="37" t="s">
        <v>322</v>
      </c>
      <c r="C216" s="37" t="s">
        <v>5789</v>
      </c>
      <c r="D216" s="22" t="n">
        <f aca="false">SUMIF(CAL!B:E,B216,CAL!E:E)+SUMIF(CAL!J:M,B216,CAL!M:M)</f>
        <v>11</v>
      </c>
      <c r="E216" s="33" t="n">
        <f aca="false">COUNTIF(CAL!B:J,B216)</f>
        <v>11</v>
      </c>
      <c r="F216" s="22" t="n">
        <f aca="false">SUMIF(CAL!B:F,B216,CAL!F:F)+SUMIF(CAL!J:N,B216,CAL!N:N)</f>
        <v>2</v>
      </c>
      <c r="G216" s="22" t="n">
        <f aca="false">SUMIF(CAL!B:F,B216,CAL!G:G)+SUMIF(CAL!J:N,B216,CAL!O:O)</f>
        <v>5</v>
      </c>
      <c r="H216" s="22" t="n">
        <f aca="false">SUMIF(CAL!B:F,B216,CAL!H:H)+SUMIF(CAL!J:N,B216,CAL!P:P)</f>
        <v>4</v>
      </c>
      <c r="I216" s="34" t="n">
        <f aca="false">IF(E216=0,0,(D216/(E216*3)))</f>
        <v>0.333333333333333</v>
      </c>
      <c r="J216" s="33" t="n">
        <f aca="false">SUMIF(CAL!B:C,B216,CAL!C:C)+SUMIF(CAL!J:J,B216,CAL!D:D)</f>
        <v>16</v>
      </c>
      <c r="K216" s="22" t="n">
        <f aca="false">SUMIF(CAL!B:D,B216,CAL!D:D)+SUMIF(CAL!J:L,B216,CAL!K:K)</f>
        <v>17</v>
      </c>
      <c r="L216" s="22" t="n">
        <f aca="false">J216-K216</f>
        <v>-1</v>
      </c>
      <c r="M216" s="35" t="n">
        <f aca="false">IF(E216=0,0,(J216/E216))</f>
        <v>1.45454545454545</v>
      </c>
      <c r="N216" s="35" t="n">
        <f aca="false">IF(E216=0,0,(K216/E216))</f>
        <v>1.54545454545455</v>
      </c>
      <c r="O216" s="22" t="n">
        <f aca="false">SUMIF(CAL!B:I,B216,CAL!I:I)+SUMIF(CAL!J:Q,B216,CAL!Q:Q)</f>
        <v>1</v>
      </c>
      <c r="P216" s="19"/>
      <c r="Q216" s="22"/>
      <c r="R216" s="22"/>
      <c r="S216" s="22"/>
      <c r="T216" s="22" t="s">
        <v>5790</v>
      </c>
      <c r="U216" s="22" t="s">
        <v>5576</v>
      </c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customFormat="false" ht="12" hidden="false" customHeight="true" outlineLevel="0" collapsed="false">
      <c r="A217" s="31" t="n">
        <v>216</v>
      </c>
      <c r="B217" s="32" t="s">
        <v>332</v>
      </c>
      <c r="C217" s="32" t="s">
        <v>5791</v>
      </c>
      <c r="D217" s="22" t="n">
        <f aca="false">SUMIF(CAL!B:E,B217,CAL!E:E)+SUMIF(CAL!J:M,B217,CAL!M:M)</f>
        <v>26</v>
      </c>
      <c r="E217" s="33" t="n">
        <f aca="false">COUNTIF(CAL!B:J,B217)</f>
        <v>17</v>
      </c>
      <c r="F217" s="22" t="n">
        <f aca="false">SUMIF(CAL!B:F,B217,CAL!F:F)+SUMIF(CAL!J:N,B217,CAL!N:N)</f>
        <v>7</v>
      </c>
      <c r="G217" s="22" t="n">
        <f aca="false">SUMIF(CAL!B:F,B217,CAL!G:G)+SUMIF(CAL!J:N,B217,CAL!O:O)</f>
        <v>5</v>
      </c>
      <c r="H217" s="22" t="n">
        <f aca="false">SUMIF(CAL!B:F,B217,CAL!H:H)+SUMIF(CAL!J:N,B217,CAL!P:P)</f>
        <v>5</v>
      </c>
      <c r="I217" s="34" t="n">
        <f aca="false">IF(E217=0,0,(D217/(E217*3)))</f>
        <v>0.509803921568627</v>
      </c>
      <c r="J217" s="33" t="n">
        <f aca="false">SUMIF(CAL!B:C,B217,CAL!C:C)+SUMIF(CAL!J:J,B217,CAL!D:D)</f>
        <v>24</v>
      </c>
      <c r="K217" s="22" t="n">
        <f aca="false">SUMIF(CAL!B:D,B217,CAL!D:D)+SUMIF(CAL!J:L,B217,CAL!K:K)</f>
        <v>17</v>
      </c>
      <c r="L217" s="22" t="n">
        <f aca="false">J217-K217</f>
        <v>7</v>
      </c>
      <c r="M217" s="35" t="n">
        <f aca="false">IF(E217=0,0,(J217/E217))</f>
        <v>1.41176470588235</v>
      </c>
      <c r="N217" s="35" t="n">
        <f aca="false">IF(E217=0,0,(K217/E217))</f>
        <v>1</v>
      </c>
      <c r="O217" s="22" t="n">
        <f aca="false">SUMIF(CAL!B:I,B217,CAL!I:I)+SUMIF(CAL!J:Q,B217,CAL!Q:Q)</f>
        <v>6</v>
      </c>
      <c r="P217" s="19"/>
      <c r="Q217" s="22"/>
      <c r="R217" s="22"/>
      <c r="S217" s="22"/>
      <c r="T217" s="22" t="s">
        <v>5652</v>
      </c>
      <c r="U217" s="22" t="s">
        <v>5450</v>
      </c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customFormat="false" ht="12" hidden="false" customHeight="true" outlineLevel="0" collapsed="false">
      <c r="A218" s="31" t="n">
        <v>217</v>
      </c>
      <c r="B218" s="37" t="s">
        <v>365</v>
      </c>
      <c r="C218" s="37" t="s">
        <v>5792</v>
      </c>
      <c r="D218" s="22" t="n">
        <f aca="false">SUMIF(CAL!B:E,B218,CAL!E:E)+SUMIF(CAL!J:M,B218,CAL!M:M)</f>
        <v>22</v>
      </c>
      <c r="E218" s="33" t="n">
        <f aca="false">COUNTIF(CAL!B:J,B218)</f>
        <v>15</v>
      </c>
      <c r="F218" s="22" t="n">
        <f aca="false">SUMIF(CAL!B:F,B218,CAL!F:F)+SUMIF(CAL!J:N,B218,CAL!N:N)</f>
        <v>5</v>
      </c>
      <c r="G218" s="22" t="n">
        <f aca="false">SUMIF(CAL!B:F,B218,CAL!G:G)+SUMIF(CAL!J:N,B218,CAL!O:O)</f>
        <v>7</v>
      </c>
      <c r="H218" s="22" t="n">
        <f aca="false">SUMIF(CAL!B:F,B218,CAL!H:H)+SUMIF(CAL!J:N,B218,CAL!P:P)</f>
        <v>3</v>
      </c>
      <c r="I218" s="34" t="n">
        <f aca="false">IF(E218=0,0,(D218/(E218*3)))</f>
        <v>0.488888888888889</v>
      </c>
      <c r="J218" s="33" t="n">
        <f aca="false">SUMIF(CAL!B:C,B218,CAL!C:C)+SUMIF(CAL!J:J,B218,CAL!D:D)</f>
        <v>11</v>
      </c>
      <c r="K218" s="22" t="n">
        <f aca="false">SUMIF(CAL!B:D,B218,CAL!D:D)+SUMIF(CAL!J:L,B218,CAL!K:K)</f>
        <v>6</v>
      </c>
      <c r="L218" s="22" t="n">
        <f aca="false">J218-K218</f>
        <v>5</v>
      </c>
      <c r="M218" s="35" t="n">
        <f aca="false">IF(E218=0,0,(J218/E218))</f>
        <v>0.733333333333333</v>
      </c>
      <c r="N218" s="35" t="n">
        <f aca="false">IF(E218=0,0,(K218/E218))</f>
        <v>0.4</v>
      </c>
      <c r="O218" s="22" t="n">
        <f aca="false">SUMIF(CAL!B:I,B218,CAL!I:I)+SUMIF(CAL!J:Q,B218,CAL!Q:Q)</f>
        <v>10</v>
      </c>
      <c r="P218" s="19"/>
      <c r="Q218" s="22"/>
      <c r="R218" s="22"/>
      <c r="S218" s="22"/>
      <c r="T218" s="22" t="s">
        <v>5793</v>
      </c>
      <c r="U218" s="22" t="s">
        <v>5450</v>
      </c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customFormat="false" ht="12" hidden="false" customHeight="true" outlineLevel="0" collapsed="false">
      <c r="A219" s="31" t="n">
        <v>218</v>
      </c>
      <c r="B219" s="32" t="s">
        <v>296</v>
      </c>
      <c r="C219" s="32" t="s">
        <v>5794</v>
      </c>
      <c r="D219" s="22" t="n">
        <f aca="false">SUMIF(CAL!B:E,B219,CAL!E:E)+SUMIF(CAL!J:M,B219,CAL!M:M)</f>
        <v>11</v>
      </c>
      <c r="E219" s="33" t="n">
        <f aca="false">COUNTIF(CAL!B:J,B219)</f>
        <v>9</v>
      </c>
      <c r="F219" s="22" t="n">
        <f aca="false">SUMIF(CAL!B:F,B219,CAL!F:F)+SUMIF(CAL!J:N,B219,CAL!N:N)</f>
        <v>3</v>
      </c>
      <c r="G219" s="22" t="n">
        <f aca="false">SUMIF(CAL!B:F,B219,CAL!G:G)+SUMIF(CAL!J:N,B219,CAL!O:O)</f>
        <v>2</v>
      </c>
      <c r="H219" s="22" t="n">
        <f aca="false">SUMIF(CAL!B:F,B219,CAL!H:H)+SUMIF(CAL!J:N,B219,CAL!P:P)</f>
        <v>4</v>
      </c>
      <c r="I219" s="34" t="n">
        <f aca="false">IF(E219=0,0,(D219/(E219*3)))</f>
        <v>0.407407407407407</v>
      </c>
      <c r="J219" s="33" t="n">
        <f aca="false">SUMIF(CAL!B:C,B219,CAL!C:C)+SUMIF(CAL!J:J,B219,CAL!D:D)</f>
        <v>6</v>
      </c>
      <c r="K219" s="22" t="n">
        <f aca="false">SUMIF(CAL!B:D,B219,CAL!D:D)+SUMIF(CAL!J:L,B219,CAL!K:K)</f>
        <v>9</v>
      </c>
      <c r="L219" s="22" t="n">
        <f aca="false">J219-K219</f>
        <v>-3</v>
      </c>
      <c r="M219" s="35" t="n">
        <f aca="false">IF(E219=0,0,(J219/E219))</f>
        <v>0.666666666666667</v>
      </c>
      <c r="N219" s="35" t="n">
        <f aca="false">IF(E219=0,0,(K219/E219))</f>
        <v>1</v>
      </c>
      <c r="O219" s="22" t="n">
        <f aca="false">SUMIF(CAL!B:I,B219,CAL!I:I)+SUMIF(CAL!J:Q,B219,CAL!Q:Q)</f>
        <v>3</v>
      </c>
      <c r="P219" s="19"/>
      <c r="Q219" s="22"/>
      <c r="R219" s="22"/>
      <c r="S219" s="22"/>
      <c r="T219" s="22" t="s">
        <v>5795</v>
      </c>
      <c r="U219" s="22" t="s">
        <v>5400</v>
      </c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customFormat="false" ht="12" hidden="false" customHeight="true" outlineLevel="0" collapsed="false">
      <c r="A220" s="31" t="n">
        <v>219</v>
      </c>
      <c r="B220" s="32" t="s">
        <v>154</v>
      </c>
      <c r="C220" s="32" t="s">
        <v>5796</v>
      </c>
      <c r="D220" s="22" t="n">
        <f aca="false">SUMIF(CAL!B:E,B220,CAL!E:E)+SUMIF(CAL!J:M,B220,CAL!M:M)</f>
        <v>11</v>
      </c>
      <c r="E220" s="33" t="n">
        <f aca="false">COUNTIF(CAL!B:J,B220)</f>
        <v>10</v>
      </c>
      <c r="F220" s="22" t="n">
        <f aca="false">SUMIF(CAL!B:F,B220,CAL!F:F)+SUMIF(CAL!J:N,B220,CAL!N:N)</f>
        <v>3</v>
      </c>
      <c r="G220" s="22" t="n">
        <f aca="false">SUMIF(CAL!B:F,B220,CAL!G:G)+SUMIF(CAL!J:N,B220,CAL!O:O)</f>
        <v>2</v>
      </c>
      <c r="H220" s="22" t="n">
        <f aca="false">SUMIF(CAL!B:F,B220,CAL!H:H)+SUMIF(CAL!J:N,B220,CAL!P:P)</f>
        <v>5</v>
      </c>
      <c r="I220" s="34" t="n">
        <f aca="false">IF(E220=0,0,(D220/(E220*3)))</f>
        <v>0.366666666666667</v>
      </c>
      <c r="J220" s="33" t="n">
        <f aca="false">SUMIF(CAL!B:C,B220,CAL!C:C)+SUMIF(CAL!J:J,B220,CAL!D:D)</f>
        <v>8</v>
      </c>
      <c r="K220" s="22" t="n">
        <f aca="false">SUMIF(CAL!B:D,B220,CAL!D:D)+SUMIF(CAL!J:L,B220,CAL!K:K)</f>
        <v>11</v>
      </c>
      <c r="L220" s="22" t="n">
        <f aca="false">J220-K220</f>
        <v>-3</v>
      </c>
      <c r="M220" s="35" t="n">
        <f aca="false">IF(E220=0,0,(J220/E220))</f>
        <v>0.8</v>
      </c>
      <c r="N220" s="35" t="n">
        <f aca="false">IF(E220=0,0,(K220/E220))</f>
        <v>1.1</v>
      </c>
      <c r="O220" s="22" t="n">
        <f aca="false">SUMIF(CAL!B:I,B220,CAL!I:I)+SUMIF(CAL!J:Q,B220,CAL!Q:Q)</f>
        <v>3</v>
      </c>
      <c r="P220" s="19"/>
      <c r="Q220" s="22"/>
      <c r="R220" s="22"/>
      <c r="S220" s="22"/>
      <c r="T220" s="22" t="s">
        <v>5797</v>
      </c>
      <c r="U220" s="22" t="s">
        <v>5407</v>
      </c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customFormat="false" ht="12" hidden="false" customHeight="true" outlineLevel="0" collapsed="false">
      <c r="A221" s="31" t="n">
        <v>220</v>
      </c>
      <c r="B221" s="37" t="s">
        <v>264</v>
      </c>
      <c r="C221" s="37" t="s">
        <v>5798</v>
      </c>
      <c r="D221" s="22" t="n">
        <f aca="false">SUMIF(CAL!B:E,B221,CAL!E:E)+SUMIF(CAL!J:M,B221,CAL!M:M)</f>
        <v>12</v>
      </c>
      <c r="E221" s="33" t="n">
        <f aca="false">COUNTIF(CAL!B:J,B221)</f>
        <v>11</v>
      </c>
      <c r="F221" s="22" t="n">
        <f aca="false">SUMIF(CAL!B:F,B221,CAL!F:F)+SUMIF(CAL!J:N,B221,CAL!N:N)</f>
        <v>2</v>
      </c>
      <c r="G221" s="22" t="n">
        <f aca="false">SUMIF(CAL!B:F,B221,CAL!G:G)+SUMIF(CAL!J:N,B221,CAL!O:O)</f>
        <v>6</v>
      </c>
      <c r="H221" s="22" t="n">
        <f aca="false">SUMIF(CAL!B:F,B221,CAL!H:H)+SUMIF(CAL!J:N,B221,CAL!P:P)</f>
        <v>3</v>
      </c>
      <c r="I221" s="34" t="n">
        <f aca="false">IF(E221=0,0,(D221/(E221*3)))</f>
        <v>0.363636363636364</v>
      </c>
      <c r="J221" s="33" t="n">
        <f aca="false">SUMIF(CAL!B:C,B221,CAL!C:C)+SUMIF(CAL!J:J,B221,CAL!D:D)</f>
        <v>7</v>
      </c>
      <c r="K221" s="22" t="n">
        <f aca="false">SUMIF(CAL!B:D,B221,CAL!D:D)+SUMIF(CAL!J:L,B221,CAL!K:K)</f>
        <v>9</v>
      </c>
      <c r="L221" s="22" t="n">
        <f aca="false">J221-K221</f>
        <v>-2</v>
      </c>
      <c r="M221" s="35" t="n">
        <f aca="false">IF(E221=0,0,(J221/E221))</f>
        <v>0.636363636363636</v>
      </c>
      <c r="N221" s="35" t="n">
        <f aca="false">IF(E221=0,0,(K221/E221))</f>
        <v>0.818181818181818</v>
      </c>
      <c r="O221" s="22" t="n">
        <f aca="false">SUMIF(CAL!B:I,B221,CAL!I:I)+SUMIF(CAL!J:Q,B221,CAL!Q:Q)</f>
        <v>6</v>
      </c>
      <c r="P221" s="19"/>
      <c r="Q221" s="22"/>
      <c r="R221" s="22"/>
      <c r="S221" s="22"/>
      <c r="T221" s="22" t="s">
        <v>5799</v>
      </c>
      <c r="U221" s="22" t="s">
        <v>5476</v>
      </c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customFormat="false" ht="12" hidden="false" customHeight="true" outlineLevel="0" collapsed="false">
      <c r="A222" s="31" t="n">
        <v>221</v>
      </c>
      <c r="B222" s="37" t="s">
        <v>52</v>
      </c>
      <c r="C222" s="37" t="s">
        <v>5800</v>
      </c>
      <c r="D222" s="22" t="n">
        <f aca="false">SUMIF(CAL!B:E,B222,CAL!E:E)+SUMIF(CAL!J:M,B222,CAL!M:M)</f>
        <v>11</v>
      </c>
      <c r="E222" s="33" t="n">
        <f aca="false">COUNTIF(CAL!B:J,B222)</f>
        <v>8</v>
      </c>
      <c r="F222" s="22" t="n">
        <f aca="false">SUMIF(CAL!B:F,B222,CAL!F:F)+SUMIF(CAL!J:N,B222,CAL!N:N)</f>
        <v>3</v>
      </c>
      <c r="G222" s="22" t="n">
        <f aca="false">SUMIF(CAL!B:F,B222,CAL!G:G)+SUMIF(CAL!J:N,B222,CAL!O:O)</f>
        <v>2</v>
      </c>
      <c r="H222" s="22" t="n">
        <f aca="false">SUMIF(CAL!B:F,B222,CAL!H:H)+SUMIF(CAL!J:N,B222,CAL!P:P)</f>
        <v>3</v>
      </c>
      <c r="I222" s="34" t="n">
        <f aca="false">IF(E222=0,0,(D222/(E222*3)))</f>
        <v>0.458333333333333</v>
      </c>
      <c r="J222" s="33" t="n">
        <f aca="false">SUMIF(CAL!B:C,B222,CAL!C:C)+SUMIF(CAL!J:J,B222,CAL!D:D)</f>
        <v>12</v>
      </c>
      <c r="K222" s="22" t="n">
        <f aca="false">SUMIF(CAL!B:D,B222,CAL!D:D)+SUMIF(CAL!J:L,B222,CAL!K:K)</f>
        <v>18</v>
      </c>
      <c r="L222" s="22" t="n">
        <f aca="false">J222-K222</f>
        <v>-6</v>
      </c>
      <c r="M222" s="35" t="n">
        <f aca="false">IF(E222=0,0,(J222/E222))</f>
        <v>1.5</v>
      </c>
      <c r="N222" s="35" t="n">
        <f aca="false">IF(E222=0,0,(K222/E222))</f>
        <v>2.25</v>
      </c>
      <c r="O222" s="22" t="n">
        <f aca="false">SUMIF(CAL!B:I,B222,CAL!I:I)+SUMIF(CAL!J:Q,B222,CAL!Q:Q)</f>
        <v>0</v>
      </c>
      <c r="P222" s="19"/>
      <c r="Q222" s="22"/>
      <c r="R222" s="22"/>
      <c r="S222" s="22"/>
      <c r="T222" s="22" t="s">
        <v>5801</v>
      </c>
      <c r="U222" s="22" t="s">
        <v>5434</v>
      </c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customFormat="false" ht="12" hidden="false" customHeight="true" outlineLevel="0" collapsed="false">
      <c r="A223" s="31" t="n">
        <v>222</v>
      </c>
      <c r="B223" s="32" t="s">
        <v>347</v>
      </c>
      <c r="C223" s="32" t="s">
        <v>5802</v>
      </c>
      <c r="D223" s="22" t="n">
        <f aca="false">SUMIF(CAL!B:E,B223,CAL!E:E)+SUMIF(CAL!J:M,B223,CAL!M:M)</f>
        <v>10</v>
      </c>
      <c r="E223" s="33" t="n">
        <f aca="false">COUNTIF(CAL!B:J,B223)</f>
        <v>15</v>
      </c>
      <c r="F223" s="22" t="n">
        <f aca="false">SUMIF(CAL!B:F,B223,CAL!F:F)+SUMIF(CAL!J:N,B223,CAL!N:N)</f>
        <v>3</v>
      </c>
      <c r="G223" s="22" t="n">
        <f aca="false">SUMIF(CAL!B:F,B223,CAL!G:G)+SUMIF(CAL!J:N,B223,CAL!O:O)</f>
        <v>1</v>
      </c>
      <c r="H223" s="22" t="n">
        <f aca="false">SUMIF(CAL!B:F,B223,CAL!H:H)+SUMIF(CAL!J:N,B223,CAL!P:P)</f>
        <v>11</v>
      </c>
      <c r="I223" s="34" t="n">
        <f aca="false">IF(E223=0,0,(D223/(E223*3)))</f>
        <v>0.222222222222222</v>
      </c>
      <c r="J223" s="33" t="n">
        <f aca="false">SUMIF(CAL!B:C,B223,CAL!C:C)+SUMIF(CAL!J:J,B223,CAL!D:D)</f>
        <v>13</v>
      </c>
      <c r="K223" s="22" t="n">
        <f aca="false">SUMIF(CAL!B:D,B223,CAL!D:D)+SUMIF(CAL!J:L,B223,CAL!K:K)</f>
        <v>22</v>
      </c>
      <c r="L223" s="22" t="n">
        <f aca="false">J223-K223</f>
        <v>-9</v>
      </c>
      <c r="M223" s="35" t="n">
        <f aca="false">IF(E223=0,0,(J223/E223))</f>
        <v>0.866666666666667</v>
      </c>
      <c r="N223" s="35" t="n">
        <f aca="false">IF(E223=0,0,(K223/E223))</f>
        <v>1.46666666666667</v>
      </c>
      <c r="O223" s="22" t="n">
        <f aca="false">SUMIF(CAL!B:I,B223,CAL!I:I)+SUMIF(CAL!J:Q,B223,CAL!Q:Q)</f>
        <v>3</v>
      </c>
      <c r="P223" s="19"/>
      <c r="Q223" s="22"/>
      <c r="R223" s="22"/>
      <c r="S223" s="22"/>
      <c r="T223" s="22" t="s">
        <v>5803</v>
      </c>
      <c r="U223" s="22" t="s">
        <v>5450</v>
      </c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customFormat="false" ht="12" hidden="false" customHeight="true" outlineLevel="0" collapsed="false">
      <c r="A224" s="31" t="n">
        <v>223</v>
      </c>
      <c r="B224" s="32" t="s">
        <v>181</v>
      </c>
      <c r="C224" s="32" t="s">
        <v>5804</v>
      </c>
      <c r="D224" s="22" t="n">
        <f aca="false">SUMIF(CAL!B:E,B224,CAL!E:E)+SUMIF(CAL!J:M,B224,CAL!M:M)</f>
        <v>9</v>
      </c>
      <c r="E224" s="33" t="n">
        <f aca="false">COUNTIF(CAL!B:J,B224)</f>
        <v>9</v>
      </c>
      <c r="F224" s="22" t="n">
        <f aca="false">SUMIF(CAL!B:F,B224,CAL!F:F)+SUMIF(CAL!J:N,B224,CAL!N:N)</f>
        <v>3</v>
      </c>
      <c r="G224" s="22" t="n">
        <f aca="false">SUMIF(CAL!B:F,B224,CAL!G:G)+SUMIF(CAL!J:N,B224,CAL!O:O)</f>
        <v>0</v>
      </c>
      <c r="H224" s="22" t="n">
        <f aca="false">SUMIF(CAL!B:F,B224,CAL!H:H)+SUMIF(CAL!J:N,B224,CAL!P:P)</f>
        <v>6</v>
      </c>
      <c r="I224" s="34" t="n">
        <f aca="false">IF(E224=0,0,(D224/(E224*3)))</f>
        <v>0.333333333333333</v>
      </c>
      <c r="J224" s="33" t="n">
        <f aca="false">SUMIF(CAL!B:C,B224,CAL!C:C)+SUMIF(CAL!J:J,B224,CAL!D:D)</f>
        <v>7</v>
      </c>
      <c r="K224" s="22" t="n">
        <f aca="false">SUMIF(CAL!B:D,B224,CAL!D:D)+SUMIF(CAL!J:L,B224,CAL!K:K)</f>
        <v>14</v>
      </c>
      <c r="L224" s="22" t="n">
        <f aca="false">J224-K224</f>
        <v>-7</v>
      </c>
      <c r="M224" s="35" t="n">
        <f aca="false">IF(E224=0,0,(J224/E224))</f>
        <v>0.777777777777778</v>
      </c>
      <c r="N224" s="35" t="n">
        <f aca="false">IF(E224=0,0,(K224/E224))</f>
        <v>1.55555555555556</v>
      </c>
      <c r="O224" s="22" t="n">
        <f aca="false">SUMIF(CAL!B:I,B224,CAL!I:I)+SUMIF(CAL!J:Q,B224,CAL!Q:Q)</f>
        <v>2</v>
      </c>
      <c r="P224" s="19"/>
      <c r="Q224" s="22"/>
      <c r="R224" s="22"/>
      <c r="S224" s="22"/>
      <c r="T224" s="22" t="s">
        <v>5529</v>
      </c>
      <c r="U224" s="22" t="s">
        <v>5458</v>
      </c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customFormat="false" ht="12" hidden="false" customHeight="true" outlineLevel="0" collapsed="false">
      <c r="A225" s="31" t="n">
        <v>224</v>
      </c>
      <c r="B225" s="32" t="s">
        <v>36</v>
      </c>
      <c r="C225" s="32" t="s">
        <v>5805</v>
      </c>
      <c r="D225" s="22" t="n">
        <f aca="false">SUMIF(CAL!B:E,B225,CAL!E:E)+SUMIF(CAL!J:M,B225,CAL!M:M)</f>
        <v>3</v>
      </c>
      <c r="E225" s="33" t="n">
        <f aca="false">COUNTIF(CAL!B:J,B225)</f>
        <v>8</v>
      </c>
      <c r="F225" s="22" t="n">
        <f aca="false">SUMIF(CAL!B:F,B225,CAL!F:F)+SUMIF(CAL!J:N,B225,CAL!N:N)</f>
        <v>1</v>
      </c>
      <c r="G225" s="22" t="n">
        <f aca="false">SUMIF(CAL!B:F,B225,CAL!G:G)+SUMIF(CAL!J:N,B225,CAL!O:O)</f>
        <v>0</v>
      </c>
      <c r="H225" s="22" t="n">
        <f aca="false">SUMIF(CAL!B:F,B225,CAL!H:H)+SUMIF(CAL!J:N,B225,CAL!P:P)</f>
        <v>7</v>
      </c>
      <c r="I225" s="34" t="n">
        <f aca="false">IF(E225=0,0,(D225/(E225*3)))</f>
        <v>0.125</v>
      </c>
      <c r="J225" s="33" t="n">
        <f aca="false">SUMIF(CAL!B:C,B225,CAL!C:C)+SUMIF(CAL!J:J,B225,CAL!D:D)</f>
        <v>5</v>
      </c>
      <c r="K225" s="22" t="n">
        <f aca="false">SUMIF(CAL!B:D,B225,CAL!D:D)+SUMIF(CAL!J:L,B225,CAL!K:K)</f>
        <v>20</v>
      </c>
      <c r="L225" s="22" t="n">
        <f aca="false">J225-K225</f>
        <v>-15</v>
      </c>
      <c r="M225" s="35" t="n">
        <f aca="false">IF(E225=0,0,(J225/E225))</f>
        <v>0.625</v>
      </c>
      <c r="N225" s="35" t="n">
        <f aca="false">IF(E225=0,0,(K225/E225))</f>
        <v>2.5</v>
      </c>
      <c r="O225" s="22" t="n">
        <f aca="false">SUMIF(CAL!B:I,B225,CAL!I:I)+SUMIF(CAL!J:Q,B225,CAL!Q:Q)</f>
        <v>1</v>
      </c>
      <c r="P225" s="19"/>
      <c r="Q225" s="22"/>
      <c r="R225" s="22"/>
      <c r="S225" s="22"/>
      <c r="T225" s="22" t="s">
        <v>5806</v>
      </c>
      <c r="U225" s="22" t="s">
        <v>5434</v>
      </c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customFormat="false" ht="12" hidden="false" customHeight="true" outlineLevel="0" collapsed="false">
      <c r="A226" s="31" t="n">
        <v>225</v>
      </c>
      <c r="B226" s="32" t="s">
        <v>308</v>
      </c>
      <c r="C226" s="32" t="s">
        <v>5807</v>
      </c>
      <c r="D226" s="22" t="n">
        <f aca="false">SUMIF(CAL!B:E,B226,CAL!E:E)+SUMIF(CAL!J:M,B226,CAL!M:M)</f>
        <v>9</v>
      </c>
      <c r="E226" s="33" t="n">
        <f aca="false">COUNTIF(CAL!B:J,B226)</f>
        <v>11</v>
      </c>
      <c r="F226" s="22" t="n">
        <f aca="false">SUMIF(CAL!B:F,B226,CAL!F:F)+SUMIF(CAL!J:N,B226,CAL!N:N)</f>
        <v>2</v>
      </c>
      <c r="G226" s="22" t="n">
        <f aca="false">SUMIF(CAL!B:F,B226,CAL!G:G)+SUMIF(CAL!J:N,B226,CAL!O:O)</f>
        <v>3</v>
      </c>
      <c r="H226" s="22" t="n">
        <f aca="false">SUMIF(CAL!B:F,B226,CAL!H:H)+SUMIF(CAL!J:N,B226,CAL!P:P)</f>
        <v>6</v>
      </c>
      <c r="I226" s="34" t="n">
        <f aca="false">IF(E226=0,0,(D226/(E226*3)))</f>
        <v>0.272727272727273</v>
      </c>
      <c r="J226" s="33" t="n">
        <f aca="false">SUMIF(CAL!B:C,B226,CAL!C:C)+SUMIF(CAL!J:J,B226,CAL!D:D)</f>
        <v>7</v>
      </c>
      <c r="K226" s="22" t="n">
        <f aca="false">SUMIF(CAL!B:D,B226,CAL!D:D)+SUMIF(CAL!J:L,B226,CAL!K:K)</f>
        <v>15</v>
      </c>
      <c r="L226" s="22" t="n">
        <f aca="false">J226-K226</f>
        <v>-8</v>
      </c>
      <c r="M226" s="35" t="n">
        <f aca="false">IF(E226=0,0,(J226/E226))</f>
        <v>0.636363636363636</v>
      </c>
      <c r="N226" s="35" t="n">
        <f aca="false">IF(E226=0,0,(K226/E226))</f>
        <v>1.36363636363636</v>
      </c>
      <c r="O226" s="22" t="n">
        <f aca="false">SUMIF(CAL!B:I,B226,CAL!I:I)+SUMIF(CAL!J:Q,B226,CAL!Q:Q)</f>
        <v>3</v>
      </c>
      <c r="P226" s="19"/>
      <c r="Q226" s="22"/>
      <c r="R226" s="22"/>
      <c r="S226" s="22"/>
      <c r="T226" s="22" t="s">
        <v>5611</v>
      </c>
      <c r="U226" s="22" t="s">
        <v>5428</v>
      </c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customFormat="false" ht="12" hidden="false" customHeight="true" outlineLevel="0" collapsed="false">
      <c r="A227" s="31" t="n">
        <v>226</v>
      </c>
      <c r="B227" s="36" t="s">
        <v>210</v>
      </c>
      <c r="C227" s="32" t="s">
        <v>5808</v>
      </c>
      <c r="D227" s="22" t="n">
        <f aca="false">SUMIF(CAL!B:E,B227,CAL!E:E)+SUMIF(CAL!J:M,B227,CAL!M:M)</f>
        <v>2</v>
      </c>
      <c r="E227" s="33" t="n">
        <f aca="false">COUNTIF(CAL!B:J,B227)</f>
        <v>7</v>
      </c>
      <c r="F227" s="22" t="n">
        <f aca="false">SUMIF(CAL!B:F,B227,CAL!F:F)+SUMIF(CAL!J:N,B227,CAL!N:N)</f>
        <v>0</v>
      </c>
      <c r="G227" s="22" t="n">
        <f aca="false">SUMIF(CAL!B:F,B227,CAL!G:G)+SUMIF(CAL!J:N,B227,CAL!O:O)</f>
        <v>2</v>
      </c>
      <c r="H227" s="22" t="n">
        <f aca="false">SUMIF(CAL!B:F,B227,CAL!H:H)+SUMIF(CAL!J:N,B227,CAL!P:P)</f>
        <v>5</v>
      </c>
      <c r="I227" s="34" t="n">
        <f aca="false">IF(E227=0,0,(D227/(E227*3)))</f>
        <v>0.0952380952380952</v>
      </c>
      <c r="J227" s="33" t="n">
        <f aca="false">SUMIF(CAL!B:C,B227,CAL!C:C)+SUMIF(CAL!J:J,B227,CAL!D:D)</f>
        <v>7</v>
      </c>
      <c r="K227" s="22" t="n">
        <f aca="false">SUMIF(CAL!B:D,B227,CAL!D:D)+SUMIF(CAL!J:L,B227,CAL!K:K)</f>
        <v>18</v>
      </c>
      <c r="L227" s="22" t="n">
        <f aca="false">J227-K227</f>
        <v>-11</v>
      </c>
      <c r="M227" s="35" t="n">
        <f aca="false">IF(E227=0,0,(J227/E227))</f>
        <v>1</v>
      </c>
      <c r="N227" s="35" t="n">
        <f aca="false">IF(E227=0,0,(K227/E227))</f>
        <v>2.57142857142857</v>
      </c>
      <c r="O227" s="22" t="n">
        <f aca="false">SUMIF(CAL!B:I,B227,CAL!I:I)+SUMIF(CAL!J:Q,B227,CAL!Q:Q)</f>
        <v>0</v>
      </c>
      <c r="P227" s="19"/>
      <c r="Q227" s="22"/>
      <c r="R227" s="22"/>
      <c r="S227" s="22"/>
      <c r="T227" s="22" t="s">
        <v>5809</v>
      </c>
      <c r="U227" s="22" t="s">
        <v>5394</v>
      </c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customFormat="false" ht="12" hidden="false" customHeight="true" outlineLevel="0" collapsed="false">
      <c r="A228" s="31" t="n">
        <v>227</v>
      </c>
      <c r="B228" s="36" t="s">
        <v>227</v>
      </c>
      <c r="C228" s="32" t="s">
        <v>5810</v>
      </c>
      <c r="D228" s="22" t="n">
        <f aca="false">SUMIF(CAL!B:E,B228,CAL!E:E)+SUMIF(CAL!J:M,B228,CAL!M:M)</f>
        <v>10</v>
      </c>
      <c r="E228" s="33" t="n">
        <f aca="false">COUNTIF(CAL!B:J,B228)</f>
        <v>9</v>
      </c>
      <c r="F228" s="22" t="n">
        <f aca="false">SUMIF(CAL!B:F,B228,CAL!F:F)+SUMIF(CAL!J:N,B228,CAL!N:N)</f>
        <v>3</v>
      </c>
      <c r="G228" s="22" t="n">
        <f aca="false">SUMIF(CAL!B:F,B228,CAL!G:G)+SUMIF(CAL!J:N,B228,CAL!O:O)</f>
        <v>1</v>
      </c>
      <c r="H228" s="22" t="n">
        <f aca="false">SUMIF(CAL!B:F,B228,CAL!H:H)+SUMIF(CAL!J:N,B228,CAL!P:P)</f>
        <v>5</v>
      </c>
      <c r="I228" s="34" t="n">
        <f aca="false">IF(E228=0,0,(D228/(E228*3)))</f>
        <v>0.37037037037037</v>
      </c>
      <c r="J228" s="33" t="n">
        <f aca="false">SUMIF(CAL!B:C,B228,CAL!C:C)+SUMIF(CAL!J:J,B228,CAL!D:D)</f>
        <v>14</v>
      </c>
      <c r="K228" s="22" t="n">
        <f aca="false">SUMIF(CAL!B:D,B228,CAL!D:D)+SUMIF(CAL!J:L,B228,CAL!K:K)</f>
        <v>13</v>
      </c>
      <c r="L228" s="22" t="n">
        <f aca="false">J228-K228</f>
        <v>1</v>
      </c>
      <c r="M228" s="35" t="n">
        <f aca="false">IF(E228=0,0,(J228/E228))</f>
        <v>1.55555555555556</v>
      </c>
      <c r="N228" s="35" t="n">
        <f aca="false">IF(E228=0,0,(K228/E228))</f>
        <v>1.44444444444444</v>
      </c>
      <c r="O228" s="22" t="n">
        <f aca="false">SUMIF(CAL!B:I,B228,CAL!I:I)+SUMIF(CAL!J:Q,B228,CAL!Q:Q)</f>
        <v>1</v>
      </c>
      <c r="P228" s="19"/>
      <c r="Q228" s="22"/>
      <c r="R228" s="22"/>
      <c r="S228" s="22"/>
      <c r="T228" s="22" t="s">
        <v>5811</v>
      </c>
      <c r="U228" s="22" t="s">
        <v>5407</v>
      </c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customFormat="false" ht="12" hidden="false" customHeight="true" outlineLevel="0" collapsed="false">
      <c r="A229" s="31" t="n">
        <v>228</v>
      </c>
      <c r="B229" s="36" t="s">
        <v>166</v>
      </c>
      <c r="C229" s="32" t="s">
        <v>5812</v>
      </c>
      <c r="D229" s="22" t="n">
        <f aca="false">SUMIF(CAL!B:E,B229,CAL!E:E)+SUMIF(CAL!J:M,B229,CAL!M:M)</f>
        <v>12</v>
      </c>
      <c r="E229" s="33" t="n">
        <f aca="false">COUNTIF(CAL!B:J,B229)</f>
        <v>15</v>
      </c>
      <c r="F229" s="22" t="n">
        <f aca="false">SUMIF(CAL!B:F,B229,CAL!F:F)+SUMIF(CAL!J:N,B229,CAL!N:N)</f>
        <v>1</v>
      </c>
      <c r="G229" s="22" t="n">
        <f aca="false">SUMIF(CAL!B:F,B229,CAL!G:G)+SUMIF(CAL!J:N,B229,CAL!O:O)</f>
        <v>9</v>
      </c>
      <c r="H229" s="22" t="n">
        <f aca="false">SUMIF(CAL!B:F,B229,CAL!H:H)+SUMIF(CAL!J:N,B229,CAL!P:P)</f>
        <v>5</v>
      </c>
      <c r="I229" s="34" t="n">
        <f aca="false">IF(E229=0,0,(D229/(E229*3)))</f>
        <v>0.266666666666667</v>
      </c>
      <c r="J229" s="33" t="n">
        <f aca="false">SUMIF(CAL!B:C,B229,CAL!C:C)+SUMIF(CAL!J:J,B229,CAL!D:D)</f>
        <v>12</v>
      </c>
      <c r="K229" s="22" t="n">
        <f aca="false">SUMIF(CAL!B:D,B229,CAL!D:D)+SUMIF(CAL!J:L,B229,CAL!K:K)</f>
        <v>16</v>
      </c>
      <c r="L229" s="22" t="n">
        <f aca="false">J229-K229</f>
        <v>-4</v>
      </c>
      <c r="M229" s="35" t="n">
        <f aca="false">IF(E229=0,0,(J229/E229))</f>
        <v>0.8</v>
      </c>
      <c r="N229" s="35" t="n">
        <f aca="false">IF(E229=0,0,(K229/E229))</f>
        <v>1.06666666666667</v>
      </c>
      <c r="O229" s="22" t="n">
        <f aca="false">SUMIF(CAL!B:I,B229,CAL!I:I)+SUMIF(CAL!J:Q,B229,CAL!Q:Q)</f>
        <v>6</v>
      </c>
      <c r="P229" s="19"/>
      <c r="Q229" s="22"/>
      <c r="R229" s="22"/>
      <c r="S229" s="22"/>
      <c r="T229" s="22" t="s">
        <v>5813</v>
      </c>
      <c r="U229" s="22" t="s">
        <v>5450</v>
      </c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customFormat="false" ht="12" hidden="false" customHeight="true" outlineLevel="0" collapsed="false">
      <c r="A230" s="31" t="n">
        <v>229</v>
      </c>
      <c r="B230" s="36" t="s">
        <v>307</v>
      </c>
      <c r="C230" s="32" t="s">
        <v>5814</v>
      </c>
      <c r="D230" s="22" t="n">
        <f aca="false">SUMIF(CAL!B:E,B230,CAL!E:E)+SUMIF(CAL!J:M,B230,CAL!M:M)</f>
        <v>2</v>
      </c>
      <c r="E230" s="33" t="n">
        <f aca="false">COUNTIF(CAL!B:J,B230)</f>
        <v>7</v>
      </c>
      <c r="F230" s="22" t="n">
        <f aca="false">SUMIF(CAL!B:F,B230,CAL!F:F)+SUMIF(CAL!J:N,B230,CAL!N:N)</f>
        <v>0</v>
      </c>
      <c r="G230" s="22" t="n">
        <f aca="false">SUMIF(CAL!B:F,B230,CAL!G:G)+SUMIF(CAL!J:N,B230,CAL!O:O)</f>
        <v>2</v>
      </c>
      <c r="H230" s="22" t="n">
        <f aca="false">SUMIF(CAL!B:F,B230,CAL!H:H)+SUMIF(CAL!J:N,B230,CAL!P:P)</f>
        <v>5</v>
      </c>
      <c r="I230" s="34" t="n">
        <f aca="false">IF(E230=0,0,(D230/(E230*3)))</f>
        <v>0.0952380952380952</v>
      </c>
      <c r="J230" s="33" t="n">
        <f aca="false">SUMIF(CAL!B:C,B230,CAL!C:C)+SUMIF(CAL!J:J,B230,CAL!D:D)</f>
        <v>3</v>
      </c>
      <c r="K230" s="22" t="n">
        <f aca="false">SUMIF(CAL!B:D,B230,CAL!D:D)+SUMIF(CAL!J:L,B230,CAL!K:K)</f>
        <v>12</v>
      </c>
      <c r="L230" s="22" t="n">
        <f aca="false">J230-K230</f>
        <v>-9</v>
      </c>
      <c r="M230" s="35" t="n">
        <f aca="false">IF(E230=0,0,(J230/E230))</f>
        <v>0.428571428571429</v>
      </c>
      <c r="N230" s="35" t="n">
        <f aca="false">IF(E230=0,0,(K230/E230))</f>
        <v>1.71428571428571</v>
      </c>
      <c r="O230" s="22" t="n">
        <f aca="false">SUMIF(CAL!B:I,B230,CAL!I:I)+SUMIF(CAL!J:Q,B230,CAL!Q:Q)</f>
        <v>1</v>
      </c>
      <c r="P230" s="19"/>
      <c r="Q230" s="22"/>
      <c r="R230" s="22"/>
      <c r="S230" s="22"/>
      <c r="T230" s="22" t="s">
        <v>5815</v>
      </c>
      <c r="U230" s="22" t="s">
        <v>5616</v>
      </c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customFormat="false" ht="12" hidden="false" customHeight="true" outlineLevel="0" collapsed="false">
      <c r="A231" s="31" t="n">
        <v>230</v>
      </c>
      <c r="B231" s="36" t="s">
        <v>429</v>
      </c>
      <c r="C231" s="32" t="s">
        <v>5816</v>
      </c>
      <c r="D231" s="22" t="n">
        <f aca="false">SUMIF(CAL!B:E,B231,CAL!E:E)+SUMIF(CAL!J:M,B231,CAL!M:M)</f>
        <v>1</v>
      </c>
      <c r="E231" s="33" t="n">
        <f aca="false">COUNTIF(CAL!B:J,B231)</f>
        <v>3</v>
      </c>
      <c r="F231" s="22" t="n">
        <f aca="false">SUMIF(CAL!B:F,B231,CAL!F:F)+SUMIF(CAL!J:N,B231,CAL!N:N)</f>
        <v>0</v>
      </c>
      <c r="G231" s="22" t="n">
        <f aca="false">SUMIF(CAL!B:F,B231,CAL!G:G)+SUMIF(CAL!J:N,B231,CAL!O:O)</f>
        <v>1</v>
      </c>
      <c r="H231" s="22" t="n">
        <f aca="false">SUMIF(CAL!B:F,B231,CAL!H:H)+SUMIF(CAL!J:N,B231,CAL!P:P)</f>
        <v>2</v>
      </c>
      <c r="I231" s="34" t="n">
        <f aca="false">IF(E231=0,0,(D231/(E231*3)))</f>
        <v>0.111111111111111</v>
      </c>
      <c r="J231" s="33" t="n">
        <f aca="false">SUMIF(CAL!B:C,B231,CAL!C:C)+SUMIF(CAL!J:J,B231,CAL!D:D)</f>
        <v>0</v>
      </c>
      <c r="K231" s="22" t="n">
        <f aca="false">SUMIF(CAL!B:D,B231,CAL!D:D)+SUMIF(CAL!J:L,B231,CAL!K:K)</f>
        <v>2</v>
      </c>
      <c r="L231" s="22" t="n">
        <f aca="false">J231-K231</f>
        <v>-2</v>
      </c>
      <c r="M231" s="35" t="n">
        <f aca="false">IF(E231=0,0,(J231/E231))</f>
        <v>0</v>
      </c>
      <c r="N231" s="35" t="n">
        <f aca="false">IF(E231=0,0,(K231/E231))</f>
        <v>0.666666666666667</v>
      </c>
      <c r="O231" s="22" t="n">
        <f aca="false">SUMIF(CAL!B:I,B231,CAL!I:I)+SUMIF(CAL!J:Q,B231,CAL!Q:Q)</f>
        <v>1</v>
      </c>
      <c r="P231" s="19"/>
      <c r="Q231" s="22"/>
      <c r="R231" s="22"/>
      <c r="S231" s="22"/>
      <c r="T231" s="22" t="s">
        <v>5750</v>
      </c>
      <c r="U231" s="22" t="s">
        <v>5483</v>
      </c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customFormat="false" ht="12" hidden="false" customHeight="true" outlineLevel="0" collapsed="false">
      <c r="A232" s="31" t="n">
        <v>231</v>
      </c>
      <c r="B232" s="38" t="s">
        <v>435</v>
      </c>
      <c r="C232" s="37" t="s">
        <v>5817</v>
      </c>
      <c r="D232" s="22" t="n">
        <f aca="false">SUMIF(CAL!B:E,B232,CAL!E:E)+SUMIF(CAL!J:M,B232,CAL!M:M)</f>
        <v>4</v>
      </c>
      <c r="E232" s="33" t="n">
        <f aca="false">COUNTIF(CAL!B:J,B232)</f>
        <v>3</v>
      </c>
      <c r="F232" s="22" t="n">
        <f aca="false">SUMIF(CAL!B:F,B232,CAL!F:F)+SUMIF(CAL!J:N,B232,CAL!N:N)</f>
        <v>1</v>
      </c>
      <c r="G232" s="22" t="n">
        <f aca="false">SUMIF(CAL!B:F,B232,CAL!G:G)+SUMIF(CAL!J:N,B232,CAL!O:O)</f>
        <v>1</v>
      </c>
      <c r="H232" s="22" t="n">
        <f aca="false">SUMIF(CAL!B:F,B232,CAL!H:H)+SUMIF(CAL!J:N,B232,CAL!P:P)</f>
        <v>1</v>
      </c>
      <c r="I232" s="34" t="n">
        <f aca="false">IF(E232=0,0,(D232/(E232*3)))</f>
        <v>0.444444444444444</v>
      </c>
      <c r="J232" s="33" t="n">
        <f aca="false">SUMIF(CAL!B:C,B232,CAL!C:C)+SUMIF(CAL!J:J,B232,CAL!D:D)</f>
        <v>3</v>
      </c>
      <c r="K232" s="22" t="n">
        <f aca="false">SUMIF(CAL!B:D,B232,CAL!D:D)+SUMIF(CAL!J:L,B232,CAL!K:K)</f>
        <v>3</v>
      </c>
      <c r="L232" s="22" t="n">
        <f aca="false">J232-K232</f>
        <v>0</v>
      </c>
      <c r="M232" s="35" t="n">
        <f aca="false">IF(E232=0,0,(J232/E232))</f>
        <v>1</v>
      </c>
      <c r="N232" s="35" t="n">
        <f aca="false">IF(E232=0,0,(K232/E232))</f>
        <v>1</v>
      </c>
      <c r="O232" s="22" t="n">
        <f aca="false">SUMIF(CAL!B:I,B232,CAL!I:I)+SUMIF(CAL!J:Q,B232,CAL!Q:Q)</f>
        <v>1</v>
      </c>
      <c r="P232" s="19"/>
      <c r="Q232" s="22"/>
      <c r="R232" s="22"/>
      <c r="S232" s="22"/>
      <c r="T232" s="22" t="s">
        <v>5818</v>
      </c>
      <c r="U232" s="22" t="s">
        <v>5483</v>
      </c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customFormat="false" ht="12" hidden="false" customHeight="true" outlineLevel="0" collapsed="false">
      <c r="A233" s="31" t="n">
        <v>232</v>
      </c>
      <c r="B233" s="36" t="s">
        <v>224</v>
      </c>
      <c r="C233" s="32" t="s">
        <v>5819</v>
      </c>
      <c r="D233" s="22" t="n">
        <f aca="false">SUMIF(CAL!B:E,B233,CAL!E:E)+SUMIF(CAL!J:M,B233,CAL!M:M)</f>
        <v>13</v>
      </c>
      <c r="E233" s="33" t="n">
        <f aca="false">COUNTIF(CAL!B:J,B233)</f>
        <v>10</v>
      </c>
      <c r="F233" s="22" t="n">
        <f aca="false">SUMIF(CAL!B:F,B233,CAL!F:F)+SUMIF(CAL!J:N,B233,CAL!N:N)</f>
        <v>3</v>
      </c>
      <c r="G233" s="22" t="n">
        <f aca="false">SUMIF(CAL!B:F,B233,CAL!G:G)+SUMIF(CAL!J:N,B233,CAL!O:O)</f>
        <v>4</v>
      </c>
      <c r="H233" s="22" t="n">
        <f aca="false">SUMIF(CAL!B:F,B233,CAL!H:H)+SUMIF(CAL!J:N,B233,CAL!P:P)</f>
        <v>3</v>
      </c>
      <c r="I233" s="34" t="n">
        <f aca="false">IF(E233=0,0,(D233/(E233*3)))</f>
        <v>0.433333333333333</v>
      </c>
      <c r="J233" s="33" t="n">
        <f aca="false">SUMIF(CAL!B:C,B233,CAL!C:C)+SUMIF(CAL!J:J,B233,CAL!D:D)</f>
        <v>10</v>
      </c>
      <c r="K233" s="22" t="n">
        <f aca="false">SUMIF(CAL!B:D,B233,CAL!D:D)+SUMIF(CAL!J:L,B233,CAL!K:K)</f>
        <v>10</v>
      </c>
      <c r="L233" s="22" t="n">
        <f aca="false">J233-K233</f>
        <v>0</v>
      </c>
      <c r="M233" s="35" t="n">
        <f aca="false">IF(E233=0,0,(J233/E233))</f>
        <v>1</v>
      </c>
      <c r="N233" s="35" t="n">
        <f aca="false">IF(E233=0,0,(K233/E233))</f>
        <v>1</v>
      </c>
      <c r="O233" s="22" t="n">
        <f aca="false">SUMIF(CAL!B:I,B233,CAL!I:I)+SUMIF(CAL!J:Q,B233,CAL!Q:Q)</f>
        <v>2</v>
      </c>
      <c r="P233" s="19"/>
      <c r="Q233" s="22"/>
      <c r="R233" s="22"/>
      <c r="S233" s="22"/>
      <c r="T233" s="22" t="s">
        <v>5820</v>
      </c>
      <c r="U233" s="22" t="s">
        <v>5407</v>
      </c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customFormat="false" ht="12" hidden="false" customHeight="true" outlineLevel="0" collapsed="false">
      <c r="A234" s="31" t="n">
        <v>233</v>
      </c>
      <c r="B234" s="32" t="s">
        <v>287</v>
      </c>
      <c r="C234" s="32" t="s">
        <v>5821</v>
      </c>
      <c r="D234" s="22" t="n">
        <f aca="false">SUMIF(CAL!B:E,B234,CAL!E:E)+SUMIF(CAL!J:M,B234,CAL!M:M)</f>
        <v>16</v>
      </c>
      <c r="E234" s="33" t="n">
        <f aca="false">COUNTIF(CAL!B:J,B234)</f>
        <v>9</v>
      </c>
      <c r="F234" s="22" t="n">
        <f aca="false">SUMIF(CAL!B:F,B234,CAL!F:F)+SUMIF(CAL!J:N,B234,CAL!N:N)</f>
        <v>5</v>
      </c>
      <c r="G234" s="22" t="n">
        <f aca="false">SUMIF(CAL!B:F,B234,CAL!G:G)+SUMIF(CAL!J:N,B234,CAL!O:O)</f>
        <v>1</v>
      </c>
      <c r="H234" s="22" t="n">
        <f aca="false">SUMIF(CAL!B:F,B234,CAL!H:H)+SUMIF(CAL!J:N,B234,CAL!P:P)</f>
        <v>3</v>
      </c>
      <c r="I234" s="34" t="n">
        <f aca="false">IF(E234=0,0,(D234/(E234*3)))</f>
        <v>0.592592592592593</v>
      </c>
      <c r="J234" s="33" t="n">
        <f aca="false">SUMIF(CAL!B:C,B234,CAL!C:C)+SUMIF(CAL!J:J,B234,CAL!D:D)</f>
        <v>12</v>
      </c>
      <c r="K234" s="22" t="n">
        <f aca="false">SUMIF(CAL!B:D,B234,CAL!D:D)+SUMIF(CAL!J:L,B234,CAL!K:K)</f>
        <v>8</v>
      </c>
      <c r="L234" s="22" t="n">
        <f aca="false">J234-K234</f>
        <v>4</v>
      </c>
      <c r="M234" s="35" t="n">
        <f aca="false">IF(E234=0,0,(J234/E234))</f>
        <v>1.33333333333333</v>
      </c>
      <c r="N234" s="35" t="n">
        <f aca="false">IF(E234=0,0,(K234/E234))</f>
        <v>0.888888888888889</v>
      </c>
      <c r="O234" s="22" t="n">
        <f aca="false">SUMIF(CAL!B:I,B234,CAL!I:I)+SUMIF(CAL!J:Q,B234,CAL!Q:Q)</f>
        <v>4</v>
      </c>
      <c r="P234" s="19"/>
      <c r="Q234" s="22"/>
      <c r="R234" s="22"/>
      <c r="S234" s="22"/>
      <c r="T234" s="22" t="s">
        <v>5822</v>
      </c>
      <c r="U234" s="22" t="s">
        <v>5616</v>
      </c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customFormat="false" ht="12" hidden="false" customHeight="true" outlineLevel="0" collapsed="false">
      <c r="A235" s="31" t="n">
        <v>234</v>
      </c>
      <c r="B235" s="37" t="s">
        <v>45</v>
      </c>
      <c r="C235" s="37" t="s">
        <v>5823</v>
      </c>
      <c r="D235" s="22" t="n">
        <f aca="false">SUMIF(CAL!B:E,B235,CAL!E:E)+SUMIF(CAL!J:M,B235,CAL!M:M)</f>
        <v>6</v>
      </c>
      <c r="E235" s="33" t="n">
        <f aca="false">COUNTIF(CAL!B:J,B235)</f>
        <v>8</v>
      </c>
      <c r="F235" s="22" t="n">
        <f aca="false">SUMIF(CAL!B:F,B235,CAL!F:F)+SUMIF(CAL!J:N,B235,CAL!N:N)</f>
        <v>1</v>
      </c>
      <c r="G235" s="22" t="n">
        <f aca="false">SUMIF(CAL!B:F,B235,CAL!G:G)+SUMIF(CAL!J:N,B235,CAL!O:O)</f>
        <v>3</v>
      </c>
      <c r="H235" s="22" t="n">
        <f aca="false">SUMIF(CAL!B:F,B235,CAL!H:H)+SUMIF(CAL!J:N,B235,CAL!P:P)</f>
        <v>4</v>
      </c>
      <c r="I235" s="34" t="n">
        <f aca="false">IF(E235=0,0,(D235/(E235*3)))</f>
        <v>0.25</v>
      </c>
      <c r="J235" s="33" t="n">
        <f aca="false">SUMIF(CAL!B:C,B235,CAL!C:C)+SUMIF(CAL!J:J,B235,CAL!D:D)</f>
        <v>6</v>
      </c>
      <c r="K235" s="22" t="n">
        <f aca="false">SUMIF(CAL!B:D,B235,CAL!D:D)+SUMIF(CAL!J:L,B235,CAL!K:K)</f>
        <v>13</v>
      </c>
      <c r="L235" s="22" t="n">
        <f aca="false">J235-K235</f>
        <v>-7</v>
      </c>
      <c r="M235" s="35" t="n">
        <f aca="false">IF(E235=0,0,(J235/E235))</f>
        <v>0.75</v>
      </c>
      <c r="N235" s="35" t="n">
        <f aca="false">IF(E235=0,0,(K235/E235))</f>
        <v>1.625</v>
      </c>
      <c r="O235" s="22" t="n">
        <f aca="false">SUMIF(CAL!B:I,B235,CAL!I:I)+SUMIF(CAL!J:Q,B235,CAL!Q:Q)</f>
        <v>1</v>
      </c>
      <c r="P235" s="19"/>
      <c r="Q235" s="22"/>
      <c r="R235" s="22"/>
      <c r="S235" s="22"/>
      <c r="T235" s="22" t="s">
        <v>5824</v>
      </c>
      <c r="U235" s="22" t="s">
        <v>5483</v>
      </c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customFormat="false" ht="12" hidden="false" customHeight="true" outlineLevel="0" collapsed="false">
      <c r="A236" s="31" t="n">
        <v>235</v>
      </c>
      <c r="B236" s="37" t="s">
        <v>433</v>
      </c>
      <c r="C236" s="37" t="s">
        <v>5825</v>
      </c>
      <c r="D236" s="22" t="n">
        <f aca="false">SUMIF(CAL!B:E,B236,CAL!E:E)+SUMIF(CAL!J:M,B236,CAL!M:M)</f>
        <v>7</v>
      </c>
      <c r="E236" s="33" t="n">
        <f aca="false">COUNTIF(CAL!B:J,B236)</f>
        <v>3</v>
      </c>
      <c r="F236" s="22" t="n">
        <f aca="false">SUMIF(CAL!B:F,B236,CAL!F:F)+SUMIF(CAL!J:N,B236,CAL!N:N)</f>
        <v>2</v>
      </c>
      <c r="G236" s="22" t="n">
        <f aca="false">SUMIF(CAL!B:F,B236,CAL!G:G)+SUMIF(CAL!J:N,B236,CAL!O:O)</f>
        <v>1</v>
      </c>
      <c r="H236" s="22" t="n">
        <f aca="false">SUMIF(CAL!B:F,B236,CAL!H:H)+SUMIF(CAL!J:N,B236,CAL!P:P)</f>
        <v>0</v>
      </c>
      <c r="I236" s="34" t="n">
        <f aca="false">IF(E236=0,0,(D236/(E236*3)))</f>
        <v>0.777777777777778</v>
      </c>
      <c r="J236" s="33" t="n">
        <f aca="false">SUMIF(CAL!B:C,B236,CAL!C:C)+SUMIF(CAL!J:J,B236,CAL!D:D)</f>
        <v>4</v>
      </c>
      <c r="K236" s="22" t="n">
        <f aca="false">SUMIF(CAL!B:D,B236,CAL!D:D)+SUMIF(CAL!J:L,B236,CAL!K:K)</f>
        <v>2</v>
      </c>
      <c r="L236" s="22" t="n">
        <f aca="false">J236-K236</f>
        <v>2</v>
      </c>
      <c r="M236" s="35" t="n">
        <f aca="false">IF(E236=0,0,(J236/E236))</f>
        <v>1.33333333333333</v>
      </c>
      <c r="N236" s="35" t="n">
        <f aca="false">IF(E236=0,0,(K236/E236))</f>
        <v>0.666666666666667</v>
      </c>
      <c r="O236" s="22" t="n">
        <f aca="false">SUMIF(CAL!B:I,B236,CAL!I:I)+SUMIF(CAL!J:Q,B236,CAL!Q:Q)</f>
        <v>1</v>
      </c>
      <c r="P236" s="19"/>
      <c r="Q236" s="22"/>
      <c r="R236" s="22"/>
      <c r="S236" s="22"/>
      <c r="T236" s="22" t="s">
        <v>5750</v>
      </c>
      <c r="U236" s="22" t="s">
        <v>5483</v>
      </c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customFormat="false" ht="12" hidden="false" customHeight="true" outlineLevel="0" collapsed="false">
      <c r="A237" s="31" t="n">
        <v>236</v>
      </c>
      <c r="B237" s="36" t="s">
        <v>393</v>
      </c>
      <c r="C237" s="32" t="s">
        <v>5826</v>
      </c>
      <c r="D237" s="22" t="n">
        <f aca="false">SUMIF(CAL!B:E,B237,CAL!E:E)+SUMIF(CAL!J:M,B237,CAL!M:M)</f>
        <v>14</v>
      </c>
      <c r="E237" s="33" t="n">
        <f aca="false">COUNTIF(CAL!B:J,B237)</f>
        <v>10</v>
      </c>
      <c r="F237" s="22" t="n">
        <f aca="false">SUMIF(CAL!B:F,B237,CAL!F:F)+SUMIF(CAL!J:N,B237,CAL!N:N)</f>
        <v>3</v>
      </c>
      <c r="G237" s="22" t="n">
        <f aca="false">SUMIF(CAL!B:F,B237,CAL!G:G)+SUMIF(CAL!J:N,B237,CAL!O:O)</f>
        <v>5</v>
      </c>
      <c r="H237" s="22" t="n">
        <f aca="false">SUMIF(CAL!B:F,B237,CAL!H:H)+SUMIF(CAL!J:N,B237,CAL!P:P)</f>
        <v>2</v>
      </c>
      <c r="I237" s="34" t="n">
        <f aca="false">IF(E237=0,0,(D237/(E237*3)))</f>
        <v>0.466666666666667</v>
      </c>
      <c r="J237" s="33" t="n">
        <f aca="false">SUMIF(CAL!B:C,B237,CAL!C:C)+SUMIF(CAL!J:J,B237,CAL!D:D)</f>
        <v>18</v>
      </c>
      <c r="K237" s="22" t="n">
        <f aca="false">SUMIF(CAL!B:D,B237,CAL!D:D)+SUMIF(CAL!J:L,B237,CAL!K:K)</f>
        <v>12</v>
      </c>
      <c r="L237" s="22" t="n">
        <f aca="false">J237-K237</f>
        <v>6</v>
      </c>
      <c r="M237" s="35" t="n">
        <f aca="false">IF(E237=0,0,(J237/E237))</f>
        <v>1.8</v>
      </c>
      <c r="N237" s="35" t="n">
        <f aca="false">IF(E237=0,0,(K237/E237))</f>
        <v>1.2</v>
      </c>
      <c r="O237" s="22" t="n">
        <f aca="false">SUMIF(CAL!B:I,B237,CAL!I:I)+SUMIF(CAL!J:Q,B237,CAL!Q:Q)</f>
        <v>2</v>
      </c>
      <c r="P237" s="19"/>
      <c r="Q237" s="22"/>
      <c r="R237" s="22"/>
      <c r="S237" s="22"/>
      <c r="T237" s="22" t="s">
        <v>5827</v>
      </c>
      <c r="U237" s="22" t="s">
        <v>5523</v>
      </c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customFormat="false" ht="12" hidden="false" customHeight="true" outlineLevel="0" collapsed="false">
      <c r="A238" s="31" t="n">
        <v>237</v>
      </c>
      <c r="B238" s="36" t="s">
        <v>371</v>
      </c>
      <c r="C238" s="32" t="s">
        <v>5828</v>
      </c>
      <c r="D238" s="22" t="n">
        <f aca="false">SUMIF(CAL!B:E,B238,CAL!E:E)+SUMIF(CAL!J:M,B238,CAL!M:M)</f>
        <v>33</v>
      </c>
      <c r="E238" s="33" t="n">
        <f aca="false">COUNTIF(CAL!B:J,B238)</f>
        <v>15</v>
      </c>
      <c r="F238" s="22" t="n">
        <f aca="false">SUMIF(CAL!B:F,B238,CAL!F:F)+SUMIF(CAL!J:N,B238,CAL!N:N)</f>
        <v>10</v>
      </c>
      <c r="G238" s="22" t="n">
        <f aca="false">SUMIF(CAL!B:F,B238,CAL!G:G)+SUMIF(CAL!J:N,B238,CAL!O:O)</f>
        <v>3</v>
      </c>
      <c r="H238" s="22" t="n">
        <f aca="false">SUMIF(CAL!B:F,B238,CAL!H:H)+SUMIF(CAL!J:N,B238,CAL!P:P)</f>
        <v>2</v>
      </c>
      <c r="I238" s="34" t="n">
        <f aca="false">IF(E238=0,0,(D238/(E238*3)))</f>
        <v>0.733333333333333</v>
      </c>
      <c r="J238" s="33" t="n">
        <f aca="false">SUMIF(CAL!B:C,B238,CAL!C:C)+SUMIF(CAL!J:J,B238,CAL!D:D)</f>
        <v>21</v>
      </c>
      <c r="K238" s="22" t="n">
        <f aca="false">SUMIF(CAL!B:D,B238,CAL!D:D)+SUMIF(CAL!J:L,B238,CAL!K:K)</f>
        <v>6</v>
      </c>
      <c r="L238" s="22" t="n">
        <f aca="false">J238-K238</f>
        <v>15</v>
      </c>
      <c r="M238" s="35" t="n">
        <f aca="false">IF(E238=0,0,(J238/E238))</f>
        <v>1.4</v>
      </c>
      <c r="N238" s="35" t="n">
        <f aca="false">IF(E238=0,0,(K238/E238))</f>
        <v>0.4</v>
      </c>
      <c r="O238" s="22" t="n">
        <f aca="false">SUMIF(CAL!B:I,B238,CAL!I:I)+SUMIF(CAL!J:Q,B238,CAL!Q:Q)</f>
        <v>11</v>
      </c>
      <c r="P238" s="19"/>
      <c r="Q238" s="22"/>
      <c r="R238" s="22"/>
      <c r="S238" s="22"/>
      <c r="T238" s="22" t="s">
        <v>5829</v>
      </c>
      <c r="U238" s="22" t="s">
        <v>5450</v>
      </c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customFormat="false" ht="12" hidden="false" customHeight="true" outlineLevel="0" collapsed="false">
      <c r="A239" s="31" t="n">
        <v>238</v>
      </c>
      <c r="B239" s="36" t="s">
        <v>221</v>
      </c>
      <c r="C239" s="32" t="s">
        <v>5830</v>
      </c>
      <c r="D239" s="22" t="n">
        <f aca="false">SUMIF(CAL!B:E,B239,CAL!E:E)+SUMIF(CAL!J:M,B239,CAL!M:M)</f>
        <v>9</v>
      </c>
      <c r="E239" s="33" t="n">
        <f aca="false">COUNTIF(CAL!B:J,B239)</f>
        <v>12</v>
      </c>
      <c r="F239" s="22" t="n">
        <f aca="false">SUMIF(CAL!B:F,B239,CAL!F:F)+SUMIF(CAL!J:N,B239,CAL!N:N)</f>
        <v>1</v>
      </c>
      <c r="G239" s="22" t="n">
        <f aca="false">SUMIF(CAL!B:F,B239,CAL!G:G)+SUMIF(CAL!J:N,B239,CAL!O:O)</f>
        <v>6</v>
      </c>
      <c r="H239" s="22" t="n">
        <f aca="false">SUMIF(CAL!B:F,B239,CAL!H:H)+SUMIF(CAL!J:N,B239,CAL!P:P)</f>
        <v>5</v>
      </c>
      <c r="I239" s="34" t="n">
        <f aca="false">IF(E239=0,0,(D239/(E239*3)))</f>
        <v>0.25</v>
      </c>
      <c r="J239" s="33" t="n">
        <f aca="false">SUMIF(CAL!B:C,B239,CAL!C:C)+SUMIF(CAL!J:J,B239,CAL!D:D)</f>
        <v>6</v>
      </c>
      <c r="K239" s="22" t="n">
        <f aca="false">SUMIF(CAL!B:D,B239,CAL!D:D)+SUMIF(CAL!J:L,B239,CAL!K:K)</f>
        <v>11</v>
      </c>
      <c r="L239" s="22" t="n">
        <f aca="false">J239-K239</f>
        <v>-5</v>
      </c>
      <c r="M239" s="35" t="n">
        <f aca="false">IF(E239=0,0,(J239/E239))</f>
        <v>0.5</v>
      </c>
      <c r="N239" s="35" t="n">
        <f aca="false">IF(E239=0,0,(K239/E239))</f>
        <v>0.916666666666667</v>
      </c>
      <c r="O239" s="22" t="n">
        <f aca="false">SUMIF(CAL!B:I,B239,CAL!I:I)+SUMIF(CAL!J:Q,B239,CAL!Q:Q)</f>
        <v>4</v>
      </c>
      <c r="P239" s="19"/>
      <c r="Q239" s="22"/>
      <c r="R239" s="22"/>
      <c r="S239" s="22"/>
      <c r="T239" s="22" t="s">
        <v>5831</v>
      </c>
      <c r="U239" s="22" t="s">
        <v>5423</v>
      </c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customFormat="false" ht="12" hidden="false" customHeight="true" outlineLevel="0" collapsed="false">
      <c r="A240" s="31" t="n">
        <v>239</v>
      </c>
      <c r="B240" s="38" t="s">
        <v>118</v>
      </c>
      <c r="C240" s="37" t="s">
        <v>5832</v>
      </c>
      <c r="D240" s="22" t="n">
        <f aca="false">SUMIF(CAL!B:E,B240,CAL!E:E)+SUMIF(CAL!J:M,B240,CAL!M:M)</f>
        <v>7</v>
      </c>
      <c r="E240" s="33" t="n">
        <f aca="false">COUNTIF(CAL!B:J,B240)</f>
        <v>8</v>
      </c>
      <c r="F240" s="22" t="n">
        <f aca="false">SUMIF(CAL!B:F,B240,CAL!F:F)+SUMIF(CAL!J:N,B240,CAL!N:N)</f>
        <v>2</v>
      </c>
      <c r="G240" s="22" t="n">
        <f aca="false">SUMIF(CAL!B:F,B240,CAL!G:G)+SUMIF(CAL!J:N,B240,CAL!O:O)</f>
        <v>1</v>
      </c>
      <c r="H240" s="22" t="n">
        <f aca="false">SUMIF(CAL!B:F,B240,CAL!H:H)+SUMIF(CAL!J:N,B240,CAL!P:P)</f>
        <v>5</v>
      </c>
      <c r="I240" s="34" t="n">
        <f aca="false">IF(E240=0,0,(D240/(E240*3)))</f>
        <v>0.291666666666667</v>
      </c>
      <c r="J240" s="33" t="n">
        <f aca="false">SUMIF(CAL!B:C,B240,CAL!C:C)+SUMIF(CAL!J:J,B240,CAL!D:D)</f>
        <v>10</v>
      </c>
      <c r="K240" s="22" t="n">
        <f aca="false">SUMIF(CAL!B:D,B240,CAL!D:D)+SUMIF(CAL!J:L,B240,CAL!K:K)</f>
        <v>17</v>
      </c>
      <c r="L240" s="22" t="n">
        <f aca="false">J240-K240</f>
        <v>-7</v>
      </c>
      <c r="M240" s="35" t="n">
        <f aca="false">IF(E240=0,0,(J240/E240))</f>
        <v>1.25</v>
      </c>
      <c r="N240" s="35" t="n">
        <f aca="false">IF(E240=0,0,(K240/E240))</f>
        <v>2.125</v>
      </c>
      <c r="O240" s="22" t="n">
        <f aca="false">SUMIF(CAL!B:I,B240,CAL!I:I)+SUMIF(CAL!J:Q,B240,CAL!Q:Q)</f>
        <v>2</v>
      </c>
      <c r="P240" s="19"/>
      <c r="Q240" s="22"/>
      <c r="R240" s="22"/>
      <c r="S240" s="22"/>
      <c r="T240" s="22" t="s">
        <v>5833</v>
      </c>
      <c r="U240" s="22" t="s">
        <v>5380</v>
      </c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customFormat="false" ht="12" hidden="false" customHeight="true" outlineLevel="0" collapsed="false">
      <c r="A241" s="31" t="n">
        <v>240</v>
      </c>
      <c r="B241" s="37" t="s">
        <v>173</v>
      </c>
      <c r="C241" s="37" t="s">
        <v>5834</v>
      </c>
      <c r="D241" s="22" t="n">
        <f aca="false">SUMIF(CAL!B:E,B241,CAL!E:E)+SUMIF(CAL!J:M,B241,CAL!M:M)</f>
        <v>8</v>
      </c>
      <c r="E241" s="33" t="n">
        <f aca="false">COUNTIF(CAL!B:J,B241)</f>
        <v>8</v>
      </c>
      <c r="F241" s="22" t="n">
        <f aca="false">SUMIF(CAL!B:F,B241,CAL!F:F)+SUMIF(CAL!J:N,B241,CAL!N:N)</f>
        <v>2</v>
      </c>
      <c r="G241" s="22" t="n">
        <f aca="false">SUMIF(CAL!B:F,B241,CAL!G:G)+SUMIF(CAL!J:N,B241,CAL!O:O)</f>
        <v>2</v>
      </c>
      <c r="H241" s="22" t="n">
        <f aca="false">SUMIF(CAL!B:F,B241,CAL!H:H)+SUMIF(CAL!J:N,B241,CAL!P:P)</f>
        <v>4</v>
      </c>
      <c r="I241" s="34" t="n">
        <f aca="false">IF(E241=0,0,(D241/(E241*3)))</f>
        <v>0.333333333333333</v>
      </c>
      <c r="J241" s="33" t="n">
        <f aca="false">SUMIF(CAL!B:C,B241,CAL!C:C)+SUMIF(CAL!J:J,B241,CAL!D:D)</f>
        <v>7</v>
      </c>
      <c r="K241" s="22" t="n">
        <f aca="false">SUMIF(CAL!B:D,B241,CAL!D:D)+SUMIF(CAL!J:L,B241,CAL!K:K)</f>
        <v>12</v>
      </c>
      <c r="L241" s="22" t="n">
        <f aca="false">J241-K241</f>
        <v>-5</v>
      </c>
      <c r="M241" s="35" t="n">
        <f aca="false">IF(E241=0,0,(J241/E241))</f>
        <v>0.875</v>
      </c>
      <c r="N241" s="35" t="n">
        <f aca="false">IF(E241=0,0,(K241/E241))</f>
        <v>1.5</v>
      </c>
      <c r="O241" s="22" t="n">
        <f aca="false">SUMIF(CAL!B:I,B241,CAL!I:I)+SUMIF(CAL!J:Q,B241,CAL!Q:Q)</f>
        <v>3</v>
      </c>
      <c r="P241" s="19"/>
      <c r="Q241" s="22"/>
      <c r="R241" s="22"/>
      <c r="S241" s="22"/>
      <c r="T241" s="22" t="s">
        <v>5835</v>
      </c>
      <c r="U241" s="22" t="s">
        <v>5411</v>
      </c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customFormat="false" ht="12" hidden="false" customHeight="true" outlineLevel="0" collapsed="false">
      <c r="A242" s="31" t="n">
        <v>241</v>
      </c>
      <c r="B242" s="37" t="s">
        <v>432</v>
      </c>
      <c r="C242" s="37" t="s">
        <v>5836</v>
      </c>
      <c r="D242" s="22" t="n">
        <f aca="false">SUMIF(CAL!B:E,B242,CAL!E:E)+SUMIF(CAL!J:M,B242,CAL!M:M)</f>
        <v>6</v>
      </c>
      <c r="E242" s="33" t="n">
        <f aca="false">COUNTIF(CAL!B:J,B242)</f>
        <v>3</v>
      </c>
      <c r="F242" s="22" t="n">
        <f aca="false">SUMIF(CAL!B:F,B242,CAL!F:F)+SUMIF(CAL!J:N,B242,CAL!N:N)</f>
        <v>2</v>
      </c>
      <c r="G242" s="22" t="n">
        <f aca="false">SUMIF(CAL!B:F,B242,CAL!G:G)+SUMIF(CAL!J:N,B242,CAL!O:O)</f>
        <v>0</v>
      </c>
      <c r="H242" s="22" t="n">
        <f aca="false">SUMIF(CAL!B:F,B242,CAL!H:H)+SUMIF(CAL!J:N,B242,CAL!P:P)</f>
        <v>1</v>
      </c>
      <c r="I242" s="34" t="n">
        <f aca="false">IF(E242=0,0,(D242/(E242*3)))</f>
        <v>0.666666666666667</v>
      </c>
      <c r="J242" s="33" t="n">
        <f aca="false">SUMIF(CAL!B:C,B242,CAL!C:C)+SUMIF(CAL!J:J,B242,CAL!D:D)</f>
        <v>4</v>
      </c>
      <c r="K242" s="22" t="n">
        <f aca="false">SUMIF(CAL!B:D,B242,CAL!D:D)+SUMIF(CAL!J:L,B242,CAL!K:K)</f>
        <v>3</v>
      </c>
      <c r="L242" s="22" t="n">
        <f aca="false">J242-K242</f>
        <v>1</v>
      </c>
      <c r="M242" s="35" t="n">
        <f aca="false">IF(E242=0,0,(J242/E242))</f>
        <v>1.33333333333333</v>
      </c>
      <c r="N242" s="35" t="n">
        <f aca="false">IF(E242=0,0,(K242/E242))</f>
        <v>1</v>
      </c>
      <c r="O242" s="22" t="n">
        <f aca="false">SUMIF(CAL!B:I,B242,CAL!I:I)+SUMIF(CAL!J:Q,B242,CAL!Q:Q)</f>
        <v>2</v>
      </c>
      <c r="P242" s="19"/>
      <c r="Q242" s="22"/>
      <c r="R242" s="22"/>
      <c r="S242" s="22"/>
      <c r="T242" s="22"/>
      <c r="U242" s="22" t="s">
        <v>5483</v>
      </c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customFormat="false" ht="12" hidden="false" customHeight="true" outlineLevel="0" collapsed="false">
      <c r="A243" s="31" t="n">
        <v>242</v>
      </c>
      <c r="B243" s="32" t="s">
        <v>314</v>
      </c>
      <c r="C243" s="32" t="s">
        <v>5837</v>
      </c>
      <c r="D243" s="22" t="n">
        <f aca="false">SUMIF(CAL!B:E,B243,CAL!E:E)+SUMIF(CAL!J:M,B243,CAL!M:M)</f>
        <v>9</v>
      </c>
      <c r="E243" s="33" t="n">
        <f aca="false">COUNTIF(CAL!B:J,B243)</f>
        <v>15</v>
      </c>
      <c r="F243" s="22" t="n">
        <f aca="false">SUMIF(CAL!B:F,B243,CAL!F:F)+SUMIF(CAL!J:N,B243,CAL!N:N)</f>
        <v>2</v>
      </c>
      <c r="G243" s="22" t="n">
        <f aca="false">SUMIF(CAL!B:F,B243,CAL!G:G)+SUMIF(CAL!J:N,B243,CAL!O:O)</f>
        <v>3</v>
      </c>
      <c r="H243" s="22" t="n">
        <f aca="false">SUMIF(CAL!B:F,B243,CAL!H:H)+SUMIF(CAL!J:N,B243,CAL!P:P)</f>
        <v>10</v>
      </c>
      <c r="I243" s="34" t="n">
        <f aca="false">IF(E243=0,0,(D243/(E243*3)))</f>
        <v>0.2</v>
      </c>
      <c r="J243" s="33" t="n">
        <f aca="false">SUMIF(CAL!B:C,B243,CAL!C:C)+SUMIF(CAL!J:J,B243,CAL!D:D)</f>
        <v>14</v>
      </c>
      <c r="K243" s="22" t="n">
        <f aca="false">SUMIF(CAL!B:D,B243,CAL!D:D)+SUMIF(CAL!J:L,B243,CAL!K:K)</f>
        <v>26</v>
      </c>
      <c r="L243" s="22" t="n">
        <f aca="false">J243-K243</f>
        <v>-12</v>
      </c>
      <c r="M243" s="35" t="n">
        <f aca="false">IF(E243=0,0,(J243/E243))</f>
        <v>0.933333333333333</v>
      </c>
      <c r="N243" s="35" t="n">
        <f aca="false">IF(E243=0,0,(K243/E243))</f>
        <v>1.73333333333333</v>
      </c>
      <c r="O243" s="22" t="n">
        <f aca="false">SUMIF(CAL!B:I,B243,CAL!I:I)+SUMIF(CAL!J:Q,B243,CAL!Q:Q)</f>
        <v>1</v>
      </c>
      <c r="P243" s="19"/>
      <c r="Q243" s="22"/>
      <c r="R243" s="22"/>
      <c r="S243" s="22"/>
      <c r="T243" s="22" t="s">
        <v>5838</v>
      </c>
      <c r="U243" s="22" t="s">
        <v>5450</v>
      </c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customFormat="false" ht="12" hidden="false" customHeight="true" outlineLevel="0" collapsed="false">
      <c r="A244" s="31" t="n">
        <v>243</v>
      </c>
      <c r="B244" s="32" t="s">
        <v>196</v>
      </c>
      <c r="C244" s="32" t="s">
        <v>5839</v>
      </c>
      <c r="D244" s="22" t="n">
        <f aca="false">SUMIF(CAL!B:E,B244,CAL!E:E)+SUMIF(CAL!J:M,B244,CAL!M:M)</f>
        <v>1</v>
      </c>
      <c r="E244" s="33" t="n">
        <f aca="false">COUNTIF(CAL!B:J,B244)</f>
        <v>7</v>
      </c>
      <c r="F244" s="22" t="n">
        <f aca="false">SUMIF(CAL!B:F,B244,CAL!F:F)+SUMIF(CAL!J:N,B244,CAL!N:N)</f>
        <v>0</v>
      </c>
      <c r="G244" s="22" t="n">
        <f aca="false">SUMIF(CAL!B:F,B244,CAL!G:G)+SUMIF(CAL!J:N,B244,CAL!O:O)</f>
        <v>1</v>
      </c>
      <c r="H244" s="22" t="n">
        <f aca="false">SUMIF(CAL!B:F,B244,CAL!H:H)+SUMIF(CAL!J:N,B244,CAL!P:P)</f>
        <v>6</v>
      </c>
      <c r="I244" s="34" t="n">
        <f aca="false">IF(E244=0,0,(D244/(E244*3)))</f>
        <v>0.0476190476190476</v>
      </c>
      <c r="J244" s="33" t="n">
        <f aca="false">SUMIF(CAL!B:C,B244,CAL!C:C)+SUMIF(CAL!J:J,B244,CAL!D:D)</f>
        <v>1</v>
      </c>
      <c r="K244" s="22" t="n">
        <f aca="false">SUMIF(CAL!B:D,B244,CAL!D:D)+SUMIF(CAL!J:L,B244,CAL!K:K)</f>
        <v>14</v>
      </c>
      <c r="L244" s="22" t="n">
        <f aca="false">J244-K244</f>
        <v>-13</v>
      </c>
      <c r="M244" s="35" t="n">
        <f aca="false">IF(E244=0,0,(J244/E244))</f>
        <v>0.142857142857143</v>
      </c>
      <c r="N244" s="35" t="n">
        <f aca="false">IF(E244=0,0,(K244/E244))</f>
        <v>2</v>
      </c>
      <c r="O244" s="22" t="n">
        <f aca="false">SUMIF(CAL!B:I,B244,CAL!I:I)+SUMIF(CAL!J:Q,B244,CAL!Q:Q)</f>
        <v>0</v>
      </c>
      <c r="P244" s="19"/>
      <c r="Q244" s="22"/>
      <c r="R244" s="22"/>
      <c r="S244" s="22"/>
      <c r="T244" s="22" t="s">
        <v>5840</v>
      </c>
      <c r="U244" s="22" t="s">
        <v>5465</v>
      </c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customFormat="false" ht="12" hidden="false" customHeight="true" outlineLevel="0" collapsed="false">
      <c r="A245" s="31" t="n">
        <v>244</v>
      </c>
      <c r="B245" s="32" t="s">
        <v>367</v>
      </c>
      <c r="C245" s="32" t="s">
        <v>5841</v>
      </c>
      <c r="D245" s="22" t="n">
        <f aca="false">SUMIF(CAL!B:E,B245,CAL!E:E)+SUMIF(CAL!J:M,B245,CAL!M:M)</f>
        <v>16</v>
      </c>
      <c r="E245" s="33" t="n">
        <f aca="false">COUNTIF(CAL!B:J,B245)</f>
        <v>15</v>
      </c>
      <c r="F245" s="22" t="n">
        <f aca="false">SUMIF(CAL!B:F,B245,CAL!F:F)+SUMIF(CAL!J:N,B245,CAL!N:N)</f>
        <v>4</v>
      </c>
      <c r="G245" s="22" t="n">
        <f aca="false">SUMIF(CAL!B:F,B245,CAL!G:G)+SUMIF(CAL!J:N,B245,CAL!O:O)</f>
        <v>4</v>
      </c>
      <c r="H245" s="22" t="n">
        <f aca="false">SUMIF(CAL!B:F,B245,CAL!H:H)+SUMIF(CAL!J:N,B245,CAL!P:P)</f>
        <v>7</v>
      </c>
      <c r="I245" s="34" t="n">
        <f aca="false">IF(E245=0,0,(D245/(E245*3)))</f>
        <v>0.355555555555556</v>
      </c>
      <c r="J245" s="33" t="n">
        <f aca="false">SUMIF(CAL!B:C,B245,CAL!C:C)+SUMIF(CAL!J:J,B245,CAL!D:D)</f>
        <v>14</v>
      </c>
      <c r="K245" s="22" t="n">
        <f aca="false">SUMIF(CAL!B:D,B245,CAL!D:D)+SUMIF(CAL!J:L,B245,CAL!K:K)</f>
        <v>17</v>
      </c>
      <c r="L245" s="22" t="n">
        <f aca="false">J245-K245</f>
        <v>-3</v>
      </c>
      <c r="M245" s="35" t="n">
        <f aca="false">IF(E245=0,0,(J245/E245))</f>
        <v>0.933333333333333</v>
      </c>
      <c r="N245" s="35" t="n">
        <f aca="false">IF(E245=0,0,(K245/E245))</f>
        <v>1.13333333333333</v>
      </c>
      <c r="O245" s="22" t="n">
        <f aca="false">SUMIF(CAL!B:I,B245,CAL!I:I)+SUMIF(CAL!J:Q,B245,CAL!Q:Q)</f>
        <v>4</v>
      </c>
      <c r="P245" s="19"/>
      <c r="Q245" s="22"/>
      <c r="R245" s="22"/>
      <c r="S245" s="22"/>
      <c r="T245" s="22" t="s">
        <v>5684</v>
      </c>
      <c r="U245" s="22" t="s">
        <v>5450</v>
      </c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customFormat="false" ht="12" hidden="false" customHeight="true" outlineLevel="0" collapsed="false">
      <c r="A246" s="31" t="n">
        <v>245</v>
      </c>
      <c r="B246" s="32" t="s">
        <v>133</v>
      </c>
      <c r="C246" s="32" t="s">
        <v>5842</v>
      </c>
      <c r="D246" s="22" t="n">
        <f aca="false">SUMIF(CAL!B:E,B246,CAL!E:E)+SUMIF(CAL!J:M,B246,CAL!M:M)</f>
        <v>3</v>
      </c>
      <c r="E246" s="33" t="n">
        <f aca="false">COUNTIF(CAL!B:J,B246)</f>
        <v>7</v>
      </c>
      <c r="F246" s="22" t="n">
        <f aca="false">SUMIF(CAL!B:F,B246,CAL!F:F)+SUMIF(CAL!J:N,B246,CAL!N:N)</f>
        <v>0</v>
      </c>
      <c r="G246" s="22" t="n">
        <f aca="false">SUMIF(CAL!B:F,B246,CAL!G:G)+SUMIF(CAL!J:N,B246,CAL!O:O)</f>
        <v>3</v>
      </c>
      <c r="H246" s="22" t="n">
        <f aca="false">SUMIF(CAL!B:F,B246,CAL!H:H)+SUMIF(CAL!J:N,B246,CAL!P:P)</f>
        <v>4</v>
      </c>
      <c r="I246" s="34" t="n">
        <f aca="false">IF(E246=0,0,(D246/(E246*3)))</f>
        <v>0.142857142857143</v>
      </c>
      <c r="J246" s="33" t="n">
        <f aca="false">SUMIF(CAL!B:C,B246,CAL!C:C)+SUMIF(CAL!J:J,B246,CAL!D:D)</f>
        <v>5</v>
      </c>
      <c r="K246" s="22" t="n">
        <f aca="false">SUMIF(CAL!B:D,B246,CAL!D:D)+SUMIF(CAL!J:L,B246,CAL!K:K)</f>
        <v>18</v>
      </c>
      <c r="L246" s="22" t="n">
        <f aca="false">J246-K246</f>
        <v>-13</v>
      </c>
      <c r="M246" s="35" t="n">
        <f aca="false">IF(E246=0,0,(J246/E246))</f>
        <v>0.714285714285714</v>
      </c>
      <c r="N246" s="35" t="n">
        <f aca="false">IF(E246=0,0,(K246/E246))</f>
        <v>2.57142857142857</v>
      </c>
      <c r="O246" s="22" t="n">
        <f aca="false">SUMIF(CAL!B:I,B246,CAL!I:I)+SUMIF(CAL!J:Q,B246,CAL!Q:Q)</f>
        <v>0</v>
      </c>
      <c r="P246" s="19"/>
      <c r="Q246" s="22"/>
      <c r="R246" s="22"/>
      <c r="S246" s="22"/>
      <c r="T246" s="22" t="s">
        <v>5843</v>
      </c>
      <c r="U246" s="22" t="s">
        <v>5404</v>
      </c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customFormat="false" ht="12" hidden="false" customHeight="true" outlineLevel="0" collapsed="false">
      <c r="A247" s="31" t="n">
        <v>246</v>
      </c>
      <c r="B247" s="32" t="s">
        <v>103</v>
      </c>
      <c r="C247" s="32" t="s">
        <v>5844</v>
      </c>
      <c r="D247" s="22" t="n">
        <f aca="false">SUMIF(CAL!B:E,B247,CAL!E:E)+SUMIF(CAL!J:M,B247,CAL!M:M)</f>
        <v>24</v>
      </c>
      <c r="E247" s="33" t="n">
        <f aca="false">COUNTIF(CAL!B:J,B247)</f>
        <v>14</v>
      </c>
      <c r="F247" s="22" t="n">
        <f aca="false">SUMIF(CAL!B:F,B247,CAL!F:F)+SUMIF(CAL!J:N,B247,CAL!N:N)</f>
        <v>7</v>
      </c>
      <c r="G247" s="22" t="n">
        <f aca="false">SUMIF(CAL!B:F,B247,CAL!G:G)+SUMIF(CAL!J:N,B247,CAL!O:O)</f>
        <v>3</v>
      </c>
      <c r="H247" s="22" t="n">
        <f aca="false">SUMIF(CAL!B:F,B247,CAL!H:H)+SUMIF(CAL!J:N,B247,CAL!P:P)</f>
        <v>4</v>
      </c>
      <c r="I247" s="34" t="n">
        <f aca="false">IF(E247=0,0,(D247/(E247*3)))</f>
        <v>0.571428571428571</v>
      </c>
      <c r="J247" s="33" t="n">
        <f aca="false">SUMIF(CAL!B:C,B247,CAL!C:C)+SUMIF(CAL!J:J,B247,CAL!D:D)</f>
        <v>19</v>
      </c>
      <c r="K247" s="22" t="n">
        <f aca="false">SUMIF(CAL!B:D,B247,CAL!D:D)+SUMIF(CAL!J:L,B247,CAL!K:K)</f>
        <v>14</v>
      </c>
      <c r="L247" s="22" t="n">
        <f aca="false">J247-K247</f>
        <v>5</v>
      </c>
      <c r="M247" s="35" t="n">
        <f aca="false">IF(E247=0,0,(J247/E247))</f>
        <v>1.35714285714286</v>
      </c>
      <c r="N247" s="35" t="n">
        <f aca="false">IF(E247=0,0,(K247/E247))</f>
        <v>1</v>
      </c>
      <c r="O247" s="22" t="n">
        <f aca="false">SUMIF(CAL!B:I,B247,CAL!I:I)+SUMIF(CAL!J:Q,B247,CAL!Q:Q)</f>
        <v>5</v>
      </c>
      <c r="P247" s="19"/>
      <c r="Q247" s="22"/>
      <c r="R247" s="22"/>
      <c r="S247" s="22"/>
      <c r="T247" s="22" t="s">
        <v>5845</v>
      </c>
      <c r="U247" s="22" t="s">
        <v>5414</v>
      </c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customFormat="false" ht="12" hidden="false" customHeight="true" outlineLevel="0" collapsed="false">
      <c r="A248" s="31" t="n">
        <v>247</v>
      </c>
      <c r="B248" s="32" t="s">
        <v>177</v>
      </c>
      <c r="C248" s="32" t="s">
        <v>5846</v>
      </c>
      <c r="D248" s="22" t="n">
        <f aca="false">SUMIF(CAL!B:E,B248,CAL!E:E)+SUMIF(CAL!J:M,B248,CAL!M:M)</f>
        <v>12</v>
      </c>
      <c r="E248" s="33" t="n">
        <f aca="false">COUNTIF(CAL!B:J,B248)</f>
        <v>9</v>
      </c>
      <c r="F248" s="22" t="n">
        <f aca="false">SUMIF(CAL!B:F,B248,CAL!F:F)+SUMIF(CAL!J:N,B248,CAL!N:N)</f>
        <v>3</v>
      </c>
      <c r="G248" s="22" t="n">
        <f aca="false">SUMIF(CAL!B:F,B248,CAL!G:G)+SUMIF(CAL!J:N,B248,CAL!O:O)</f>
        <v>3</v>
      </c>
      <c r="H248" s="22" t="n">
        <f aca="false">SUMIF(CAL!B:F,B248,CAL!H:H)+SUMIF(CAL!J:N,B248,CAL!P:P)</f>
        <v>3</v>
      </c>
      <c r="I248" s="34" t="n">
        <f aca="false">IF(E248=0,0,(D248/(E248*3)))</f>
        <v>0.444444444444444</v>
      </c>
      <c r="J248" s="33" t="n">
        <f aca="false">SUMIF(CAL!B:C,B248,CAL!C:C)+SUMIF(CAL!J:J,B248,CAL!D:D)</f>
        <v>15</v>
      </c>
      <c r="K248" s="22" t="n">
        <f aca="false">SUMIF(CAL!B:D,B248,CAL!D:D)+SUMIF(CAL!J:L,B248,CAL!K:K)</f>
        <v>13</v>
      </c>
      <c r="L248" s="22" t="n">
        <f aca="false">J248-K248</f>
        <v>2</v>
      </c>
      <c r="M248" s="35" t="n">
        <f aca="false">IF(E248=0,0,(J248/E248))</f>
        <v>1.66666666666667</v>
      </c>
      <c r="N248" s="35" t="n">
        <f aca="false">IF(E248=0,0,(K248/E248))</f>
        <v>1.44444444444444</v>
      </c>
      <c r="O248" s="22" t="n">
        <f aca="false">SUMIF(CAL!B:I,B248,CAL!I:I)+SUMIF(CAL!J:Q,B248,CAL!Q:Q)</f>
        <v>1</v>
      </c>
      <c r="P248" s="19"/>
      <c r="Q248" s="22"/>
      <c r="R248" s="22"/>
      <c r="S248" s="22"/>
      <c r="T248" s="22" t="s">
        <v>5847</v>
      </c>
      <c r="U248" s="22" t="s">
        <v>5458</v>
      </c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customFormat="false" ht="12" hidden="false" customHeight="true" outlineLevel="0" collapsed="false">
      <c r="A249" s="31" t="n">
        <v>248</v>
      </c>
      <c r="B249" s="32" t="s">
        <v>301</v>
      </c>
      <c r="C249" s="32" t="s">
        <v>5848</v>
      </c>
      <c r="D249" s="22" t="n">
        <f aca="false">SUMIF(CAL!B:E,B249,CAL!E:E)+SUMIF(CAL!J:M,B249,CAL!M:M)</f>
        <v>34</v>
      </c>
      <c r="E249" s="33" t="n">
        <f aca="false">COUNTIF(CAL!B:J,B249)</f>
        <v>16</v>
      </c>
      <c r="F249" s="22" t="n">
        <f aca="false">SUMIF(CAL!B:F,B249,CAL!F:F)+SUMIF(CAL!J:N,B249,CAL!N:N)</f>
        <v>10</v>
      </c>
      <c r="G249" s="22" t="n">
        <f aca="false">SUMIF(CAL!B:F,B249,CAL!G:G)+SUMIF(CAL!J:N,B249,CAL!O:O)</f>
        <v>4</v>
      </c>
      <c r="H249" s="22" t="n">
        <f aca="false">SUMIF(CAL!B:F,B249,CAL!H:H)+SUMIF(CAL!J:N,B249,CAL!P:P)</f>
        <v>2</v>
      </c>
      <c r="I249" s="34" t="n">
        <f aca="false">IF(E249=0,0,(D249/(E249*3)))</f>
        <v>0.708333333333333</v>
      </c>
      <c r="J249" s="33" t="n">
        <f aca="false">SUMIF(CAL!B:C,B249,CAL!C:C)+SUMIF(CAL!J:J,B249,CAL!D:D)</f>
        <v>26</v>
      </c>
      <c r="K249" s="22" t="n">
        <f aca="false">SUMIF(CAL!B:D,B249,CAL!D:D)+SUMIF(CAL!J:L,B249,CAL!K:K)</f>
        <v>5</v>
      </c>
      <c r="L249" s="22" t="n">
        <f aca="false">J249-K249</f>
        <v>21</v>
      </c>
      <c r="M249" s="35" t="n">
        <f aca="false">IF(E249=0,0,(J249/E249))</f>
        <v>1.625</v>
      </c>
      <c r="N249" s="35" t="n">
        <f aca="false">IF(E249=0,0,(K249/E249))</f>
        <v>0.3125</v>
      </c>
      <c r="O249" s="22" t="n">
        <f aca="false">SUMIF(CAL!B:I,B249,CAL!I:I)+SUMIF(CAL!J:Q,B249,CAL!Q:Q)</f>
        <v>12</v>
      </c>
      <c r="P249" s="19"/>
      <c r="Q249" s="22"/>
      <c r="R249" s="22"/>
      <c r="S249" s="22"/>
      <c r="T249" s="22" t="s">
        <v>5849</v>
      </c>
      <c r="U249" s="22" t="s">
        <v>5428</v>
      </c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customFormat="false" ht="12" hidden="false" customHeight="true" outlineLevel="0" collapsed="false">
      <c r="A250" s="31" t="n">
        <v>249</v>
      </c>
      <c r="B250" s="32" t="s">
        <v>238</v>
      </c>
      <c r="C250" s="32" t="s">
        <v>5850</v>
      </c>
      <c r="D250" s="22" t="n">
        <f aca="false">SUMIF(CAL!B:E,B250,CAL!E:E)+SUMIF(CAL!J:M,B250,CAL!M:M)</f>
        <v>32</v>
      </c>
      <c r="E250" s="33" t="n">
        <f aca="false">COUNTIF(CAL!B:J,B250)</f>
        <v>19</v>
      </c>
      <c r="F250" s="22" t="n">
        <f aca="false">SUMIF(CAL!B:F,B250,CAL!F:F)+SUMIF(CAL!J:N,B250,CAL!N:N)</f>
        <v>9</v>
      </c>
      <c r="G250" s="22" t="n">
        <f aca="false">SUMIF(CAL!B:F,B250,CAL!G:G)+SUMIF(CAL!J:N,B250,CAL!O:O)</f>
        <v>5</v>
      </c>
      <c r="H250" s="22" t="n">
        <f aca="false">SUMIF(CAL!B:F,B250,CAL!H:H)+SUMIF(CAL!J:N,B250,CAL!P:P)</f>
        <v>5</v>
      </c>
      <c r="I250" s="34" t="n">
        <f aca="false">IF(E250=0,0,(D250/(E250*3)))</f>
        <v>0.56140350877193</v>
      </c>
      <c r="J250" s="33" t="n">
        <f aca="false">SUMIF(CAL!B:C,B250,CAL!C:C)+SUMIF(CAL!J:J,B250,CAL!D:D)</f>
        <v>28</v>
      </c>
      <c r="K250" s="22" t="n">
        <f aca="false">SUMIF(CAL!B:D,B250,CAL!D:D)+SUMIF(CAL!J:L,B250,CAL!K:K)</f>
        <v>23</v>
      </c>
      <c r="L250" s="22" t="n">
        <f aca="false">J250-K250</f>
        <v>5</v>
      </c>
      <c r="M250" s="35" t="n">
        <f aca="false">IF(E250=0,0,(J250/E250))</f>
        <v>1.47368421052632</v>
      </c>
      <c r="N250" s="35" t="n">
        <f aca="false">IF(E250=0,0,(K250/E250))</f>
        <v>1.21052631578947</v>
      </c>
      <c r="O250" s="22" t="n">
        <f aca="false">SUMIF(CAL!B:I,B250,CAL!I:I)+SUMIF(CAL!J:Q,B250,CAL!Q:Q)</f>
        <v>5</v>
      </c>
      <c r="P250" s="19"/>
      <c r="Q250" s="22"/>
      <c r="R250" s="22"/>
      <c r="S250" s="22"/>
      <c r="T250" s="22" t="s">
        <v>5608</v>
      </c>
      <c r="U250" s="22" t="s">
        <v>5450</v>
      </c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customFormat="false" ht="12" hidden="false" customHeight="true" outlineLevel="0" collapsed="false">
      <c r="A251" s="31" t="n">
        <v>250</v>
      </c>
      <c r="B251" s="37" t="s">
        <v>417</v>
      </c>
      <c r="C251" s="37" t="s">
        <v>5851</v>
      </c>
      <c r="D251" s="22" t="n">
        <f aca="false">SUMIF(CAL!B:E,B251,CAL!E:E)+SUMIF(CAL!J:M,B251,CAL!M:M)</f>
        <v>10</v>
      </c>
      <c r="E251" s="33" t="n">
        <f aca="false">COUNTIF(CAL!B:J,B251)</f>
        <v>6</v>
      </c>
      <c r="F251" s="22" t="n">
        <f aca="false">SUMIF(CAL!B:F,B251,CAL!F:F)+SUMIF(CAL!J:N,B251,CAL!N:N)</f>
        <v>3</v>
      </c>
      <c r="G251" s="22" t="n">
        <f aca="false">SUMIF(CAL!B:F,B251,CAL!G:G)+SUMIF(CAL!J:N,B251,CAL!O:O)</f>
        <v>1</v>
      </c>
      <c r="H251" s="22" t="n">
        <f aca="false">SUMIF(CAL!B:F,B251,CAL!H:H)+SUMIF(CAL!J:N,B251,CAL!P:P)</f>
        <v>2</v>
      </c>
      <c r="I251" s="34" t="n">
        <f aca="false">IF(E251=0,0,(D251/(E251*3)))</f>
        <v>0.555555555555556</v>
      </c>
      <c r="J251" s="33" t="n">
        <f aca="false">SUMIF(CAL!B:C,B251,CAL!C:C)+SUMIF(CAL!J:J,B251,CAL!D:D)</f>
        <v>5</v>
      </c>
      <c r="K251" s="22" t="n">
        <f aca="false">SUMIF(CAL!B:D,B251,CAL!D:D)+SUMIF(CAL!J:L,B251,CAL!K:K)</f>
        <v>8</v>
      </c>
      <c r="L251" s="22" t="n">
        <f aca="false">J251-K251</f>
        <v>-3</v>
      </c>
      <c r="M251" s="35" t="n">
        <f aca="false">IF(E251=0,0,(J251/E251))</f>
        <v>0.833333333333333</v>
      </c>
      <c r="N251" s="35" t="n">
        <f aca="false">IF(E251=0,0,(K251/E251))</f>
        <v>1.33333333333333</v>
      </c>
      <c r="O251" s="22" t="n">
        <f aca="false">SUMIF(CAL!B:I,B251,CAL!I:I)+SUMIF(CAL!J:Q,B251,CAL!Q:Q)</f>
        <v>2</v>
      </c>
      <c r="P251" s="19"/>
      <c r="Q251" s="22"/>
      <c r="R251" s="22"/>
      <c r="S251" s="22"/>
      <c r="T251" s="22" t="s">
        <v>5852</v>
      </c>
      <c r="U251" s="22" t="s">
        <v>5434</v>
      </c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customFormat="false" ht="12" hidden="false" customHeight="true" outlineLevel="0" collapsed="false">
      <c r="A252" s="31" t="n">
        <v>251</v>
      </c>
      <c r="B252" s="32" t="s">
        <v>370</v>
      </c>
      <c r="C252" s="32" t="s">
        <v>5853</v>
      </c>
      <c r="D252" s="22" t="n">
        <f aca="false">SUMIF(CAL!B:E,B252,CAL!E:E)+SUMIF(CAL!J:M,B252,CAL!M:M)</f>
        <v>22</v>
      </c>
      <c r="E252" s="33" t="n">
        <f aca="false">COUNTIF(CAL!B:J,B252)</f>
        <v>15</v>
      </c>
      <c r="F252" s="22" t="n">
        <f aca="false">SUMIF(CAL!B:F,B252,CAL!F:F)+SUMIF(CAL!J:N,B252,CAL!N:N)</f>
        <v>6</v>
      </c>
      <c r="G252" s="22" t="n">
        <f aca="false">SUMIF(CAL!B:F,B252,CAL!G:G)+SUMIF(CAL!J:N,B252,CAL!O:O)</f>
        <v>4</v>
      </c>
      <c r="H252" s="22" t="n">
        <f aca="false">SUMIF(CAL!B:F,B252,CAL!H:H)+SUMIF(CAL!J:N,B252,CAL!P:P)</f>
        <v>5</v>
      </c>
      <c r="I252" s="34" t="n">
        <f aca="false">IF(E252=0,0,(D252/(E252*3)))</f>
        <v>0.488888888888889</v>
      </c>
      <c r="J252" s="33" t="n">
        <f aca="false">SUMIF(CAL!B:C,B252,CAL!C:C)+SUMIF(CAL!J:J,B252,CAL!D:D)</f>
        <v>14</v>
      </c>
      <c r="K252" s="22" t="n">
        <f aca="false">SUMIF(CAL!B:D,B252,CAL!D:D)+SUMIF(CAL!J:L,B252,CAL!K:K)</f>
        <v>12</v>
      </c>
      <c r="L252" s="22" t="n">
        <f aca="false">J252-K252</f>
        <v>2</v>
      </c>
      <c r="M252" s="35" t="n">
        <f aca="false">IF(E252=0,0,(J252/E252))</f>
        <v>0.933333333333333</v>
      </c>
      <c r="N252" s="35" t="n">
        <f aca="false">IF(E252=0,0,(K252/E252))</f>
        <v>0.8</v>
      </c>
      <c r="O252" s="22" t="n">
        <f aca="false">SUMIF(CAL!B:I,B252,CAL!I:I)+SUMIF(CAL!J:Q,B252,CAL!Q:Q)</f>
        <v>7</v>
      </c>
      <c r="P252" s="19"/>
      <c r="Q252" s="22"/>
      <c r="R252" s="22"/>
      <c r="S252" s="22"/>
      <c r="T252" s="22" t="s">
        <v>5854</v>
      </c>
      <c r="U252" s="22" t="s">
        <v>5450</v>
      </c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customFormat="false" ht="12" hidden="false" customHeight="true" outlineLevel="0" collapsed="false">
      <c r="A253" s="31" t="n">
        <v>252</v>
      </c>
      <c r="B253" s="32" t="s">
        <v>240</v>
      </c>
      <c r="C253" s="32" t="s">
        <v>5855</v>
      </c>
      <c r="D253" s="22" t="n">
        <f aca="false">SUMIF(CAL!B:E,B253,CAL!E:E)+SUMIF(CAL!J:M,B253,CAL!M:M)</f>
        <v>13</v>
      </c>
      <c r="E253" s="33" t="n">
        <f aca="false">COUNTIF(CAL!B:J,B253)</f>
        <v>15</v>
      </c>
      <c r="F253" s="22" t="n">
        <f aca="false">SUMIF(CAL!B:F,B253,CAL!F:F)+SUMIF(CAL!J:N,B253,CAL!N:N)</f>
        <v>2</v>
      </c>
      <c r="G253" s="22" t="n">
        <f aca="false">SUMIF(CAL!B:F,B253,CAL!G:G)+SUMIF(CAL!J:N,B253,CAL!O:O)</f>
        <v>7</v>
      </c>
      <c r="H253" s="22" t="n">
        <f aca="false">SUMIF(CAL!B:F,B253,CAL!H:H)+SUMIF(CAL!J:N,B253,CAL!P:P)</f>
        <v>6</v>
      </c>
      <c r="I253" s="34" t="n">
        <f aca="false">IF(E253=0,0,(D253/(E253*3)))</f>
        <v>0.288888888888889</v>
      </c>
      <c r="J253" s="33" t="n">
        <f aca="false">SUMIF(CAL!B:C,B253,CAL!C:C)+SUMIF(CAL!J:J,B253,CAL!D:D)</f>
        <v>12</v>
      </c>
      <c r="K253" s="22" t="n">
        <f aca="false">SUMIF(CAL!B:D,B253,CAL!D:D)+SUMIF(CAL!J:L,B253,CAL!K:K)</f>
        <v>18</v>
      </c>
      <c r="L253" s="22" t="n">
        <f aca="false">J253-K253</f>
        <v>-6</v>
      </c>
      <c r="M253" s="35" t="n">
        <f aca="false">IF(E253=0,0,(J253/E253))</f>
        <v>0.8</v>
      </c>
      <c r="N253" s="35" t="n">
        <f aca="false">IF(E253=0,0,(K253/E253))</f>
        <v>1.2</v>
      </c>
      <c r="O253" s="22" t="n">
        <f aca="false">SUMIF(CAL!B:I,B253,CAL!I:I)+SUMIF(CAL!J:Q,B253,CAL!Q:Q)</f>
        <v>4</v>
      </c>
      <c r="P253" s="19"/>
      <c r="Q253" s="22"/>
      <c r="R253" s="22"/>
      <c r="S253" s="22"/>
      <c r="T253" s="22" t="s">
        <v>5856</v>
      </c>
      <c r="U253" s="22" t="s">
        <v>5450</v>
      </c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customFormat="false" ht="12" hidden="false" customHeight="true" outlineLevel="0" collapsed="false">
      <c r="A254" s="31" t="n">
        <v>253</v>
      </c>
      <c r="B254" s="37" t="s">
        <v>192</v>
      </c>
      <c r="C254" s="37" t="s">
        <v>5857</v>
      </c>
      <c r="D254" s="22" t="n">
        <f aca="false">SUMIF(CAL!B:E,B254,CAL!E:E)+SUMIF(CAL!J:M,B254,CAL!M:M)</f>
        <v>10</v>
      </c>
      <c r="E254" s="33" t="n">
        <f aca="false">COUNTIF(CAL!B:J,B254)</f>
        <v>7</v>
      </c>
      <c r="F254" s="22" t="n">
        <f aca="false">SUMIF(CAL!B:F,B254,CAL!F:F)+SUMIF(CAL!J:N,B254,CAL!N:N)</f>
        <v>3</v>
      </c>
      <c r="G254" s="22" t="n">
        <f aca="false">SUMIF(CAL!B:F,B254,CAL!G:G)+SUMIF(CAL!J:N,B254,CAL!O:O)</f>
        <v>1</v>
      </c>
      <c r="H254" s="22" t="n">
        <f aca="false">SUMIF(CAL!B:F,B254,CAL!H:H)+SUMIF(CAL!J:N,B254,CAL!P:P)</f>
        <v>3</v>
      </c>
      <c r="I254" s="34" t="n">
        <f aca="false">IF(E254=0,0,(D254/(E254*3)))</f>
        <v>0.476190476190476</v>
      </c>
      <c r="J254" s="33" t="n">
        <f aca="false">SUMIF(CAL!B:C,B254,CAL!C:C)+SUMIF(CAL!J:J,B254,CAL!D:D)</f>
        <v>6</v>
      </c>
      <c r="K254" s="22" t="n">
        <f aca="false">SUMIF(CAL!B:D,B254,CAL!D:D)+SUMIF(CAL!J:L,B254,CAL!K:K)</f>
        <v>6</v>
      </c>
      <c r="L254" s="22" t="n">
        <f aca="false">J254-K254</f>
        <v>0</v>
      </c>
      <c r="M254" s="35" t="n">
        <f aca="false">IF(E254=0,0,(J254/E254))</f>
        <v>0.857142857142857</v>
      </c>
      <c r="N254" s="35" t="n">
        <f aca="false">IF(E254=0,0,(K254/E254))</f>
        <v>0.857142857142857</v>
      </c>
      <c r="O254" s="22" t="n">
        <f aca="false">SUMIF(CAL!B:I,B254,CAL!I:I)+SUMIF(CAL!J:Q,B254,CAL!Q:Q)</f>
        <v>3</v>
      </c>
      <c r="P254" s="19"/>
      <c r="Q254" s="22"/>
      <c r="R254" s="22"/>
      <c r="S254" s="22"/>
      <c r="T254" s="22" t="s">
        <v>5858</v>
      </c>
      <c r="U254" s="22" t="s">
        <v>5465</v>
      </c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customFormat="false" ht="12" hidden="false" customHeight="true" outlineLevel="0" collapsed="false">
      <c r="A255" s="31" t="n">
        <v>254</v>
      </c>
      <c r="B255" s="37" t="s">
        <v>5859</v>
      </c>
      <c r="C255" s="37" t="s">
        <v>5860</v>
      </c>
      <c r="D255" s="22" t="n">
        <f aca="false">SUMIF(CAL!B:E,B255,CAL!E:E)+SUMIF(CAL!J:M,B255,CAL!M:M)</f>
        <v>4</v>
      </c>
      <c r="E255" s="33" t="n">
        <f aca="false">COUNTIF(CAL!B:J,B255)</f>
        <v>7</v>
      </c>
      <c r="F255" s="22" t="n">
        <f aca="false">SUMIF(CAL!B:F,B255,CAL!F:F)+SUMIF(CAL!J:N,B255,CAL!N:N)</f>
        <v>1</v>
      </c>
      <c r="G255" s="22" t="n">
        <f aca="false">SUMIF(CAL!B:F,B255,CAL!G:G)+SUMIF(CAL!J:N,B255,CAL!O:O)</f>
        <v>1</v>
      </c>
      <c r="H255" s="22" t="n">
        <f aca="false">SUMIF(CAL!B:F,B255,CAL!H:H)+SUMIF(CAL!J:N,B255,CAL!P:P)</f>
        <v>5</v>
      </c>
      <c r="I255" s="34" t="n">
        <f aca="false">IF(E255=0,0,(D255/(E255*3)))</f>
        <v>0.19047619047619</v>
      </c>
      <c r="J255" s="33" t="n">
        <f aca="false">SUMIF(CAL!B:C,B255,CAL!C:C)+SUMIF(CAL!J:J,B255,CAL!D:D)</f>
        <v>4</v>
      </c>
      <c r="K255" s="22" t="n">
        <f aca="false">SUMIF(CAL!B:D,B255,CAL!D:D)+SUMIF(CAL!J:L,B255,CAL!K:K)</f>
        <v>15</v>
      </c>
      <c r="L255" s="22" t="n">
        <f aca="false">J255-K255</f>
        <v>-11</v>
      </c>
      <c r="M255" s="35" t="n">
        <f aca="false">IF(E255=0,0,(J255/E255))</f>
        <v>0.571428571428571</v>
      </c>
      <c r="N255" s="35" t="n">
        <f aca="false">IF(E255=0,0,(K255/E255))</f>
        <v>2.14285714285714</v>
      </c>
      <c r="O255" s="22" t="n">
        <f aca="false">SUMIF(CAL!B:I,B255,CAL!I:I)+SUMIF(CAL!J:Q,B255,CAL!Q:Q)</f>
        <v>0</v>
      </c>
      <c r="P255" s="19"/>
      <c r="Q255" s="22"/>
      <c r="R255" s="22"/>
      <c r="S255" s="22"/>
      <c r="T255" s="22" t="s">
        <v>5522</v>
      </c>
      <c r="U255" s="22" t="s">
        <v>5523</v>
      </c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customFormat="false" ht="12" hidden="false" customHeight="true" outlineLevel="0" collapsed="false">
      <c r="A256" s="31" t="n">
        <v>255</v>
      </c>
      <c r="B256" s="32" t="s">
        <v>63</v>
      </c>
      <c r="C256" s="32" t="s">
        <v>5861</v>
      </c>
      <c r="D256" s="22" t="n">
        <f aca="false">SUMIF(CAL!B:E,B256,CAL!E:E)+SUMIF(CAL!J:M,B256,CAL!M:M)</f>
        <v>10</v>
      </c>
      <c r="E256" s="33" t="n">
        <f aca="false">COUNTIF(CAL!B:J,B256)</f>
        <v>7</v>
      </c>
      <c r="F256" s="22" t="n">
        <f aca="false">SUMIF(CAL!B:F,B256,CAL!F:F)+SUMIF(CAL!J:N,B256,CAL!N:N)</f>
        <v>3</v>
      </c>
      <c r="G256" s="22" t="n">
        <f aca="false">SUMIF(CAL!B:F,B256,CAL!G:G)+SUMIF(CAL!J:N,B256,CAL!O:O)</f>
        <v>1</v>
      </c>
      <c r="H256" s="22" t="n">
        <f aca="false">SUMIF(CAL!B:F,B256,CAL!H:H)+SUMIF(CAL!J:N,B256,CAL!P:P)</f>
        <v>3</v>
      </c>
      <c r="I256" s="34" t="n">
        <f aca="false">IF(E256=0,0,(D256/(E256*3)))</f>
        <v>0.476190476190476</v>
      </c>
      <c r="J256" s="33" t="n">
        <f aca="false">SUMIF(CAL!B:C,B256,CAL!C:C)+SUMIF(CAL!J:J,B256,CAL!D:D)</f>
        <v>8</v>
      </c>
      <c r="K256" s="22" t="n">
        <f aca="false">SUMIF(CAL!B:D,B256,CAL!D:D)+SUMIF(CAL!J:L,B256,CAL!K:K)</f>
        <v>10</v>
      </c>
      <c r="L256" s="22" t="n">
        <f aca="false">J256-K256</f>
        <v>-2</v>
      </c>
      <c r="M256" s="35" t="n">
        <f aca="false">IF(E256=0,0,(J256/E256))</f>
        <v>1.14285714285714</v>
      </c>
      <c r="N256" s="35" t="n">
        <f aca="false">IF(E256=0,0,(K256/E256))</f>
        <v>1.42857142857143</v>
      </c>
      <c r="O256" s="22" t="n">
        <f aca="false">SUMIF(CAL!B:I,B256,CAL!I:I)+SUMIF(CAL!J:Q,B256,CAL!Q:Q)</f>
        <v>1</v>
      </c>
      <c r="P256" s="19"/>
      <c r="Q256" s="22"/>
      <c r="R256" s="22"/>
      <c r="S256" s="22"/>
      <c r="T256" s="22" t="s">
        <v>5862</v>
      </c>
      <c r="U256" s="22" t="s">
        <v>5483</v>
      </c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customFormat="false" ht="12" hidden="false" customHeight="true" outlineLevel="0" collapsed="false">
      <c r="A257" s="31" t="n">
        <v>256</v>
      </c>
      <c r="B257" s="32" t="s">
        <v>333</v>
      </c>
      <c r="C257" s="32" t="s">
        <v>5863</v>
      </c>
      <c r="D257" s="22" t="n">
        <f aca="false">SUMIF(CAL!B:E,B257,CAL!E:E)+SUMIF(CAL!J:M,B257,CAL!M:M)</f>
        <v>35</v>
      </c>
      <c r="E257" s="33" t="n">
        <f aca="false">COUNTIF(CAL!B:J,B257)</f>
        <v>17</v>
      </c>
      <c r="F257" s="22" t="n">
        <f aca="false">SUMIF(CAL!B:F,B257,CAL!F:F)+SUMIF(CAL!J:N,B257,CAL!N:N)</f>
        <v>10</v>
      </c>
      <c r="G257" s="22" t="n">
        <f aca="false">SUMIF(CAL!B:F,B257,CAL!G:G)+SUMIF(CAL!J:N,B257,CAL!O:O)</f>
        <v>5</v>
      </c>
      <c r="H257" s="22" t="n">
        <f aca="false">SUMIF(CAL!B:F,B257,CAL!H:H)+SUMIF(CAL!J:N,B257,CAL!P:P)</f>
        <v>2</v>
      </c>
      <c r="I257" s="34" t="n">
        <f aca="false">IF(E257=0,0,(D257/(E257*3)))</f>
        <v>0.686274509803922</v>
      </c>
      <c r="J257" s="33" t="n">
        <f aca="false">SUMIF(CAL!B:C,B257,CAL!C:C)+SUMIF(CAL!J:J,B257,CAL!D:D)</f>
        <v>25</v>
      </c>
      <c r="K257" s="22" t="n">
        <f aca="false">SUMIF(CAL!B:D,B257,CAL!D:D)+SUMIF(CAL!J:L,B257,CAL!K:K)</f>
        <v>8</v>
      </c>
      <c r="L257" s="22" t="n">
        <f aca="false">J257-K257</f>
        <v>17</v>
      </c>
      <c r="M257" s="35" t="n">
        <f aca="false">IF(E257=0,0,(J257/E257))</f>
        <v>1.47058823529412</v>
      </c>
      <c r="N257" s="35" t="n">
        <f aca="false">IF(E257=0,0,(K257/E257))</f>
        <v>0.470588235294118</v>
      </c>
      <c r="O257" s="22" t="n">
        <f aca="false">SUMIF(CAL!B:I,B257,CAL!I:I)+SUMIF(CAL!J:Q,B257,CAL!Q:Q)</f>
        <v>10</v>
      </c>
      <c r="P257" s="19"/>
      <c r="Q257" s="22"/>
      <c r="R257" s="22"/>
      <c r="S257" s="22"/>
      <c r="T257" s="22" t="s">
        <v>5864</v>
      </c>
      <c r="U257" s="22" t="s">
        <v>5450</v>
      </c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customFormat="false" ht="12" hidden="false" customHeight="true" outlineLevel="0" collapsed="false">
      <c r="A258" s="31" t="n">
        <v>257</v>
      </c>
      <c r="B258" s="32" t="s">
        <v>381</v>
      </c>
      <c r="C258" s="32" t="s">
        <v>5865</v>
      </c>
      <c r="D258" s="22" t="n">
        <f aca="false">SUMIF(CAL!B:E,B258,CAL!E:E)+SUMIF(CAL!J:M,B258,CAL!M:M)</f>
        <v>0</v>
      </c>
      <c r="E258" s="33" t="n">
        <f aca="false">COUNTIF(CAL!B:J,B258)</f>
        <v>5</v>
      </c>
      <c r="F258" s="22" t="n">
        <f aca="false">SUMIF(CAL!B:F,B258,CAL!F:F)+SUMIF(CAL!J:N,B258,CAL!N:N)</f>
        <v>0</v>
      </c>
      <c r="G258" s="22" t="n">
        <f aca="false">SUMIF(CAL!B:F,B258,CAL!G:G)+SUMIF(CAL!J:N,B258,CAL!O:O)</f>
        <v>0</v>
      </c>
      <c r="H258" s="22" t="n">
        <f aca="false">SUMIF(CAL!B:F,B258,CAL!H:H)+SUMIF(CAL!J:N,B258,CAL!P:P)</f>
        <v>5</v>
      </c>
      <c r="I258" s="34" t="n">
        <f aca="false">IF(E258=0,0,(D258/(E258*3)))</f>
        <v>0</v>
      </c>
      <c r="J258" s="33" t="n">
        <f aca="false">SUMIF(CAL!B:C,B258,CAL!C:C)+SUMIF(CAL!J:J,B258,CAL!D:D)</f>
        <v>2</v>
      </c>
      <c r="K258" s="22" t="n">
        <f aca="false">SUMIF(CAL!B:D,B258,CAL!D:D)+SUMIF(CAL!J:L,B258,CAL!K:K)</f>
        <v>18</v>
      </c>
      <c r="L258" s="22" t="n">
        <f aca="false">J258-K258</f>
        <v>-16</v>
      </c>
      <c r="M258" s="35" t="n">
        <f aca="false">IF(E258=0,0,(J258/E258))</f>
        <v>0.4</v>
      </c>
      <c r="N258" s="35" t="n">
        <f aca="false">IF(E258=0,0,(K258/E258))</f>
        <v>3.6</v>
      </c>
      <c r="O258" s="22" t="n">
        <f aca="false">SUMIF(CAL!B:I,B258,CAL!I:I)+SUMIF(CAL!J:Q,B258,CAL!Q:Q)</f>
        <v>0</v>
      </c>
      <c r="P258" s="19"/>
      <c r="Q258" s="22"/>
      <c r="R258" s="22"/>
      <c r="S258" s="22"/>
      <c r="T258" s="22" t="s">
        <v>5866</v>
      </c>
      <c r="U258" s="22" t="s">
        <v>5580</v>
      </c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customFormat="false" ht="12" hidden="false" customHeight="true" outlineLevel="0" collapsed="false">
      <c r="A259" s="31" t="n">
        <v>258</v>
      </c>
      <c r="B259" s="32" t="s">
        <v>147</v>
      </c>
      <c r="C259" s="32" t="s">
        <v>5867</v>
      </c>
      <c r="D259" s="22" t="n">
        <f aca="false">SUMIF(CAL!B:E,B259,CAL!E:E)+SUMIF(CAL!J:M,B259,CAL!M:M)</f>
        <v>14</v>
      </c>
      <c r="E259" s="33" t="n">
        <f aca="false">COUNTIF(CAL!B:J,B259)</f>
        <v>12</v>
      </c>
      <c r="F259" s="22" t="n">
        <f aca="false">SUMIF(CAL!B:F,B259,CAL!F:F)+SUMIF(CAL!J:N,B259,CAL!N:N)</f>
        <v>2</v>
      </c>
      <c r="G259" s="22" t="n">
        <f aca="false">SUMIF(CAL!B:F,B259,CAL!G:G)+SUMIF(CAL!J:N,B259,CAL!O:O)</f>
        <v>8</v>
      </c>
      <c r="H259" s="22" t="n">
        <f aca="false">SUMIF(CAL!B:F,B259,CAL!H:H)+SUMIF(CAL!J:N,B259,CAL!P:P)</f>
        <v>2</v>
      </c>
      <c r="I259" s="34" t="n">
        <f aca="false">IF(E259=0,0,(D259/(E259*3)))</f>
        <v>0.388888888888889</v>
      </c>
      <c r="J259" s="33" t="n">
        <f aca="false">SUMIF(CAL!B:C,B259,CAL!C:C)+SUMIF(CAL!J:J,B259,CAL!D:D)</f>
        <v>11</v>
      </c>
      <c r="K259" s="22" t="n">
        <f aca="false">SUMIF(CAL!B:D,B259,CAL!D:D)+SUMIF(CAL!J:L,B259,CAL!K:K)</f>
        <v>15</v>
      </c>
      <c r="L259" s="22" t="n">
        <f aca="false">J259-K259</f>
        <v>-4</v>
      </c>
      <c r="M259" s="35" t="n">
        <f aca="false">IF(E259=0,0,(J259/E259))</f>
        <v>0.916666666666667</v>
      </c>
      <c r="N259" s="35" t="n">
        <f aca="false">IF(E259=0,0,(K259/E259))</f>
        <v>1.25</v>
      </c>
      <c r="O259" s="22" t="n">
        <f aca="false">SUMIF(CAL!B:I,B259,CAL!I:I)+SUMIF(CAL!J:Q,B259,CAL!Q:Q)</f>
        <v>3</v>
      </c>
      <c r="P259" s="19"/>
      <c r="Q259" s="22"/>
      <c r="R259" s="22"/>
      <c r="S259" s="22"/>
      <c r="T259" s="22" t="s">
        <v>5441</v>
      </c>
      <c r="U259" s="22" t="s">
        <v>5423</v>
      </c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customFormat="false" ht="12" hidden="false" customHeight="true" outlineLevel="0" collapsed="false">
      <c r="A260" s="31" t="n">
        <v>259</v>
      </c>
      <c r="B260" s="32" t="s">
        <v>236</v>
      </c>
      <c r="C260" s="32" t="s">
        <v>5868</v>
      </c>
      <c r="D260" s="22" t="n">
        <f aca="false">SUMIF(CAL!B:E,B260,CAL!E:E)+SUMIF(CAL!J:M,B260,CAL!M:M)</f>
        <v>12</v>
      </c>
      <c r="E260" s="33" t="n">
        <f aca="false">COUNTIF(CAL!B:J,B260)</f>
        <v>15</v>
      </c>
      <c r="F260" s="22" t="n">
        <f aca="false">SUMIF(CAL!B:F,B260,CAL!F:F)+SUMIF(CAL!J:N,B260,CAL!N:N)</f>
        <v>2</v>
      </c>
      <c r="G260" s="22" t="n">
        <f aca="false">SUMIF(CAL!B:F,B260,CAL!G:G)+SUMIF(CAL!J:N,B260,CAL!O:O)</f>
        <v>6</v>
      </c>
      <c r="H260" s="22" t="n">
        <f aca="false">SUMIF(CAL!B:F,B260,CAL!H:H)+SUMIF(CAL!J:N,B260,CAL!P:P)</f>
        <v>7</v>
      </c>
      <c r="I260" s="34" t="n">
        <f aca="false">IF(E260=0,0,(D260/(E260*3)))</f>
        <v>0.266666666666667</v>
      </c>
      <c r="J260" s="33" t="n">
        <f aca="false">SUMIF(CAL!B:C,B260,CAL!C:C)+SUMIF(CAL!J:J,B260,CAL!D:D)</f>
        <v>17</v>
      </c>
      <c r="K260" s="22" t="n">
        <f aca="false">SUMIF(CAL!B:D,B260,CAL!D:D)+SUMIF(CAL!J:L,B260,CAL!K:K)</f>
        <v>22</v>
      </c>
      <c r="L260" s="22" t="n">
        <f aca="false">J260-K260</f>
        <v>-5</v>
      </c>
      <c r="M260" s="35" t="n">
        <f aca="false">IF(E260=0,0,(J260/E260))</f>
        <v>1.13333333333333</v>
      </c>
      <c r="N260" s="35" t="n">
        <f aca="false">IF(E260=0,0,(K260/E260))</f>
        <v>1.46666666666667</v>
      </c>
      <c r="O260" s="22" t="n">
        <f aca="false">SUMIF(CAL!B:I,B260,CAL!I:I)+SUMIF(CAL!J:Q,B260,CAL!Q:Q)</f>
        <v>3</v>
      </c>
      <c r="P260" s="19"/>
      <c r="Q260" s="22"/>
      <c r="R260" s="22"/>
      <c r="S260" s="22"/>
      <c r="T260" s="22" t="s">
        <v>5869</v>
      </c>
      <c r="U260" s="22" t="s">
        <v>5450</v>
      </c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customFormat="false" ht="12" hidden="false" customHeight="true" outlineLevel="0" collapsed="false">
      <c r="A261" s="31" t="n">
        <v>260</v>
      </c>
      <c r="B261" s="32" t="s">
        <v>84</v>
      </c>
      <c r="C261" s="32" t="s">
        <v>5870</v>
      </c>
      <c r="D261" s="22" t="n">
        <f aca="false">SUMIF(CAL!B:E,B261,CAL!E:E)+SUMIF(CAL!J:M,B261,CAL!M:M)</f>
        <v>18</v>
      </c>
      <c r="E261" s="33" t="n">
        <f aca="false">COUNTIF(CAL!B:J,B261)</f>
        <v>14</v>
      </c>
      <c r="F261" s="22" t="n">
        <f aca="false">SUMIF(CAL!B:F,B261,CAL!F:F)+SUMIF(CAL!J:N,B261,CAL!N:N)</f>
        <v>5</v>
      </c>
      <c r="G261" s="22" t="n">
        <f aca="false">SUMIF(CAL!B:F,B261,CAL!G:G)+SUMIF(CAL!J:N,B261,CAL!O:O)</f>
        <v>3</v>
      </c>
      <c r="H261" s="22" t="n">
        <f aca="false">SUMIF(CAL!B:F,B261,CAL!H:H)+SUMIF(CAL!J:N,B261,CAL!P:P)</f>
        <v>6</v>
      </c>
      <c r="I261" s="34" t="n">
        <f aca="false">IF(E261=0,0,(D261/(E261*3)))</f>
        <v>0.428571428571429</v>
      </c>
      <c r="J261" s="33" t="n">
        <f aca="false">SUMIF(CAL!B:C,B261,CAL!C:C)+SUMIF(CAL!J:J,B261,CAL!D:D)</f>
        <v>15</v>
      </c>
      <c r="K261" s="22" t="n">
        <f aca="false">SUMIF(CAL!B:D,B261,CAL!D:D)+SUMIF(CAL!J:L,B261,CAL!K:K)</f>
        <v>13</v>
      </c>
      <c r="L261" s="22" t="n">
        <f aca="false">J261-K261</f>
        <v>2</v>
      </c>
      <c r="M261" s="35" t="n">
        <f aca="false">IF(E261=0,0,(J261/E261))</f>
        <v>1.07142857142857</v>
      </c>
      <c r="N261" s="35" t="n">
        <f aca="false">IF(E261=0,0,(K261/E261))</f>
        <v>0.928571428571429</v>
      </c>
      <c r="O261" s="22" t="n">
        <f aca="false">SUMIF(CAL!B:I,B261,CAL!I:I)+SUMIF(CAL!J:Q,B261,CAL!Q:Q)</f>
        <v>7</v>
      </c>
      <c r="P261" s="19"/>
      <c r="Q261" s="22"/>
      <c r="R261" s="22"/>
      <c r="S261" s="22"/>
      <c r="T261" s="22" t="s">
        <v>5871</v>
      </c>
      <c r="U261" s="22" t="s">
        <v>5580</v>
      </c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customFormat="false" ht="12" hidden="false" customHeight="true" outlineLevel="0" collapsed="false">
      <c r="A262" s="31" t="n">
        <v>261</v>
      </c>
      <c r="B262" s="32" t="s">
        <v>297</v>
      </c>
      <c r="C262" s="32" t="s">
        <v>5872</v>
      </c>
      <c r="D262" s="22" t="n">
        <f aca="false">SUMIF(CAL!B:E,B262,CAL!E:E)+SUMIF(CAL!J:M,B262,CAL!M:M)</f>
        <v>14</v>
      </c>
      <c r="E262" s="33" t="n">
        <f aca="false">COUNTIF(CAL!B:J,B262)</f>
        <v>9</v>
      </c>
      <c r="F262" s="22" t="n">
        <f aca="false">SUMIF(CAL!B:F,B262,CAL!F:F)+SUMIF(CAL!J:N,B262,CAL!N:N)</f>
        <v>3</v>
      </c>
      <c r="G262" s="22" t="n">
        <f aca="false">SUMIF(CAL!B:F,B262,CAL!G:G)+SUMIF(CAL!J:N,B262,CAL!O:O)</f>
        <v>5</v>
      </c>
      <c r="H262" s="22" t="n">
        <f aca="false">SUMIF(CAL!B:F,B262,CAL!H:H)+SUMIF(CAL!J:N,B262,CAL!P:P)</f>
        <v>1</v>
      </c>
      <c r="I262" s="34" t="n">
        <f aca="false">IF(E262=0,0,(D262/(E262*3)))</f>
        <v>0.518518518518519</v>
      </c>
      <c r="J262" s="33" t="n">
        <f aca="false">SUMIF(CAL!B:C,B262,CAL!C:C)+SUMIF(CAL!J:J,B262,CAL!D:D)</f>
        <v>14</v>
      </c>
      <c r="K262" s="22" t="n">
        <f aca="false">SUMIF(CAL!B:D,B262,CAL!D:D)+SUMIF(CAL!J:L,B262,CAL!K:K)</f>
        <v>10</v>
      </c>
      <c r="L262" s="22" t="n">
        <f aca="false">J262-K262</f>
        <v>4</v>
      </c>
      <c r="M262" s="35" t="n">
        <f aca="false">IF(E262=0,0,(J262/E262))</f>
        <v>1.55555555555556</v>
      </c>
      <c r="N262" s="35" t="n">
        <f aca="false">IF(E262=0,0,(K262/E262))</f>
        <v>1.11111111111111</v>
      </c>
      <c r="O262" s="22" t="n">
        <f aca="false">SUMIF(CAL!B:I,B262,CAL!I:I)+SUMIF(CAL!J:Q,B262,CAL!Q:Q)</f>
        <v>3</v>
      </c>
      <c r="P262" s="19"/>
      <c r="Q262" s="22"/>
      <c r="R262" s="22"/>
      <c r="S262" s="22"/>
      <c r="T262" s="22" t="s">
        <v>5795</v>
      </c>
      <c r="U262" s="22" t="s">
        <v>5400</v>
      </c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customFormat="false" ht="12" hidden="false" customHeight="true" outlineLevel="0" collapsed="false">
      <c r="A263" s="31" t="n">
        <v>262</v>
      </c>
      <c r="B263" s="38" t="s">
        <v>414</v>
      </c>
      <c r="C263" s="37" t="s">
        <v>5873</v>
      </c>
      <c r="D263" s="22" t="n">
        <f aca="false">SUMIF(CAL!B:E,B263,CAL!E:E)+SUMIF(CAL!J:M,B263,CAL!M:M)</f>
        <v>6</v>
      </c>
      <c r="E263" s="33" t="n">
        <f aca="false">COUNTIF(CAL!B:J,B263)</f>
        <v>6</v>
      </c>
      <c r="F263" s="22" t="n">
        <f aca="false">SUMIF(CAL!B:F,B263,CAL!F:F)+SUMIF(CAL!J:N,B263,CAL!N:N)</f>
        <v>1</v>
      </c>
      <c r="G263" s="22" t="n">
        <f aca="false">SUMIF(CAL!B:F,B263,CAL!G:G)+SUMIF(CAL!J:N,B263,CAL!O:O)</f>
        <v>3</v>
      </c>
      <c r="H263" s="22" t="n">
        <f aca="false">SUMIF(CAL!B:F,B263,CAL!H:H)+SUMIF(CAL!J:N,B263,CAL!P:P)</f>
        <v>2</v>
      </c>
      <c r="I263" s="34" t="n">
        <f aca="false">IF(E263=0,0,(D263/(E263*3)))</f>
        <v>0.333333333333333</v>
      </c>
      <c r="J263" s="33" t="n">
        <f aca="false">SUMIF(CAL!B:C,B263,CAL!C:C)+SUMIF(CAL!J:J,B263,CAL!D:D)</f>
        <v>7</v>
      </c>
      <c r="K263" s="22" t="n">
        <f aca="false">SUMIF(CAL!B:D,B263,CAL!D:D)+SUMIF(CAL!J:L,B263,CAL!K:K)</f>
        <v>8</v>
      </c>
      <c r="L263" s="22" t="n">
        <f aca="false">J263-K263</f>
        <v>-1</v>
      </c>
      <c r="M263" s="35" t="n">
        <f aca="false">IF(E263=0,0,(J263/E263))</f>
        <v>1.16666666666667</v>
      </c>
      <c r="N263" s="35" t="n">
        <f aca="false">IF(E263=0,0,(K263/E263))</f>
        <v>1.33333333333333</v>
      </c>
      <c r="O263" s="22" t="n">
        <f aca="false">SUMIF(CAL!B:I,B263,CAL!I:I)+SUMIF(CAL!J:Q,B263,CAL!Q:Q)</f>
        <v>1</v>
      </c>
      <c r="P263" s="19"/>
      <c r="Q263" s="22"/>
      <c r="R263" s="22"/>
      <c r="S263" s="22"/>
      <c r="T263" s="22" t="s">
        <v>5874</v>
      </c>
      <c r="U263" s="22" t="s">
        <v>5434</v>
      </c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customFormat="false" ht="12" hidden="false" customHeight="true" outlineLevel="0" collapsed="false">
      <c r="A264" s="31" t="n">
        <v>263</v>
      </c>
      <c r="B264" s="36" t="s">
        <v>368</v>
      </c>
      <c r="C264" s="32" t="s">
        <v>5875</v>
      </c>
      <c r="D264" s="22" t="n">
        <f aca="false">SUMIF(CAL!B:E,B264,CAL!E:E)+SUMIF(CAL!J:M,B264,CAL!M:M)</f>
        <v>8</v>
      </c>
      <c r="E264" s="33" t="n">
        <f aca="false">COUNTIF(CAL!B:J,B264)</f>
        <v>14</v>
      </c>
      <c r="F264" s="22" t="n">
        <f aca="false">SUMIF(CAL!B:F,B264,CAL!F:F)+SUMIF(CAL!J:N,B264,CAL!N:N)</f>
        <v>2</v>
      </c>
      <c r="G264" s="22" t="n">
        <f aca="false">SUMIF(CAL!B:F,B264,CAL!G:G)+SUMIF(CAL!J:N,B264,CAL!O:O)</f>
        <v>2</v>
      </c>
      <c r="H264" s="22" t="n">
        <f aca="false">SUMIF(CAL!B:F,B264,CAL!H:H)+SUMIF(CAL!J:N,B264,CAL!P:P)</f>
        <v>10</v>
      </c>
      <c r="I264" s="34" t="n">
        <f aca="false">IF(E264=0,0,(D264/(E264*3)))</f>
        <v>0.19047619047619</v>
      </c>
      <c r="J264" s="33" t="n">
        <f aca="false">SUMIF(CAL!B:C,B264,CAL!C:C)+SUMIF(CAL!J:J,B264,CAL!D:D)</f>
        <v>7</v>
      </c>
      <c r="K264" s="22" t="n">
        <f aca="false">SUMIF(CAL!B:D,B264,CAL!D:D)+SUMIF(CAL!J:L,B264,CAL!K:K)</f>
        <v>21</v>
      </c>
      <c r="L264" s="22" t="n">
        <f aca="false">J264-K264</f>
        <v>-14</v>
      </c>
      <c r="M264" s="35" t="n">
        <f aca="false">IF(E264=0,0,(J264/E264))</f>
        <v>0.5</v>
      </c>
      <c r="N264" s="35" t="n">
        <f aca="false">IF(E264=0,0,(K264/E264))</f>
        <v>1.5</v>
      </c>
      <c r="O264" s="22" t="n">
        <f aca="false">SUMIF(CAL!B:I,B264,CAL!I:I)+SUMIF(CAL!J:Q,B264,CAL!Q:Q)</f>
        <v>2</v>
      </c>
      <c r="P264" s="19"/>
      <c r="Q264" s="22"/>
      <c r="R264" s="22"/>
      <c r="S264" s="22"/>
      <c r="T264" s="22" t="s">
        <v>5608</v>
      </c>
      <c r="U264" s="22" t="s">
        <v>5450</v>
      </c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customFormat="false" ht="12" hidden="false" customHeight="true" outlineLevel="0" collapsed="false">
      <c r="A265" s="31" t="n">
        <v>264</v>
      </c>
      <c r="B265" s="32" t="s">
        <v>354</v>
      </c>
      <c r="C265" s="32" t="s">
        <v>5876</v>
      </c>
      <c r="D265" s="22" t="n">
        <f aca="false">SUMIF(CAL!B:E,B265,CAL!E:E)+SUMIF(CAL!J:M,B265,CAL!M:M)</f>
        <v>4</v>
      </c>
      <c r="E265" s="33" t="n">
        <f aca="false">COUNTIF(CAL!B:J,B265)</f>
        <v>8</v>
      </c>
      <c r="F265" s="22" t="n">
        <f aca="false">SUMIF(CAL!B:F,B265,CAL!F:F)+SUMIF(CAL!J:N,B265,CAL!N:N)</f>
        <v>1</v>
      </c>
      <c r="G265" s="22" t="n">
        <f aca="false">SUMIF(CAL!B:F,B265,CAL!G:G)+SUMIF(CAL!J:N,B265,CAL!O:O)</f>
        <v>1</v>
      </c>
      <c r="H265" s="22" t="n">
        <f aca="false">SUMIF(CAL!B:F,B265,CAL!H:H)+SUMIF(CAL!J:N,B265,CAL!P:P)</f>
        <v>6</v>
      </c>
      <c r="I265" s="34" t="n">
        <f aca="false">IF(E265=0,0,(D265/(E265*3)))</f>
        <v>0.166666666666667</v>
      </c>
      <c r="J265" s="33" t="n">
        <f aca="false">SUMIF(CAL!B:C,B265,CAL!C:C)+SUMIF(CAL!J:J,B265,CAL!D:D)</f>
        <v>3</v>
      </c>
      <c r="K265" s="22" t="n">
        <f aca="false">SUMIF(CAL!B:D,B265,CAL!D:D)+SUMIF(CAL!J:L,B265,CAL!K:K)</f>
        <v>17</v>
      </c>
      <c r="L265" s="22" t="n">
        <f aca="false">J265-K265</f>
        <v>-14</v>
      </c>
      <c r="M265" s="35" t="n">
        <f aca="false">IF(E265=0,0,(J265/E265))</f>
        <v>0.375</v>
      </c>
      <c r="N265" s="35" t="n">
        <f aca="false">IF(E265=0,0,(K265/E265))</f>
        <v>2.125</v>
      </c>
      <c r="O265" s="22" t="n">
        <f aca="false">SUMIF(CAL!B:I,B265,CAL!I:I)+SUMIF(CAL!J:Q,B265,CAL!Q:Q)</f>
        <v>2</v>
      </c>
      <c r="P265" s="19"/>
      <c r="Q265" s="22"/>
      <c r="R265" s="22"/>
      <c r="S265" s="22"/>
      <c r="T265" s="22" t="s">
        <v>5515</v>
      </c>
      <c r="U265" s="22" t="s">
        <v>5417</v>
      </c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customFormat="false" ht="12" hidden="false" customHeight="true" outlineLevel="0" collapsed="false">
      <c r="A266" s="31" t="n">
        <v>265</v>
      </c>
      <c r="B266" s="32" t="s">
        <v>320</v>
      </c>
      <c r="C266" s="32" t="s">
        <v>5877</v>
      </c>
      <c r="D266" s="22" t="n">
        <f aca="false">SUMIF(CAL!B:E,B266,CAL!E:E)+SUMIF(CAL!J:M,B266,CAL!M:M)</f>
        <v>20</v>
      </c>
      <c r="E266" s="33" t="n">
        <f aca="false">COUNTIF(CAL!B:J,B266)</f>
        <v>9</v>
      </c>
      <c r="F266" s="22" t="n">
        <f aca="false">SUMIF(CAL!B:F,B266,CAL!F:F)+SUMIF(CAL!J:N,B266,CAL!N:N)</f>
        <v>6</v>
      </c>
      <c r="G266" s="22" t="n">
        <f aca="false">SUMIF(CAL!B:F,B266,CAL!G:G)+SUMIF(CAL!J:N,B266,CAL!O:O)</f>
        <v>2</v>
      </c>
      <c r="H266" s="22" t="n">
        <f aca="false">SUMIF(CAL!B:F,B266,CAL!H:H)+SUMIF(CAL!J:N,B266,CAL!P:P)</f>
        <v>1</v>
      </c>
      <c r="I266" s="34" t="n">
        <f aca="false">IF(E266=0,0,(D266/(E266*3)))</f>
        <v>0.740740740740741</v>
      </c>
      <c r="J266" s="33" t="n">
        <f aca="false">SUMIF(CAL!B:C,B266,CAL!C:C)+SUMIF(CAL!J:J,B266,CAL!D:D)</f>
        <v>14</v>
      </c>
      <c r="K266" s="22" t="n">
        <f aca="false">SUMIF(CAL!B:D,B266,CAL!D:D)+SUMIF(CAL!J:L,B266,CAL!K:K)</f>
        <v>9</v>
      </c>
      <c r="L266" s="22" t="n">
        <f aca="false">J266-K266</f>
        <v>5</v>
      </c>
      <c r="M266" s="35" t="n">
        <f aca="false">IF(E266=0,0,(J266/E266))</f>
        <v>1.55555555555556</v>
      </c>
      <c r="N266" s="35" t="n">
        <f aca="false">IF(E266=0,0,(K266/E266))</f>
        <v>1</v>
      </c>
      <c r="O266" s="22" t="n">
        <f aca="false">SUMIF(CAL!B:I,B266,CAL!I:I)+SUMIF(CAL!J:Q,B266,CAL!Q:Q)</f>
        <v>2</v>
      </c>
      <c r="P266" s="19"/>
      <c r="Q266" s="22"/>
      <c r="R266" s="22"/>
      <c r="S266" s="22"/>
      <c r="T266" s="22" t="s">
        <v>5878</v>
      </c>
      <c r="U266" s="22" t="s">
        <v>5576</v>
      </c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customFormat="false" ht="12" hidden="false" customHeight="true" outlineLevel="0" collapsed="false">
      <c r="A267" s="31" t="n">
        <v>266</v>
      </c>
      <c r="B267" s="32" t="s">
        <v>121</v>
      </c>
      <c r="C267" s="32" t="s">
        <v>5879</v>
      </c>
      <c r="D267" s="22" t="n">
        <f aca="false">SUMIF(CAL!B:E,B267,CAL!E:E)+SUMIF(CAL!J:M,B267,CAL!M:M)</f>
        <v>19</v>
      </c>
      <c r="E267" s="33" t="n">
        <f aca="false">COUNTIF(CAL!B:J,B267)</f>
        <v>12</v>
      </c>
      <c r="F267" s="22" t="n">
        <f aca="false">SUMIF(CAL!B:F,B267,CAL!F:F)+SUMIF(CAL!J:N,B267,CAL!N:N)</f>
        <v>5</v>
      </c>
      <c r="G267" s="22" t="n">
        <f aca="false">SUMIF(CAL!B:F,B267,CAL!G:G)+SUMIF(CAL!J:N,B267,CAL!O:O)</f>
        <v>4</v>
      </c>
      <c r="H267" s="22" t="n">
        <f aca="false">SUMIF(CAL!B:F,B267,CAL!H:H)+SUMIF(CAL!J:N,B267,CAL!P:P)</f>
        <v>3</v>
      </c>
      <c r="I267" s="34" t="n">
        <f aca="false">IF(E267=0,0,(D267/(E267*3)))</f>
        <v>0.527777777777778</v>
      </c>
      <c r="J267" s="33" t="n">
        <f aca="false">SUMIF(CAL!B:C,B267,CAL!C:C)+SUMIF(CAL!J:J,B267,CAL!D:D)</f>
        <v>18</v>
      </c>
      <c r="K267" s="22" t="n">
        <f aca="false">SUMIF(CAL!B:D,B267,CAL!D:D)+SUMIF(CAL!J:L,B267,CAL!K:K)</f>
        <v>13</v>
      </c>
      <c r="L267" s="22" t="n">
        <f aca="false">J267-K267</f>
        <v>5</v>
      </c>
      <c r="M267" s="35" t="n">
        <f aca="false">IF(E267=0,0,(J267/E267))</f>
        <v>1.5</v>
      </c>
      <c r="N267" s="35" t="n">
        <f aca="false">IF(E267=0,0,(K267/E267))</f>
        <v>1.08333333333333</v>
      </c>
      <c r="O267" s="22" t="n">
        <f aca="false">SUMIF(CAL!B:I,B267,CAL!I:I)+SUMIF(CAL!J:Q,B267,CAL!Q:Q)</f>
        <v>4</v>
      </c>
      <c r="P267" s="19"/>
      <c r="Q267" s="22"/>
      <c r="R267" s="22"/>
      <c r="S267" s="22"/>
      <c r="T267" s="22" t="s">
        <v>5880</v>
      </c>
      <c r="U267" s="22" t="s">
        <v>5380</v>
      </c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customFormat="false" ht="12" hidden="false" customHeight="true" outlineLevel="0" collapsed="false">
      <c r="A268" s="31" t="n">
        <v>267</v>
      </c>
      <c r="B268" s="32" t="s">
        <v>122</v>
      </c>
      <c r="C268" s="32" t="s">
        <v>5881</v>
      </c>
      <c r="D268" s="22" t="n">
        <f aca="false">SUMIF(CAL!B:E,B268,CAL!E:E)+SUMIF(CAL!J:M,B268,CAL!M:M)</f>
        <v>12</v>
      </c>
      <c r="E268" s="33" t="n">
        <f aca="false">COUNTIF(CAL!B:J,B268)</f>
        <v>10</v>
      </c>
      <c r="F268" s="22" t="n">
        <f aca="false">SUMIF(CAL!B:F,B268,CAL!F:F)+SUMIF(CAL!J:N,B268,CAL!N:N)</f>
        <v>3</v>
      </c>
      <c r="G268" s="22" t="n">
        <f aca="false">SUMIF(CAL!B:F,B268,CAL!G:G)+SUMIF(CAL!J:N,B268,CAL!O:O)</f>
        <v>3</v>
      </c>
      <c r="H268" s="22" t="n">
        <f aca="false">SUMIF(CAL!B:F,B268,CAL!H:H)+SUMIF(CAL!J:N,B268,CAL!P:P)</f>
        <v>4</v>
      </c>
      <c r="I268" s="34" t="n">
        <f aca="false">IF(E268=0,0,(D268/(E268*3)))</f>
        <v>0.4</v>
      </c>
      <c r="J268" s="33" t="n">
        <f aca="false">SUMIF(CAL!B:C,B268,CAL!C:C)+SUMIF(CAL!J:J,B268,CAL!D:D)</f>
        <v>15</v>
      </c>
      <c r="K268" s="22" t="n">
        <f aca="false">SUMIF(CAL!B:D,B268,CAL!D:D)+SUMIF(CAL!J:L,B268,CAL!K:K)</f>
        <v>18</v>
      </c>
      <c r="L268" s="22" t="n">
        <f aca="false">J268-K268</f>
        <v>-3</v>
      </c>
      <c r="M268" s="35" t="n">
        <f aca="false">IF(E268=0,0,(J268/E268))</f>
        <v>1.5</v>
      </c>
      <c r="N268" s="35" t="n">
        <f aca="false">IF(E268=0,0,(K268/E268))</f>
        <v>1.8</v>
      </c>
      <c r="O268" s="22" t="n">
        <f aca="false">SUMIF(CAL!B:I,B268,CAL!I:I)+SUMIF(CAL!J:Q,B268,CAL!Q:Q)</f>
        <v>1</v>
      </c>
      <c r="P268" s="19"/>
      <c r="Q268" s="22"/>
      <c r="R268" s="22"/>
      <c r="S268" s="22"/>
      <c r="T268" s="22" t="s">
        <v>5882</v>
      </c>
      <c r="U268" s="22" t="s">
        <v>5431</v>
      </c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customFormat="false" ht="12" hidden="false" customHeight="true" outlineLevel="0" collapsed="false">
      <c r="A269" s="31" t="n">
        <v>268</v>
      </c>
      <c r="B269" s="32" t="s">
        <v>219</v>
      </c>
      <c r="C269" s="32" t="s">
        <v>5883</v>
      </c>
      <c r="D269" s="22" t="n">
        <f aca="false">SUMIF(CAL!B:E,B269,CAL!E:E)+SUMIF(CAL!J:M,B269,CAL!M:M)</f>
        <v>13</v>
      </c>
      <c r="E269" s="33" t="n">
        <f aca="false">COUNTIF(CAL!B:J,B269)</f>
        <v>11</v>
      </c>
      <c r="F269" s="22" t="n">
        <f aca="false">SUMIF(CAL!B:F,B269,CAL!F:F)+SUMIF(CAL!J:N,B269,CAL!N:N)</f>
        <v>3</v>
      </c>
      <c r="G269" s="22" t="n">
        <f aca="false">SUMIF(CAL!B:F,B269,CAL!G:G)+SUMIF(CAL!J:N,B269,CAL!O:O)</f>
        <v>4</v>
      </c>
      <c r="H269" s="22" t="n">
        <f aca="false">SUMIF(CAL!B:F,B269,CAL!H:H)+SUMIF(CAL!J:N,B269,CAL!P:P)</f>
        <v>4</v>
      </c>
      <c r="I269" s="34" t="n">
        <f aca="false">IF(E269=0,0,(D269/(E269*3)))</f>
        <v>0.393939393939394</v>
      </c>
      <c r="J269" s="33" t="n">
        <f aca="false">SUMIF(CAL!B:C,B269,CAL!C:C)+SUMIF(CAL!J:J,B269,CAL!D:D)</f>
        <v>11</v>
      </c>
      <c r="K269" s="22" t="n">
        <f aca="false">SUMIF(CAL!B:D,B269,CAL!D:D)+SUMIF(CAL!J:L,B269,CAL!K:K)</f>
        <v>11</v>
      </c>
      <c r="L269" s="22" t="n">
        <f aca="false">J269-K269</f>
        <v>0</v>
      </c>
      <c r="M269" s="35" t="n">
        <f aca="false">IF(E269=0,0,(J269/E269))</f>
        <v>1</v>
      </c>
      <c r="N269" s="35" t="n">
        <f aca="false">IF(E269=0,0,(K269/E269))</f>
        <v>1</v>
      </c>
      <c r="O269" s="22" t="n">
        <f aca="false">SUMIF(CAL!B:I,B269,CAL!I:I)+SUMIF(CAL!J:Q,B269,CAL!Q:Q)</f>
        <v>2</v>
      </c>
      <c r="P269" s="19"/>
      <c r="Q269" s="22"/>
      <c r="R269" s="22"/>
      <c r="S269" s="22"/>
      <c r="T269" s="22" t="s">
        <v>5884</v>
      </c>
      <c r="U269" s="22" t="s">
        <v>5423</v>
      </c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customFormat="false" ht="12" hidden="false" customHeight="true" outlineLevel="0" collapsed="false">
      <c r="A270" s="31" t="n">
        <v>269</v>
      </c>
      <c r="B270" s="32" t="s">
        <v>135</v>
      </c>
      <c r="C270" s="32" t="s">
        <v>5885</v>
      </c>
      <c r="D270" s="22" t="n">
        <f aca="false">SUMIF(CAL!B:E,B270,CAL!E:E)+SUMIF(CAL!J:M,B270,CAL!M:M)</f>
        <v>10</v>
      </c>
      <c r="E270" s="33" t="n">
        <f aca="false">COUNTIF(CAL!B:J,B270)</f>
        <v>7</v>
      </c>
      <c r="F270" s="22" t="n">
        <f aca="false">SUMIF(CAL!B:F,B270,CAL!F:F)+SUMIF(CAL!J:N,B270,CAL!N:N)</f>
        <v>3</v>
      </c>
      <c r="G270" s="22" t="n">
        <f aca="false">SUMIF(CAL!B:F,B270,CAL!G:G)+SUMIF(CAL!J:N,B270,CAL!O:O)</f>
        <v>1</v>
      </c>
      <c r="H270" s="22" t="n">
        <f aca="false">SUMIF(CAL!B:F,B270,CAL!H:H)+SUMIF(CAL!J:N,B270,CAL!P:P)</f>
        <v>3</v>
      </c>
      <c r="I270" s="34" t="n">
        <f aca="false">IF(E270=0,0,(D270/(E270*3)))</f>
        <v>0.476190476190476</v>
      </c>
      <c r="J270" s="33" t="n">
        <f aca="false">SUMIF(CAL!B:C,B270,CAL!C:C)+SUMIF(CAL!J:J,B270,CAL!D:D)</f>
        <v>8</v>
      </c>
      <c r="K270" s="22" t="n">
        <f aca="false">SUMIF(CAL!B:D,B270,CAL!D:D)+SUMIF(CAL!J:L,B270,CAL!K:K)</f>
        <v>7</v>
      </c>
      <c r="L270" s="22" t="n">
        <f aca="false">J270-K270</f>
        <v>1</v>
      </c>
      <c r="M270" s="35" t="n">
        <f aca="false">IF(E270=0,0,(J270/E270))</f>
        <v>1.14285714285714</v>
      </c>
      <c r="N270" s="35" t="n">
        <f aca="false">IF(E270=0,0,(K270/E270))</f>
        <v>1</v>
      </c>
      <c r="O270" s="22" t="n">
        <f aca="false">SUMIF(CAL!B:I,B270,CAL!I:I)+SUMIF(CAL!J:Q,B270,CAL!Q:Q)</f>
        <v>2</v>
      </c>
      <c r="P270" s="19"/>
      <c r="Q270" s="22"/>
      <c r="R270" s="22"/>
      <c r="S270" s="22"/>
      <c r="T270" s="22" t="s">
        <v>5886</v>
      </c>
      <c r="U270" s="22" t="s">
        <v>5391</v>
      </c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customFormat="false" ht="12" hidden="false" customHeight="true" outlineLevel="0" collapsed="false">
      <c r="A271" s="31" t="n">
        <v>270</v>
      </c>
      <c r="B271" s="32" t="s">
        <v>75</v>
      </c>
      <c r="C271" s="32" t="s">
        <v>5887</v>
      </c>
      <c r="D271" s="22" t="n">
        <f aca="false">SUMIF(CAL!B:E,B271,CAL!E:E)+SUMIF(CAL!J:M,B271,CAL!M:M)</f>
        <v>22</v>
      </c>
      <c r="E271" s="33" t="n">
        <f aca="false">COUNTIF(CAL!B:J,B271)</f>
        <v>15</v>
      </c>
      <c r="F271" s="22" t="n">
        <f aca="false">SUMIF(CAL!B:F,B271,CAL!F:F)+SUMIF(CAL!J:N,B271,CAL!N:N)</f>
        <v>5</v>
      </c>
      <c r="G271" s="22" t="n">
        <f aca="false">SUMIF(CAL!B:F,B271,CAL!G:G)+SUMIF(CAL!J:N,B271,CAL!O:O)</f>
        <v>7</v>
      </c>
      <c r="H271" s="22" t="n">
        <f aca="false">SUMIF(CAL!B:F,B271,CAL!H:H)+SUMIF(CAL!J:N,B271,CAL!P:P)</f>
        <v>3</v>
      </c>
      <c r="I271" s="34" t="n">
        <f aca="false">IF(E271=0,0,(D271/(E271*3)))</f>
        <v>0.488888888888889</v>
      </c>
      <c r="J271" s="33" t="n">
        <f aca="false">SUMIF(CAL!B:C,B271,CAL!C:C)+SUMIF(CAL!J:J,B271,CAL!D:D)</f>
        <v>22</v>
      </c>
      <c r="K271" s="22" t="n">
        <f aca="false">SUMIF(CAL!B:D,B271,CAL!D:D)+SUMIF(CAL!J:L,B271,CAL!K:K)</f>
        <v>18</v>
      </c>
      <c r="L271" s="22" t="n">
        <f aca="false">J271-K271</f>
        <v>4</v>
      </c>
      <c r="M271" s="35" t="n">
        <f aca="false">IF(E271=0,0,(J271/E271))</f>
        <v>1.46666666666667</v>
      </c>
      <c r="N271" s="35" t="n">
        <f aca="false">IF(E271=0,0,(K271/E271))</f>
        <v>1.2</v>
      </c>
      <c r="O271" s="22" t="n">
        <f aca="false">SUMIF(CAL!B:I,B271,CAL!I:I)+SUMIF(CAL!J:Q,B271,CAL!Q:Q)</f>
        <v>3</v>
      </c>
      <c r="P271" s="19"/>
      <c r="Q271" s="22"/>
      <c r="R271" s="22"/>
      <c r="S271" s="22"/>
      <c r="T271" s="22" t="s">
        <v>5888</v>
      </c>
      <c r="U271" s="22" t="s">
        <v>5450</v>
      </c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customFormat="false" ht="12" hidden="false" customHeight="true" outlineLevel="0" collapsed="false">
      <c r="A272" s="31" t="n">
        <v>271</v>
      </c>
      <c r="B272" s="37" t="s">
        <v>5889</v>
      </c>
      <c r="C272" s="37" t="s">
        <v>5890</v>
      </c>
      <c r="D272" s="22" t="n">
        <f aca="false">SUMIF(CAL!B:E,B272,CAL!E:E)+SUMIF(CAL!J:M,B272,CAL!M:M)</f>
        <v>5</v>
      </c>
      <c r="E272" s="33" t="n">
        <f aca="false">COUNTIF(CAL!B:J,B272)</f>
        <v>7</v>
      </c>
      <c r="F272" s="22" t="n">
        <f aca="false">SUMIF(CAL!B:F,B272,CAL!F:F)+SUMIF(CAL!J:N,B272,CAL!N:N)</f>
        <v>1</v>
      </c>
      <c r="G272" s="22" t="n">
        <f aca="false">SUMIF(CAL!B:F,B272,CAL!G:G)+SUMIF(CAL!J:N,B272,CAL!O:O)</f>
        <v>2</v>
      </c>
      <c r="H272" s="22" t="n">
        <f aca="false">SUMIF(CAL!B:F,B272,CAL!H:H)+SUMIF(CAL!J:N,B272,CAL!P:P)</f>
        <v>4</v>
      </c>
      <c r="I272" s="34" t="n">
        <f aca="false">IF(E272=0,0,(D272/(E272*3)))</f>
        <v>0.238095238095238</v>
      </c>
      <c r="J272" s="33" t="n">
        <f aca="false">SUMIF(CAL!B:C,B272,CAL!C:C)+SUMIF(CAL!J:J,B272,CAL!D:D)</f>
        <v>4</v>
      </c>
      <c r="K272" s="22" t="n">
        <f aca="false">SUMIF(CAL!B:D,B272,CAL!D:D)+SUMIF(CAL!J:L,B272,CAL!K:K)</f>
        <v>10</v>
      </c>
      <c r="L272" s="22" t="n">
        <f aca="false">J272-K272</f>
        <v>-6</v>
      </c>
      <c r="M272" s="35" t="n">
        <f aca="false">IF(E272=0,0,(J272/E272))</f>
        <v>0.571428571428571</v>
      </c>
      <c r="N272" s="35" t="n">
        <f aca="false">IF(E272=0,0,(K272/E272))</f>
        <v>1.42857142857143</v>
      </c>
      <c r="O272" s="22" t="n">
        <f aca="false">SUMIF(CAL!B:I,B272,CAL!I:I)+SUMIF(CAL!J:Q,B272,CAL!Q:Q)</f>
        <v>2</v>
      </c>
      <c r="P272" s="19"/>
      <c r="Q272" s="22"/>
      <c r="R272" s="22"/>
      <c r="S272" s="22"/>
      <c r="T272" s="22" t="s">
        <v>5742</v>
      </c>
      <c r="U272" s="22" t="s">
        <v>5616</v>
      </c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customFormat="false" ht="12" hidden="false" customHeight="true" outlineLevel="0" collapsed="false">
      <c r="A273" s="31" t="n">
        <v>272</v>
      </c>
      <c r="B273" s="32" t="s">
        <v>293</v>
      </c>
      <c r="C273" s="32" t="s">
        <v>5891</v>
      </c>
      <c r="D273" s="22" t="n">
        <f aca="false">SUMIF(CAL!B:E,B273,CAL!E:E)+SUMIF(CAL!J:M,B273,CAL!M:M)</f>
        <v>9</v>
      </c>
      <c r="E273" s="33" t="n">
        <f aca="false">COUNTIF(CAL!B:J,B273)</f>
        <v>10</v>
      </c>
      <c r="F273" s="22" t="n">
        <f aca="false">SUMIF(CAL!B:F,B273,CAL!F:F)+SUMIF(CAL!J:N,B273,CAL!N:N)</f>
        <v>2</v>
      </c>
      <c r="G273" s="22" t="n">
        <f aca="false">SUMIF(CAL!B:F,B273,CAL!G:G)+SUMIF(CAL!J:N,B273,CAL!O:O)</f>
        <v>3</v>
      </c>
      <c r="H273" s="22" t="n">
        <f aca="false">SUMIF(CAL!B:F,B273,CAL!H:H)+SUMIF(CAL!J:N,B273,CAL!P:P)</f>
        <v>5</v>
      </c>
      <c r="I273" s="34" t="n">
        <f aca="false">IF(E273=0,0,(D273/(E273*3)))</f>
        <v>0.3</v>
      </c>
      <c r="J273" s="33" t="n">
        <f aca="false">SUMIF(CAL!B:C,B273,CAL!C:C)+SUMIF(CAL!J:J,B273,CAL!D:D)</f>
        <v>10</v>
      </c>
      <c r="K273" s="22" t="n">
        <f aca="false">SUMIF(CAL!B:D,B273,CAL!D:D)+SUMIF(CAL!J:L,B273,CAL!K:K)</f>
        <v>17</v>
      </c>
      <c r="L273" s="22" t="n">
        <f aca="false">J273-K273</f>
        <v>-7</v>
      </c>
      <c r="M273" s="35" t="n">
        <f aca="false">IF(E273=0,0,(J273/E273))</f>
        <v>1</v>
      </c>
      <c r="N273" s="35" t="n">
        <f aca="false">IF(E273=0,0,(K273/E273))</f>
        <v>1.7</v>
      </c>
      <c r="O273" s="22" t="n">
        <f aca="false">SUMIF(CAL!B:I,B273,CAL!I:I)+SUMIF(CAL!J:Q,B273,CAL!Q:Q)</f>
        <v>1</v>
      </c>
      <c r="P273" s="19"/>
      <c r="Q273" s="22"/>
      <c r="R273" s="22"/>
      <c r="S273" s="22"/>
      <c r="T273" s="22" t="s">
        <v>5575</v>
      </c>
      <c r="U273" s="22" t="s">
        <v>5576</v>
      </c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 customFormat="false" ht="12" hidden="false" customHeight="true" outlineLevel="0" collapsed="false">
      <c r="A274" s="31" t="n">
        <v>273</v>
      </c>
      <c r="B274" s="37" t="s">
        <v>418</v>
      </c>
      <c r="C274" s="37" t="s">
        <v>5892</v>
      </c>
      <c r="D274" s="22" t="n">
        <f aca="false">SUMIF(CAL!B:E,B274,CAL!E:E)+SUMIF(CAL!J:M,B274,CAL!M:M)</f>
        <v>17</v>
      </c>
      <c r="E274" s="33" t="n">
        <f aca="false">COUNTIF(CAL!B:J,B274)</f>
        <v>7</v>
      </c>
      <c r="F274" s="22" t="n">
        <f aca="false">SUMIF(CAL!B:F,B274,CAL!F:F)+SUMIF(CAL!J:N,B274,CAL!N:N)</f>
        <v>5</v>
      </c>
      <c r="G274" s="22" t="n">
        <f aca="false">SUMIF(CAL!B:F,B274,CAL!G:G)+SUMIF(CAL!J:N,B274,CAL!O:O)</f>
        <v>2</v>
      </c>
      <c r="H274" s="22" t="n">
        <f aca="false">SUMIF(CAL!B:F,B274,CAL!H:H)+SUMIF(CAL!J:N,B274,CAL!P:P)</f>
        <v>0</v>
      </c>
      <c r="I274" s="34" t="n">
        <f aca="false">IF(E274=0,0,(D274/(E274*3)))</f>
        <v>0.80952380952381</v>
      </c>
      <c r="J274" s="33" t="n">
        <f aca="false">SUMIF(CAL!B:C,B274,CAL!C:C)+SUMIF(CAL!J:J,B274,CAL!D:D)</f>
        <v>11</v>
      </c>
      <c r="K274" s="22" t="n">
        <f aca="false">SUMIF(CAL!B:D,B274,CAL!D:D)+SUMIF(CAL!J:L,B274,CAL!K:K)</f>
        <v>2</v>
      </c>
      <c r="L274" s="22" t="n">
        <f aca="false">J274-K274</f>
        <v>9</v>
      </c>
      <c r="M274" s="35" t="n">
        <f aca="false">IF(E274=0,0,(J274/E274))</f>
        <v>1.57142857142857</v>
      </c>
      <c r="N274" s="35" t="n">
        <f aca="false">IF(E274=0,0,(K274/E274))</f>
        <v>0.285714285714286</v>
      </c>
      <c r="O274" s="22" t="n">
        <f aca="false">SUMIF(CAL!B:I,B274,CAL!I:I)+SUMIF(CAL!J:Q,B274,CAL!Q:Q)</f>
        <v>5</v>
      </c>
      <c r="P274" s="19"/>
      <c r="Q274" s="22"/>
      <c r="R274" s="22"/>
      <c r="S274" s="22"/>
      <c r="T274" s="22" t="s">
        <v>5531</v>
      </c>
      <c r="U274" s="22" t="s">
        <v>5434</v>
      </c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 customFormat="false" ht="12" hidden="false" customHeight="true" outlineLevel="0" collapsed="false">
      <c r="A275" s="31" t="n">
        <v>274</v>
      </c>
      <c r="B275" s="37" t="s">
        <v>412</v>
      </c>
      <c r="C275" s="37" t="s">
        <v>5893</v>
      </c>
      <c r="D275" s="22" t="n">
        <f aca="false">SUMIF(CAL!B:E,B275,CAL!E:E)+SUMIF(CAL!J:M,B275,CAL!M:M)</f>
        <v>7</v>
      </c>
      <c r="E275" s="33" t="n">
        <f aca="false">COUNTIF(CAL!B:J,B275)</f>
        <v>6</v>
      </c>
      <c r="F275" s="22" t="n">
        <f aca="false">SUMIF(CAL!B:F,B275,CAL!F:F)+SUMIF(CAL!J:N,B275,CAL!N:N)</f>
        <v>2</v>
      </c>
      <c r="G275" s="22" t="n">
        <f aca="false">SUMIF(CAL!B:F,B275,CAL!G:G)+SUMIF(CAL!J:N,B275,CAL!O:O)</f>
        <v>1</v>
      </c>
      <c r="H275" s="22" t="n">
        <f aca="false">SUMIF(CAL!B:F,B275,CAL!H:H)+SUMIF(CAL!J:N,B275,CAL!P:P)</f>
        <v>3</v>
      </c>
      <c r="I275" s="34" t="n">
        <f aca="false">IF(E275=0,0,(D275/(E275*3)))</f>
        <v>0.388888888888889</v>
      </c>
      <c r="J275" s="33" t="n">
        <f aca="false">SUMIF(CAL!B:C,B275,CAL!C:C)+SUMIF(CAL!J:J,B275,CAL!D:D)</f>
        <v>6</v>
      </c>
      <c r="K275" s="22" t="n">
        <f aca="false">SUMIF(CAL!B:D,B275,CAL!D:D)+SUMIF(CAL!J:L,B275,CAL!K:K)</f>
        <v>7</v>
      </c>
      <c r="L275" s="22" t="n">
        <f aca="false">J275-K275</f>
        <v>-1</v>
      </c>
      <c r="M275" s="35" t="n">
        <f aca="false">IF(E275=0,0,(J275/E275))</f>
        <v>1</v>
      </c>
      <c r="N275" s="35" t="n">
        <f aca="false">IF(E275=0,0,(K275/E275))</f>
        <v>1.16666666666667</v>
      </c>
      <c r="O275" s="22" t="n">
        <f aca="false">SUMIF(CAL!B:I,B275,CAL!I:I)+SUMIF(CAL!J:Q,B275,CAL!Q:Q)</f>
        <v>0</v>
      </c>
      <c r="P275" s="19"/>
      <c r="Q275" s="22"/>
      <c r="R275" s="22"/>
      <c r="S275" s="22"/>
      <c r="T275" s="22" t="s">
        <v>5894</v>
      </c>
      <c r="U275" s="22" t="s">
        <v>5434</v>
      </c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 customFormat="false" ht="12" hidden="false" customHeight="true" outlineLevel="0" collapsed="false">
      <c r="A276" s="31" t="n">
        <v>275</v>
      </c>
      <c r="B276" s="32" t="s">
        <v>94</v>
      </c>
      <c r="C276" s="32" t="s">
        <v>5895</v>
      </c>
      <c r="D276" s="22" t="n">
        <f aca="false">SUMIF(CAL!B:E,B276,CAL!E:E)+SUMIF(CAL!J:M,B276,CAL!M:M)</f>
        <v>6</v>
      </c>
      <c r="E276" s="33" t="n">
        <f aca="false">COUNTIF(CAL!B:J,B276)</f>
        <v>9</v>
      </c>
      <c r="F276" s="22" t="n">
        <f aca="false">SUMIF(CAL!B:F,B276,CAL!F:F)+SUMIF(CAL!J:N,B276,CAL!N:N)</f>
        <v>2</v>
      </c>
      <c r="G276" s="22" t="n">
        <f aca="false">SUMIF(CAL!B:F,B276,CAL!G:G)+SUMIF(CAL!J:N,B276,CAL!O:O)</f>
        <v>0</v>
      </c>
      <c r="H276" s="22" t="n">
        <f aca="false">SUMIF(CAL!B:F,B276,CAL!H:H)+SUMIF(CAL!J:N,B276,CAL!P:P)</f>
        <v>7</v>
      </c>
      <c r="I276" s="34" t="n">
        <f aca="false">IF(E276=0,0,(D276/(E276*3)))</f>
        <v>0.222222222222222</v>
      </c>
      <c r="J276" s="33" t="n">
        <f aca="false">SUMIF(CAL!B:C,B276,CAL!C:C)+SUMIF(CAL!J:J,B276,CAL!D:D)</f>
        <v>8</v>
      </c>
      <c r="K276" s="22" t="n">
        <f aca="false">SUMIF(CAL!B:D,B276,CAL!D:D)+SUMIF(CAL!J:L,B276,CAL!K:K)</f>
        <v>24</v>
      </c>
      <c r="L276" s="22" t="n">
        <f aca="false">J276-K276</f>
        <v>-16</v>
      </c>
      <c r="M276" s="35" t="n">
        <f aca="false">IF(E276=0,0,(J276/E276))</f>
        <v>0.888888888888889</v>
      </c>
      <c r="N276" s="35" t="n">
        <f aca="false">IF(E276=0,0,(K276/E276))</f>
        <v>2.66666666666667</v>
      </c>
      <c r="O276" s="22" t="n">
        <f aca="false">SUMIF(CAL!B:I,B276,CAL!I:I)+SUMIF(CAL!J:Q,B276,CAL!Q:Q)</f>
        <v>1</v>
      </c>
      <c r="P276" s="19"/>
      <c r="Q276" s="22"/>
      <c r="R276" s="22"/>
      <c r="S276" s="22"/>
      <c r="T276" s="22" t="s">
        <v>5540</v>
      </c>
      <c r="U276" s="22" t="s">
        <v>5471</v>
      </c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 customFormat="false" ht="12" hidden="false" customHeight="true" outlineLevel="0" collapsed="false">
      <c r="A277" s="31" t="n">
        <v>276</v>
      </c>
      <c r="B277" s="32" t="s">
        <v>245</v>
      </c>
      <c r="C277" s="32" t="s">
        <v>5896</v>
      </c>
      <c r="D277" s="22" t="n">
        <f aca="false">SUMIF(CAL!B:E,B277,CAL!E:E)+SUMIF(CAL!J:M,B277,CAL!M:M)</f>
        <v>11</v>
      </c>
      <c r="E277" s="33" t="n">
        <f aca="false">COUNTIF(CAL!B:J,B277)</f>
        <v>10</v>
      </c>
      <c r="F277" s="22" t="n">
        <f aca="false">SUMIF(CAL!B:F,B277,CAL!F:F)+SUMIF(CAL!J:N,B277,CAL!N:N)</f>
        <v>3</v>
      </c>
      <c r="G277" s="22" t="n">
        <f aca="false">SUMIF(CAL!B:F,B277,CAL!G:G)+SUMIF(CAL!J:N,B277,CAL!O:O)</f>
        <v>2</v>
      </c>
      <c r="H277" s="22" t="n">
        <f aca="false">SUMIF(CAL!B:F,B277,CAL!H:H)+SUMIF(CAL!J:N,B277,CAL!P:P)</f>
        <v>5</v>
      </c>
      <c r="I277" s="34" t="n">
        <f aca="false">IF(E277=0,0,(D277/(E277*3)))</f>
        <v>0.366666666666667</v>
      </c>
      <c r="J277" s="33" t="n">
        <f aca="false">SUMIF(CAL!B:C,B277,CAL!C:C)+SUMIF(CAL!J:J,B277,CAL!D:D)</f>
        <v>8</v>
      </c>
      <c r="K277" s="22" t="n">
        <f aca="false">SUMIF(CAL!B:D,B277,CAL!D:D)+SUMIF(CAL!J:L,B277,CAL!K:K)</f>
        <v>9</v>
      </c>
      <c r="L277" s="22" t="n">
        <f aca="false">J277-K277</f>
        <v>-1</v>
      </c>
      <c r="M277" s="35" t="n">
        <f aca="false">IF(E277=0,0,(J277/E277))</f>
        <v>0.8</v>
      </c>
      <c r="N277" s="35" t="n">
        <f aca="false">IF(E277=0,0,(K277/E277))</f>
        <v>0.9</v>
      </c>
      <c r="O277" s="22" t="n">
        <f aca="false">SUMIF(CAL!B:I,B277,CAL!I:I)+SUMIF(CAL!J:Q,B277,CAL!Q:Q)</f>
        <v>4</v>
      </c>
      <c r="P277" s="19"/>
      <c r="Q277" s="22"/>
      <c r="R277" s="22"/>
      <c r="S277" s="22"/>
      <c r="T277" s="22" t="s">
        <v>5897</v>
      </c>
      <c r="U277" s="22" t="s">
        <v>5411</v>
      </c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 customFormat="false" ht="12" hidden="false" customHeight="true" outlineLevel="0" collapsed="false">
      <c r="A278" s="31" t="n">
        <v>277</v>
      </c>
      <c r="B278" s="37" t="s">
        <v>409</v>
      </c>
      <c r="C278" s="37" t="s">
        <v>5898</v>
      </c>
      <c r="D278" s="22" t="n">
        <f aca="false">SUMIF(CAL!B:E,B278,CAL!E:E)+SUMIF(CAL!J:M,B278,CAL!M:M)</f>
        <v>13</v>
      </c>
      <c r="E278" s="33" t="n">
        <f aca="false">COUNTIF(CAL!B:J,B278)</f>
        <v>6</v>
      </c>
      <c r="F278" s="22" t="n">
        <f aca="false">SUMIF(CAL!B:F,B278,CAL!F:F)+SUMIF(CAL!J:N,B278,CAL!N:N)</f>
        <v>4</v>
      </c>
      <c r="G278" s="22" t="n">
        <f aca="false">SUMIF(CAL!B:F,B278,CAL!G:G)+SUMIF(CAL!J:N,B278,CAL!O:O)</f>
        <v>1</v>
      </c>
      <c r="H278" s="22" t="n">
        <f aca="false">SUMIF(CAL!B:F,B278,CAL!H:H)+SUMIF(CAL!J:N,B278,CAL!P:P)</f>
        <v>1</v>
      </c>
      <c r="I278" s="34" t="n">
        <f aca="false">IF(E278=0,0,(D278/(E278*3)))</f>
        <v>0.722222222222222</v>
      </c>
      <c r="J278" s="33" t="n">
        <f aca="false">SUMIF(CAL!B:C,B278,CAL!C:C)+SUMIF(CAL!J:J,B278,CAL!D:D)</f>
        <v>10</v>
      </c>
      <c r="K278" s="22" t="n">
        <f aca="false">SUMIF(CAL!B:D,B278,CAL!D:D)+SUMIF(CAL!J:L,B278,CAL!K:K)</f>
        <v>5</v>
      </c>
      <c r="L278" s="22" t="n">
        <f aca="false">J278-K278</f>
        <v>5</v>
      </c>
      <c r="M278" s="35" t="n">
        <f aca="false">IF(E278=0,0,(J278/E278))</f>
        <v>1.66666666666667</v>
      </c>
      <c r="N278" s="35" t="n">
        <f aca="false">IF(E278=0,0,(K278/E278))</f>
        <v>0.833333333333333</v>
      </c>
      <c r="O278" s="22" t="n">
        <f aca="false">SUMIF(CAL!B:I,B278,CAL!I:I)+SUMIF(CAL!J:Q,B278,CAL!Q:Q)</f>
        <v>2</v>
      </c>
      <c r="P278" s="19"/>
      <c r="Q278" s="22"/>
      <c r="R278" s="22"/>
      <c r="S278" s="22"/>
      <c r="T278" s="22" t="s">
        <v>5531</v>
      </c>
      <c r="U278" s="22" t="s">
        <v>5434</v>
      </c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 customFormat="false" ht="12" hidden="false" customHeight="true" outlineLevel="0" collapsed="false">
      <c r="A279" s="31" t="n">
        <v>278</v>
      </c>
      <c r="B279" s="32" t="s">
        <v>313</v>
      </c>
      <c r="C279" s="32" t="s">
        <v>5899</v>
      </c>
      <c r="D279" s="22" t="n">
        <f aca="false">SUMIF(CAL!B:E,B279,CAL!E:E)+SUMIF(CAL!J:M,B279,CAL!M:M)</f>
        <v>26</v>
      </c>
      <c r="E279" s="33" t="n">
        <f aca="false">COUNTIF(CAL!B:J,B279)</f>
        <v>17</v>
      </c>
      <c r="F279" s="22" t="n">
        <f aca="false">SUMIF(CAL!B:F,B279,CAL!F:F)+SUMIF(CAL!J:N,B279,CAL!N:N)</f>
        <v>7</v>
      </c>
      <c r="G279" s="22" t="n">
        <f aca="false">SUMIF(CAL!B:F,B279,CAL!G:G)+SUMIF(CAL!J:N,B279,CAL!O:O)</f>
        <v>5</v>
      </c>
      <c r="H279" s="22" t="n">
        <f aca="false">SUMIF(CAL!B:F,B279,CAL!H:H)+SUMIF(CAL!J:N,B279,CAL!P:P)</f>
        <v>5</v>
      </c>
      <c r="I279" s="34" t="n">
        <f aca="false">IF(E279=0,0,(D279/(E279*3)))</f>
        <v>0.509803921568627</v>
      </c>
      <c r="J279" s="33" t="n">
        <f aca="false">SUMIF(CAL!B:C,B279,CAL!C:C)+SUMIF(CAL!J:J,B279,CAL!D:D)</f>
        <v>22</v>
      </c>
      <c r="K279" s="22" t="n">
        <f aca="false">SUMIF(CAL!B:D,B279,CAL!D:D)+SUMIF(CAL!J:L,B279,CAL!K:K)</f>
        <v>15</v>
      </c>
      <c r="L279" s="22" t="n">
        <f aca="false">J279-K279</f>
        <v>7</v>
      </c>
      <c r="M279" s="35" t="n">
        <f aca="false">IF(E279=0,0,(J279/E279))</f>
        <v>1.29411764705882</v>
      </c>
      <c r="N279" s="35" t="n">
        <f aca="false">IF(E279=0,0,(K279/E279))</f>
        <v>0.882352941176471</v>
      </c>
      <c r="O279" s="22" t="n">
        <f aca="false">SUMIF(CAL!B:I,B279,CAL!I:I)+SUMIF(CAL!J:Q,B279,CAL!Q:Q)</f>
        <v>6</v>
      </c>
      <c r="P279" s="19"/>
      <c r="Q279" s="22"/>
      <c r="R279" s="22"/>
      <c r="S279" s="22"/>
      <c r="T279" s="22" t="s">
        <v>5900</v>
      </c>
      <c r="U279" s="22" t="s">
        <v>5450</v>
      </c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 customFormat="false" ht="12" hidden="false" customHeight="true" outlineLevel="0" collapsed="false">
      <c r="A280" s="31" t="n">
        <v>279</v>
      </c>
      <c r="B280" s="36" t="s">
        <v>375</v>
      </c>
      <c r="C280" s="32" t="s">
        <v>5901</v>
      </c>
      <c r="D280" s="22" t="n">
        <f aca="false">SUMIF(CAL!B:E,B280,CAL!E:E)+SUMIF(CAL!J:M,B280,CAL!M:M)</f>
        <v>29</v>
      </c>
      <c r="E280" s="33" t="n">
        <f aca="false">COUNTIF(CAL!B:J,B280)</f>
        <v>15</v>
      </c>
      <c r="F280" s="22" t="n">
        <f aca="false">SUMIF(CAL!B:F,B280,CAL!F:F)+SUMIF(CAL!J:N,B280,CAL!N:N)</f>
        <v>8</v>
      </c>
      <c r="G280" s="22" t="n">
        <f aca="false">SUMIF(CAL!B:F,B280,CAL!G:G)+SUMIF(CAL!J:N,B280,CAL!O:O)</f>
        <v>5</v>
      </c>
      <c r="H280" s="22" t="n">
        <f aca="false">SUMIF(CAL!B:F,B280,CAL!H:H)+SUMIF(CAL!J:N,B280,CAL!P:P)</f>
        <v>2</v>
      </c>
      <c r="I280" s="34" t="n">
        <f aca="false">IF(E280=0,0,(D280/(E280*3)))</f>
        <v>0.644444444444445</v>
      </c>
      <c r="J280" s="33" t="n">
        <f aca="false">SUMIF(CAL!B:C,B280,CAL!C:C)+SUMIF(CAL!J:J,B280,CAL!D:D)</f>
        <v>22</v>
      </c>
      <c r="K280" s="22" t="n">
        <f aca="false">SUMIF(CAL!B:D,B280,CAL!D:D)+SUMIF(CAL!J:L,B280,CAL!K:K)</f>
        <v>10</v>
      </c>
      <c r="L280" s="22" t="n">
        <f aca="false">J280-K280</f>
        <v>12</v>
      </c>
      <c r="M280" s="35" t="n">
        <f aca="false">IF(E280=0,0,(J280/E280))</f>
        <v>1.46666666666667</v>
      </c>
      <c r="N280" s="35" t="n">
        <f aca="false">IF(E280=0,0,(K280/E280))</f>
        <v>0.666666666666667</v>
      </c>
      <c r="O280" s="22" t="n">
        <f aca="false">SUMIF(CAL!B:I,B280,CAL!I:I)+SUMIF(CAL!J:Q,B280,CAL!Q:Q)</f>
        <v>8</v>
      </c>
      <c r="P280" s="19"/>
      <c r="Q280" s="22"/>
      <c r="R280" s="22"/>
      <c r="S280" s="22"/>
      <c r="T280" s="22" t="s">
        <v>5902</v>
      </c>
      <c r="U280" s="22" t="s">
        <v>5450</v>
      </c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 customFormat="false" ht="12" hidden="false" customHeight="true" outlineLevel="0" collapsed="false">
      <c r="A281" s="31" t="n">
        <v>280</v>
      </c>
      <c r="B281" s="36" t="s">
        <v>81</v>
      </c>
      <c r="C281" s="32" t="s">
        <v>5903</v>
      </c>
      <c r="D281" s="22" t="n">
        <f aca="false">SUMIF(CAL!B:E,B281,CAL!E:E)+SUMIF(CAL!J:M,B281,CAL!M:M)</f>
        <v>9</v>
      </c>
      <c r="E281" s="33" t="n">
        <f aca="false">COUNTIF(CAL!B:J,B281)</f>
        <v>13</v>
      </c>
      <c r="F281" s="22" t="n">
        <f aca="false">SUMIF(CAL!B:F,B281,CAL!F:F)+SUMIF(CAL!J:N,B281,CAL!N:N)</f>
        <v>2</v>
      </c>
      <c r="G281" s="22" t="n">
        <f aca="false">SUMIF(CAL!B:F,B281,CAL!G:G)+SUMIF(CAL!J:N,B281,CAL!O:O)</f>
        <v>3</v>
      </c>
      <c r="H281" s="22" t="n">
        <f aca="false">SUMIF(CAL!B:F,B281,CAL!H:H)+SUMIF(CAL!J:N,B281,CAL!P:P)</f>
        <v>8</v>
      </c>
      <c r="I281" s="34" t="n">
        <f aca="false">IF(E281=0,0,(D281/(E281*3)))</f>
        <v>0.230769230769231</v>
      </c>
      <c r="J281" s="33" t="n">
        <f aca="false">(SUMIF(CAL!B:C,B281,CAL!C:C)+SUMIF(CAL!J:J,B281,CAL!D:D))</f>
        <v>5</v>
      </c>
      <c r="K281" s="22" t="n">
        <f aca="false">SUMIF(CAL!B:D,B281,CAL!D:D)+SUMIF(CAL!J:L,B281,CAL!K:K)</f>
        <v>14</v>
      </c>
      <c r="L281" s="22" t="n">
        <f aca="false">J281-K281</f>
        <v>-9</v>
      </c>
      <c r="M281" s="35" t="n">
        <f aca="false">IF(E281=0,0,(J281/E281))</f>
        <v>0.384615384615385</v>
      </c>
      <c r="N281" s="35" t="n">
        <f aca="false">IF(E281=0,0,(K281/E281))</f>
        <v>1.07692307692308</v>
      </c>
      <c r="O281" s="22" t="n">
        <f aca="false">SUMIF(CAL!B:I,B281,CAL!I:I)+SUMIF(CAL!J:Q,B281,CAL!Q:Q)</f>
        <v>3</v>
      </c>
      <c r="P281" s="19"/>
      <c r="Q281" s="22"/>
      <c r="R281" s="22"/>
      <c r="S281" s="22"/>
      <c r="T281" s="22" t="s">
        <v>5904</v>
      </c>
      <c r="U281" s="22" t="s">
        <v>5580</v>
      </c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 customFormat="false" ht="12" hidden="false" customHeight="true" outlineLevel="0" collapsed="false">
      <c r="A282" s="31" t="n">
        <v>281</v>
      </c>
      <c r="B282" s="36" t="s">
        <v>298</v>
      </c>
      <c r="C282" s="32" t="s">
        <v>5905</v>
      </c>
      <c r="D282" s="22" t="n">
        <f aca="false">SUMIF(CAL!B:E,B282,CAL!E:E)+SUMIF(CAL!J:M,B282,CAL!M:M)</f>
        <v>8</v>
      </c>
      <c r="E282" s="33" t="n">
        <f aca="false">COUNTIF(CAL!B:J,B282)</f>
        <v>9</v>
      </c>
      <c r="F282" s="22" t="n">
        <f aca="false">SUMIF(CAL!B:F,B282,CAL!F:F)+SUMIF(CAL!J:N,B282,CAL!N:N)</f>
        <v>2</v>
      </c>
      <c r="G282" s="22" t="n">
        <f aca="false">SUMIF(CAL!B:F,B282,CAL!G:G)+SUMIF(CAL!J:N,B282,CAL!O:O)</f>
        <v>2</v>
      </c>
      <c r="H282" s="22" t="n">
        <f aca="false">SUMIF(CAL!B:F,B282,CAL!H:H)+SUMIF(CAL!J:N,B282,CAL!P:P)</f>
        <v>5</v>
      </c>
      <c r="I282" s="34" t="n">
        <f aca="false">IF(E282=0,0,(D282/(E282*3)))</f>
        <v>0.296296296296296</v>
      </c>
      <c r="J282" s="33" t="n">
        <f aca="false">SUMIF(CAL!B:C,B282,CAL!C:C)+SUMIF(CAL!J:J,B282,CAL!D:D)</f>
        <v>10</v>
      </c>
      <c r="K282" s="22" t="n">
        <f aca="false">SUMIF(CAL!B:D,B282,CAL!D:D)+SUMIF(CAL!J:L,B282,CAL!K:K)</f>
        <v>18</v>
      </c>
      <c r="L282" s="22" t="n">
        <f aca="false">J282-K282</f>
        <v>-8</v>
      </c>
      <c r="M282" s="35" t="n">
        <f aca="false">IF(E282=0,0,(J282/E282))</f>
        <v>1.11111111111111</v>
      </c>
      <c r="N282" s="35" t="n">
        <f aca="false">IF(E282=0,0,(K282/E282))</f>
        <v>2</v>
      </c>
      <c r="O282" s="22" t="n">
        <f aca="false">SUMIF(CAL!B:I,B282,CAL!I:I)+SUMIF(CAL!J:Q,B282,CAL!Q:Q)</f>
        <v>1</v>
      </c>
      <c r="P282" s="19"/>
      <c r="Q282" s="22"/>
      <c r="R282" s="22"/>
      <c r="S282" s="22"/>
      <c r="T282" s="22" t="s">
        <v>5906</v>
      </c>
      <c r="U282" s="22" t="s">
        <v>5400</v>
      </c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 customFormat="false" ht="12" hidden="false" customHeight="true" outlineLevel="0" collapsed="false">
      <c r="A283" s="31" t="n">
        <v>282</v>
      </c>
      <c r="B283" s="32" t="s">
        <v>251</v>
      </c>
      <c r="C283" s="32" t="s">
        <v>5907</v>
      </c>
      <c r="D283" s="22" t="n">
        <f aca="false">SUMIF(CAL!B:E,B283,CAL!E:E)+SUMIF(CAL!J:M,B283,CAL!M:M)</f>
        <v>26</v>
      </c>
      <c r="E283" s="33" t="n">
        <f aca="false">COUNTIF(CAL!B:J,B283)</f>
        <v>19</v>
      </c>
      <c r="F283" s="22" t="n">
        <f aca="false">SUMIF(CAL!B:F,B283,CAL!F:F)+SUMIF(CAL!J:N,B283,CAL!N:N)</f>
        <v>7</v>
      </c>
      <c r="G283" s="22" t="n">
        <f aca="false">SUMIF(CAL!B:F,B283,CAL!G:G)+SUMIF(CAL!J:N,B283,CAL!O:O)</f>
        <v>5</v>
      </c>
      <c r="H283" s="22" t="n">
        <f aca="false">SUMIF(CAL!B:F,B283,CAL!H:H)+SUMIF(CAL!J:N,B283,CAL!P:P)</f>
        <v>7</v>
      </c>
      <c r="I283" s="34" t="n">
        <f aca="false">IF(E283=0,0,(D283/(E283*3)))</f>
        <v>0.456140350877193</v>
      </c>
      <c r="J283" s="33" t="n">
        <f aca="false">SUMIF(CAL!B:C,B283,CAL!C:C)+SUMIF(CAL!J:J,B283,CAL!D:D)</f>
        <v>21</v>
      </c>
      <c r="K283" s="22" t="n">
        <f aca="false">SUMIF(CAL!B:D,B283,CAL!D:D)+SUMIF(CAL!J:L,B283,CAL!K:K)</f>
        <v>22</v>
      </c>
      <c r="L283" s="22" t="n">
        <f aca="false">J283-K283</f>
        <v>-1</v>
      </c>
      <c r="M283" s="35" t="n">
        <f aca="false">IF(E283=0,0,(J283/E283))</f>
        <v>1.10526315789474</v>
      </c>
      <c r="N283" s="35" t="n">
        <f aca="false">IF(E283=0,0,(K283/E283))</f>
        <v>1.15789473684211</v>
      </c>
      <c r="O283" s="22" t="n">
        <f aca="false">SUMIF(CAL!B:I,B283,CAL!I:I)+SUMIF(CAL!J:Q,B283,CAL!Q:Q)</f>
        <v>6</v>
      </c>
      <c r="P283" s="19"/>
      <c r="Q283" s="22"/>
      <c r="R283" s="22"/>
      <c r="S283" s="22"/>
      <c r="T283" s="22" t="s">
        <v>5600</v>
      </c>
      <c r="U283" s="22" t="s">
        <v>5476</v>
      </c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 customFormat="false" ht="12" hidden="false" customHeight="true" outlineLevel="0" collapsed="false">
      <c r="A284" s="31" t="n">
        <v>283</v>
      </c>
      <c r="B284" s="36" t="s">
        <v>339</v>
      </c>
      <c r="C284" s="32" t="s">
        <v>5908</v>
      </c>
      <c r="D284" s="22" t="n">
        <f aca="false">SUMIF(CAL!B:E,B284,CAL!E:E)+SUMIF(CAL!J:M,B284,CAL!M:M)</f>
        <v>39</v>
      </c>
      <c r="E284" s="33" t="n">
        <f aca="false">COUNTIF(CAL!B:J,B284)</f>
        <v>17</v>
      </c>
      <c r="F284" s="22" t="n">
        <f aca="false">SUMIF(CAL!B:F,B284,CAL!F:F)+SUMIF(CAL!J:N,B284,CAL!N:N)</f>
        <v>13</v>
      </c>
      <c r="G284" s="22" t="n">
        <f aca="false">SUMIF(CAL!B:F,B284,CAL!G:G)+SUMIF(CAL!J:N,B284,CAL!O:O)</f>
        <v>0</v>
      </c>
      <c r="H284" s="22" t="n">
        <f aca="false">SUMIF(CAL!B:F,B284,CAL!H:H)+SUMIF(CAL!J:N,B284,CAL!P:P)</f>
        <v>4</v>
      </c>
      <c r="I284" s="34" t="n">
        <f aca="false">IF(E284=0,0,(D284/(E284*3)))</f>
        <v>0.764705882352941</v>
      </c>
      <c r="J284" s="33" t="n">
        <f aca="false">SUMIF(CAL!B:C,B284,CAL!C:C)+SUMIF(CAL!J:J,B284,CAL!D:D)</f>
        <v>28</v>
      </c>
      <c r="K284" s="22" t="n">
        <f aca="false">SUMIF(CAL!B:D,B284,CAL!D:D)+SUMIF(CAL!J:L,B284,CAL!K:K)</f>
        <v>11</v>
      </c>
      <c r="L284" s="22" t="n">
        <f aca="false">J284-K284</f>
        <v>17</v>
      </c>
      <c r="M284" s="35" t="n">
        <f aca="false">IF(E284=0,0,(J284/E284))</f>
        <v>1.64705882352941</v>
      </c>
      <c r="N284" s="35" t="n">
        <f aca="false">IF(E284=0,0,(K284/E284))</f>
        <v>0.647058823529412</v>
      </c>
      <c r="O284" s="22" t="n">
        <f aca="false">SUMIF(CAL!B:I,B284,CAL!I:I)+SUMIF(CAL!J:Q,B284,CAL!Q:Q)</f>
        <v>10</v>
      </c>
      <c r="P284" s="19"/>
      <c r="Q284" s="22"/>
      <c r="R284" s="22"/>
      <c r="S284" s="22"/>
      <c r="T284" s="22" t="s">
        <v>5684</v>
      </c>
      <c r="U284" s="22" t="s">
        <v>5450</v>
      </c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 customFormat="false" ht="12" hidden="false" customHeight="true" outlineLevel="0" collapsed="false">
      <c r="A285" s="31" t="n">
        <v>284</v>
      </c>
      <c r="B285" s="36" t="s">
        <v>213</v>
      </c>
      <c r="C285" s="32" t="s">
        <v>5909</v>
      </c>
      <c r="D285" s="22" t="n">
        <f aca="false">SUMIF(CAL!B:E,B285,CAL!E:E)+SUMIF(CAL!J:M,B285,CAL!M:M)</f>
        <v>19</v>
      </c>
      <c r="E285" s="33" t="n">
        <f aca="false">COUNTIF(CAL!B:J,B285)</f>
        <v>11</v>
      </c>
      <c r="F285" s="22" t="n">
        <f aca="false">SUMIF(CAL!B:F,B285,CAL!F:F)+SUMIF(CAL!J:N,B285,CAL!N:N)</f>
        <v>5</v>
      </c>
      <c r="G285" s="22" t="n">
        <f aca="false">SUMIF(CAL!B:F,B285,CAL!G:G)+SUMIF(CAL!J:N,B285,CAL!O:O)</f>
        <v>4</v>
      </c>
      <c r="H285" s="22" t="n">
        <f aca="false">SUMIF(CAL!B:F,B285,CAL!H:H)+SUMIF(CAL!J:N,B285,CAL!P:P)</f>
        <v>2</v>
      </c>
      <c r="I285" s="34" t="n">
        <f aca="false">IF(E285=0,0,(D285/(E285*3)))</f>
        <v>0.575757575757576</v>
      </c>
      <c r="J285" s="33" t="n">
        <f aca="false">SUMIF(CAL!B:C,B285,CAL!C:C)+SUMIF(CAL!J:J,B285,CAL!D:D)</f>
        <v>10</v>
      </c>
      <c r="K285" s="22" t="n">
        <f aca="false">SUMIF(CAL!B:D,B285,CAL!D:D)+SUMIF(CAL!J:L,B285,CAL!K:K)</f>
        <v>7</v>
      </c>
      <c r="L285" s="22" t="n">
        <f aca="false">J285-K285</f>
        <v>3</v>
      </c>
      <c r="M285" s="35" t="n">
        <f aca="false">IF(E285=0,0,(J285/E285))</f>
        <v>0.909090909090909</v>
      </c>
      <c r="N285" s="35" t="n">
        <f aca="false">IF(E285=0,0,(K285/E285))</f>
        <v>0.636363636363636</v>
      </c>
      <c r="O285" s="22" t="n">
        <f aca="false">SUMIF(CAL!B:I,B285,CAL!I:I)+SUMIF(CAL!J:Q,B285,CAL!Q:Q)</f>
        <v>7</v>
      </c>
      <c r="P285" s="19"/>
      <c r="Q285" s="22"/>
      <c r="R285" s="22"/>
      <c r="S285" s="22"/>
      <c r="T285" s="22" t="s">
        <v>5910</v>
      </c>
      <c r="U285" s="22" t="s">
        <v>5394</v>
      </c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 customFormat="false" ht="12" hidden="false" customHeight="true" outlineLevel="0" collapsed="false">
      <c r="A286" s="31" t="n">
        <v>285</v>
      </c>
      <c r="B286" s="36" t="s">
        <v>141</v>
      </c>
      <c r="C286" s="32" t="s">
        <v>5911</v>
      </c>
      <c r="D286" s="22" t="n">
        <f aca="false">SUMIF(CAL!B:E,B286,CAL!E:E)+SUMIF(CAL!J:M,B286,CAL!M:M)</f>
        <v>4</v>
      </c>
      <c r="E286" s="33" t="n">
        <f aca="false">COUNTIF(CAL!B:J,B286)</f>
        <v>7</v>
      </c>
      <c r="F286" s="22" t="n">
        <f aca="false">SUMIF(CAL!B:F,B286,CAL!F:F)+SUMIF(CAL!J:N,B286,CAL!N:N)</f>
        <v>1</v>
      </c>
      <c r="G286" s="22" t="n">
        <f aca="false">SUMIF(CAL!B:F,B286,CAL!G:G)+SUMIF(CAL!J:N,B286,CAL!O:O)</f>
        <v>1</v>
      </c>
      <c r="H286" s="22" t="n">
        <f aca="false">SUMIF(CAL!B:F,B286,CAL!H:H)+SUMIF(CAL!J:N,B286,CAL!P:P)</f>
        <v>5</v>
      </c>
      <c r="I286" s="34" t="n">
        <f aca="false">IF(E286=0,0,(D286/(E286*3)))</f>
        <v>0.19047619047619</v>
      </c>
      <c r="J286" s="33" t="n">
        <f aca="false">SUMIF(CAL!B:C,B286,CAL!C:C)+SUMIF(CAL!J:J,B286,CAL!D:D)</f>
        <v>8</v>
      </c>
      <c r="K286" s="22" t="n">
        <f aca="false">SUMIF(CAL!B:D,B286,CAL!D:D)+SUMIF(CAL!J:L,B286,CAL!K:K)</f>
        <v>19</v>
      </c>
      <c r="L286" s="22" t="n">
        <f aca="false">J286-K286</f>
        <v>-11</v>
      </c>
      <c r="M286" s="35" t="n">
        <f aca="false">IF(E286=0,0,(J286/E286))</f>
        <v>1.14285714285714</v>
      </c>
      <c r="N286" s="35" t="n">
        <f aca="false">IF(E286=0,0,(K286/E286))</f>
        <v>2.71428571428571</v>
      </c>
      <c r="O286" s="22" t="n">
        <f aca="false">SUMIF(CAL!B:I,B286,CAL!I:I)+SUMIF(CAL!J:Q,B286,CAL!Q:Q)</f>
        <v>1</v>
      </c>
      <c r="P286" s="19"/>
      <c r="Q286" s="22"/>
      <c r="R286" s="22"/>
      <c r="S286" s="22"/>
      <c r="T286" s="22" t="s">
        <v>5912</v>
      </c>
      <c r="U286" s="22" t="s">
        <v>5394</v>
      </c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 customFormat="false" ht="12" hidden="false" customHeight="true" outlineLevel="0" collapsed="false">
      <c r="A287" s="31" t="n">
        <v>286</v>
      </c>
      <c r="B287" s="36" t="s">
        <v>161</v>
      </c>
      <c r="C287" s="32" t="s">
        <v>5913</v>
      </c>
      <c r="D287" s="22" t="n">
        <f aca="false">SUMIF(CAL!B:E,B287,CAL!E:E)+SUMIF(CAL!J:M,B287,CAL!M:M)</f>
        <v>11</v>
      </c>
      <c r="E287" s="33" t="n">
        <f aca="false">COUNTIF(CAL!B:J,B287)</f>
        <v>9</v>
      </c>
      <c r="F287" s="22" t="n">
        <f aca="false">SUMIF(CAL!B:F,B287,CAL!F:F)+SUMIF(CAL!J:N,B287,CAL!N:N)</f>
        <v>3</v>
      </c>
      <c r="G287" s="22" t="n">
        <f aca="false">SUMIF(CAL!B:F,B287,CAL!G:G)+SUMIF(CAL!J:N,B287,CAL!O:O)</f>
        <v>2</v>
      </c>
      <c r="H287" s="22" t="n">
        <f aca="false">SUMIF(CAL!B:F,B287,CAL!H:H)+SUMIF(CAL!J:N,B287,CAL!P:P)</f>
        <v>4</v>
      </c>
      <c r="I287" s="34" t="n">
        <f aca="false">IF(E287=0,0,(D287/(E287*3)))</f>
        <v>0.407407407407407</v>
      </c>
      <c r="J287" s="33" t="n">
        <f aca="false">SUMIF(CAL!B:C,B287,CAL!C:C)+SUMIF(CAL!J:J,B287,CAL!D:D)</f>
        <v>17</v>
      </c>
      <c r="K287" s="22" t="n">
        <f aca="false">SUMIF(CAL!B:D,B287,CAL!D:D)+SUMIF(CAL!J:L,B287,CAL!K:K)</f>
        <v>15</v>
      </c>
      <c r="L287" s="22" t="n">
        <f aca="false">J287-K287</f>
        <v>2</v>
      </c>
      <c r="M287" s="35" t="n">
        <f aca="false">IF(E287=0,0,(J287/E287))</f>
        <v>1.88888888888889</v>
      </c>
      <c r="N287" s="35" t="n">
        <f aca="false">IF(E287=0,0,(K287/E287))</f>
        <v>1.66666666666667</v>
      </c>
      <c r="O287" s="22" t="n">
        <f aca="false">SUMIF(CAL!B:I,B287,CAL!I:I)+SUMIF(CAL!J:Q,B287,CAL!Q:Q)</f>
        <v>1</v>
      </c>
      <c r="P287" s="19"/>
      <c r="Q287" s="22"/>
      <c r="R287" s="22"/>
      <c r="S287" s="22"/>
      <c r="T287" s="22" t="s">
        <v>5914</v>
      </c>
      <c r="U287" s="22" t="s">
        <v>5450</v>
      </c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 customFormat="false" ht="12" hidden="false" customHeight="true" outlineLevel="0" collapsed="false">
      <c r="A288" s="31" t="n">
        <v>287</v>
      </c>
      <c r="B288" s="32" t="s">
        <v>175</v>
      </c>
      <c r="C288" s="32" t="s">
        <v>5915</v>
      </c>
      <c r="D288" s="22" t="n">
        <f aca="false">SUMIF(CAL!B:E,B288,CAL!E:E)+SUMIF(CAL!J:M,B288,CAL!M:M)</f>
        <v>12</v>
      </c>
      <c r="E288" s="33" t="n">
        <f aca="false">COUNTIF(CAL!B:J,B288)</f>
        <v>10</v>
      </c>
      <c r="F288" s="22" t="n">
        <f aca="false">SUMIF(CAL!B:F,B288,CAL!F:F)+SUMIF(CAL!J:N,B288,CAL!N:N)</f>
        <v>3</v>
      </c>
      <c r="G288" s="22" t="n">
        <f aca="false">SUMIF(CAL!B:F,B288,CAL!G:G)+SUMIF(CAL!J:N,B288,CAL!O:O)</f>
        <v>3</v>
      </c>
      <c r="H288" s="22" t="n">
        <f aca="false">SUMIF(CAL!B:F,B288,CAL!H:H)+SUMIF(CAL!J:N,B288,CAL!P:P)</f>
        <v>4</v>
      </c>
      <c r="I288" s="34" t="n">
        <f aca="false">IF(E288=0,0,(D288/(E288*3)))</f>
        <v>0.4</v>
      </c>
      <c r="J288" s="33" t="n">
        <f aca="false">SUMIF(CAL!B:C,B288,CAL!C:C)+SUMIF(CAL!J:J,B288,CAL!D:D)</f>
        <v>11</v>
      </c>
      <c r="K288" s="22" t="n">
        <f aca="false">SUMIF(CAL!B:D,B288,CAL!D:D)+SUMIF(CAL!J:L,B288,CAL!K:K)</f>
        <v>11</v>
      </c>
      <c r="L288" s="22" t="n">
        <f aca="false">J288-K288</f>
        <v>0</v>
      </c>
      <c r="M288" s="35" t="n">
        <f aca="false">IF(E288=0,0,(J288/E288))</f>
        <v>1.1</v>
      </c>
      <c r="N288" s="35" t="n">
        <f aca="false">IF(E288=0,0,(K288/E288))</f>
        <v>1.1</v>
      </c>
      <c r="O288" s="22" t="n">
        <f aca="false">SUMIF(CAL!B:I,B288,CAL!I:I)+SUMIF(CAL!J:Q,B288,CAL!Q:Q)</f>
        <v>2</v>
      </c>
      <c r="P288" s="19"/>
      <c r="Q288" s="22"/>
      <c r="R288" s="22"/>
      <c r="S288" s="22"/>
      <c r="T288" s="22" t="s">
        <v>5916</v>
      </c>
      <c r="U288" s="22" t="s">
        <v>5411</v>
      </c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 customFormat="false" ht="12" hidden="false" customHeight="true" outlineLevel="0" collapsed="false">
      <c r="A289" s="31" t="n">
        <v>288</v>
      </c>
      <c r="B289" s="37" t="s">
        <v>352</v>
      </c>
      <c r="C289" s="37" t="s">
        <v>5917</v>
      </c>
      <c r="D289" s="22" t="n">
        <f aca="false">SUMIF(CAL!B:E,B289,CAL!E:E)+SUMIF(CAL!J:M,B289,CAL!M:M)</f>
        <v>6</v>
      </c>
      <c r="E289" s="33" t="n">
        <f aca="false">COUNTIF(CAL!B:J,B289)</f>
        <v>8</v>
      </c>
      <c r="F289" s="22" t="n">
        <f aca="false">SUMIF(CAL!B:F,B289,CAL!F:F)+SUMIF(CAL!J:N,B289,CAL!N:N)</f>
        <v>2</v>
      </c>
      <c r="G289" s="22" t="n">
        <f aca="false">SUMIF(CAL!B:F,B289,CAL!G:G)+SUMIF(CAL!J:N,B289,CAL!O:O)</f>
        <v>0</v>
      </c>
      <c r="H289" s="22" t="n">
        <f aca="false">SUMIF(CAL!B:F,B289,CAL!H:H)+SUMIF(CAL!J:N,B289,CAL!P:P)</f>
        <v>6</v>
      </c>
      <c r="I289" s="34" t="n">
        <f aca="false">IF(E289=0,0,(D289/(E289*3)))</f>
        <v>0.25</v>
      </c>
      <c r="J289" s="33" t="n">
        <f aca="false">SUMIF(CAL!B:C,B289,CAL!C:C)+SUMIF(CAL!J:J,B289,CAL!D:D)</f>
        <v>8</v>
      </c>
      <c r="K289" s="22" t="n">
        <f aca="false">SUMIF(CAL!B:D,B289,CAL!D:D)+SUMIF(CAL!J:L,B289,CAL!K:K)</f>
        <v>25</v>
      </c>
      <c r="L289" s="22" t="n">
        <f aca="false">J289-K289</f>
        <v>-17</v>
      </c>
      <c r="M289" s="35" t="n">
        <f aca="false">IF(E289=0,0,(J289/E289))</f>
        <v>1</v>
      </c>
      <c r="N289" s="35" t="n">
        <f aca="false">IF(E289=0,0,(K289/E289))</f>
        <v>3.125</v>
      </c>
      <c r="O289" s="22" t="n">
        <f aca="false">SUMIF(CAL!B:I,B289,CAL!I:I)+SUMIF(CAL!J:Q,B289,CAL!Q:Q)</f>
        <v>0</v>
      </c>
      <c r="P289" s="19"/>
      <c r="Q289" s="22"/>
      <c r="R289" s="22"/>
      <c r="S289" s="22"/>
      <c r="T289" s="22" t="s">
        <v>5918</v>
      </c>
      <c r="U289" s="22" t="s">
        <v>5417</v>
      </c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 customFormat="false" ht="12" hidden="false" customHeight="true" outlineLevel="0" collapsed="false">
      <c r="A290" s="31" t="n">
        <v>289</v>
      </c>
      <c r="B290" s="38" t="s">
        <v>419</v>
      </c>
      <c r="C290" s="37" t="s">
        <v>5919</v>
      </c>
      <c r="D290" s="22" t="n">
        <f aca="false">SUMIF(CAL!B:E,B290,CAL!E:E)+SUMIF(CAL!J:M,B290,CAL!M:M)</f>
        <v>4</v>
      </c>
      <c r="E290" s="33" t="n">
        <f aca="false">COUNTIF(CAL!B:J,B290)</f>
        <v>6</v>
      </c>
      <c r="F290" s="22" t="n">
        <f aca="false">SUMIF(CAL!B:F,B290,CAL!F:F)+SUMIF(CAL!J:N,B290,CAL!N:N)</f>
        <v>1</v>
      </c>
      <c r="G290" s="22" t="n">
        <f aca="false">SUMIF(CAL!B:F,B290,CAL!G:G)+SUMIF(CAL!J:N,B290,CAL!O:O)</f>
        <v>1</v>
      </c>
      <c r="H290" s="22" t="n">
        <f aca="false">SUMIF(CAL!B:F,B290,CAL!H:H)+SUMIF(CAL!J:N,B290,CAL!P:P)</f>
        <v>4</v>
      </c>
      <c r="I290" s="34" t="n">
        <f aca="false">IF(E290=0,0,(D290/(E290*3)))</f>
        <v>0.222222222222222</v>
      </c>
      <c r="J290" s="33" t="n">
        <f aca="false">SUMIF(CAL!B:C,B290,CAL!C:C)+SUMIF(CAL!J:J,B290,CAL!D:D)</f>
        <v>2</v>
      </c>
      <c r="K290" s="22" t="n">
        <f aca="false">SUMIF(CAL!B:D,B290,CAL!D:D)+SUMIF(CAL!J:L,B290,CAL!K:K)</f>
        <v>7</v>
      </c>
      <c r="L290" s="22" t="n">
        <f aca="false">J290-K290</f>
        <v>-5</v>
      </c>
      <c r="M290" s="35" t="n">
        <f aca="false">IF(E290=0,0,(J290/E290))</f>
        <v>0.333333333333333</v>
      </c>
      <c r="N290" s="35" t="n">
        <f aca="false">IF(E290=0,0,(K290/E290))</f>
        <v>1.16666666666667</v>
      </c>
      <c r="O290" s="22" t="n">
        <f aca="false">SUMIF(CAL!B:I,B290,CAL!I:I)+SUMIF(CAL!J:Q,B290,CAL!Q:Q)</f>
        <v>2</v>
      </c>
      <c r="P290" s="19"/>
      <c r="Q290" s="22"/>
      <c r="R290" s="22"/>
      <c r="S290" s="22"/>
      <c r="T290" s="22" t="s">
        <v>5920</v>
      </c>
      <c r="U290" s="22" t="s">
        <v>5434</v>
      </c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 customFormat="false" ht="12" hidden="false" customHeight="true" outlineLevel="0" collapsed="false">
      <c r="A291" s="31" t="n">
        <v>290</v>
      </c>
      <c r="B291" s="36" t="s">
        <v>211</v>
      </c>
      <c r="C291" s="32" t="s">
        <v>5921</v>
      </c>
      <c r="D291" s="22" t="n">
        <f aca="false">SUMIF(CAL!B:E,B291,CAL!E:E)+SUMIF(CAL!J:M,B291,CAL!M:M)</f>
        <v>18</v>
      </c>
      <c r="E291" s="33" t="n">
        <f aca="false">COUNTIF(CAL!B:J,B291)</f>
        <v>11</v>
      </c>
      <c r="F291" s="22" t="n">
        <f aca="false">SUMIF(CAL!B:F,B291,CAL!F:F)+SUMIF(CAL!J:N,B291,CAL!N:N)</f>
        <v>5</v>
      </c>
      <c r="G291" s="22" t="n">
        <f aca="false">SUMIF(CAL!B:F,B291,CAL!G:G)+SUMIF(CAL!J:N,B291,CAL!O:O)</f>
        <v>3</v>
      </c>
      <c r="H291" s="22" t="n">
        <f aca="false">SUMIF(CAL!B:F,B291,CAL!H:H)+SUMIF(CAL!J:N,B291,CAL!P:P)</f>
        <v>3</v>
      </c>
      <c r="I291" s="34" t="n">
        <f aca="false">IF(E291=0,0,(D291/(E291*3)))</f>
        <v>0.545454545454545</v>
      </c>
      <c r="J291" s="33" t="n">
        <f aca="false">SUMIF(CAL!B:C,B291,CAL!C:C)+SUMIF(CAL!J:J,B291,CAL!D:D)</f>
        <v>19</v>
      </c>
      <c r="K291" s="22" t="n">
        <f aca="false">SUMIF(CAL!B:D,B291,CAL!D:D)+SUMIF(CAL!J:L,B291,CAL!K:K)</f>
        <v>12</v>
      </c>
      <c r="L291" s="22" t="n">
        <f aca="false">J291-K291</f>
        <v>7</v>
      </c>
      <c r="M291" s="35" t="n">
        <f aca="false">IF(E291=0,0,(J291/E291))</f>
        <v>1.72727272727273</v>
      </c>
      <c r="N291" s="35" t="n">
        <f aca="false">IF(E291=0,0,(K291/E291))</f>
        <v>1.09090909090909</v>
      </c>
      <c r="O291" s="22" t="n">
        <f aca="false">SUMIF(CAL!B:I,B291,CAL!I:I)+SUMIF(CAL!J:Q,B291,CAL!Q:Q)</f>
        <v>3</v>
      </c>
      <c r="P291" s="19"/>
      <c r="Q291" s="22"/>
      <c r="R291" s="22"/>
      <c r="S291" s="22"/>
      <c r="T291" s="22" t="s">
        <v>5393</v>
      </c>
      <c r="U291" s="22" t="s">
        <v>5394</v>
      </c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 customFormat="false" ht="12" hidden="false" customHeight="true" outlineLevel="0" collapsed="false">
      <c r="A292" s="31" t="n">
        <v>291</v>
      </c>
      <c r="B292" s="32" t="s">
        <v>46</v>
      </c>
      <c r="C292" s="32" t="s">
        <v>5922</v>
      </c>
      <c r="D292" s="22" t="n">
        <f aca="false">SUMIF(CAL!B:E,B292,CAL!E:E)+SUMIF(CAL!J:M,B292,CAL!M:M)</f>
        <v>7</v>
      </c>
      <c r="E292" s="33" t="n">
        <f aca="false">COUNTIF(CAL!B:J,B292)</f>
        <v>7</v>
      </c>
      <c r="F292" s="22" t="n">
        <f aca="false">SUMIF(CAL!B:F,B292,CAL!F:F)+SUMIF(CAL!J:N,B292,CAL!N:N)</f>
        <v>2</v>
      </c>
      <c r="G292" s="22" t="n">
        <f aca="false">SUMIF(CAL!B:F,B292,CAL!G:G)+SUMIF(CAL!J:N,B292,CAL!O:O)</f>
        <v>1</v>
      </c>
      <c r="H292" s="22" t="n">
        <f aca="false">SUMIF(CAL!B:F,B292,CAL!H:H)+SUMIF(CAL!J:N,B292,CAL!P:P)</f>
        <v>4</v>
      </c>
      <c r="I292" s="34" t="n">
        <f aca="false">IF(E292=0,0,(D292/(E292*3)))</f>
        <v>0.333333333333333</v>
      </c>
      <c r="J292" s="33" t="n">
        <f aca="false">SUMIF(CAL!B:C,B292,CAL!C:C)+SUMIF(CAL!J:J,B292,CAL!D:D)</f>
        <v>6</v>
      </c>
      <c r="K292" s="22" t="n">
        <f aca="false">SUMIF(CAL!B:D,B292,CAL!D:D)+SUMIF(CAL!J:L,B292,CAL!K:K)</f>
        <v>12</v>
      </c>
      <c r="L292" s="22" t="n">
        <f aca="false">J292-K292</f>
        <v>-6</v>
      </c>
      <c r="M292" s="35" t="n">
        <f aca="false">IF(E292=0,0,(J292/E292))</f>
        <v>0.857142857142857</v>
      </c>
      <c r="N292" s="35" t="n">
        <f aca="false">IF(E292=0,0,(K292/E292))</f>
        <v>1.71428571428571</v>
      </c>
      <c r="O292" s="22" t="n">
        <f aca="false">SUMIF(CAL!B:I,B292,CAL!I:I)+SUMIF(CAL!J:Q,B292,CAL!Q:Q)</f>
        <v>2</v>
      </c>
      <c r="P292" s="19"/>
      <c r="Q292" s="22"/>
      <c r="R292" s="22"/>
      <c r="S292" s="22"/>
      <c r="T292" s="22" t="s">
        <v>5923</v>
      </c>
      <c r="U292" s="22" t="s">
        <v>5483</v>
      </c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 customFormat="false" ht="12" hidden="false" customHeight="true" outlineLevel="0" collapsed="false">
      <c r="A293" s="31" t="n">
        <v>292</v>
      </c>
      <c r="B293" s="37" t="s">
        <v>5924</v>
      </c>
      <c r="C293" s="37" t="s">
        <v>5925</v>
      </c>
      <c r="D293" s="22" t="n">
        <f aca="false">SUMIF(CAL!B:E,B293,CAL!E:E)+SUMIF(CAL!J:M,B293,CAL!M:M)</f>
        <v>10</v>
      </c>
      <c r="E293" s="33" t="n">
        <f aca="false">COUNTIF(CAL!B:J,B293)</f>
        <v>9</v>
      </c>
      <c r="F293" s="22" t="n">
        <f aca="false">SUMIF(CAL!B:F,B293,CAL!F:F)+SUMIF(CAL!J:N,B293,CAL!N:N)</f>
        <v>3</v>
      </c>
      <c r="G293" s="22" t="n">
        <f aca="false">SUMIF(CAL!B:F,B293,CAL!G:G)+SUMIF(CAL!J:N,B293,CAL!O:O)</f>
        <v>1</v>
      </c>
      <c r="H293" s="22" t="n">
        <f aca="false">SUMIF(CAL!B:F,B293,CAL!H:H)+SUMIF(CAL!J:N,B293,CAL!P:P)</f>
        <v>5</v>
      </c>
      <c r="I293" s="34" t="n">
        <f aca="false">IF(E293=0,0,(D293/(E293*3)))</f>
        <v>0.37037037037037</v>
      </c>
      <c r="J293" s="33" t="n">
        <f aca="false">SUMIF(CAL!B:C,B293,CAL!C:C)+SUMIF(CAL!J:J,B293,CAL!D:D)</f>
        <v>11</v>
      </c>
      <c r="K293" s="22" t="n">
        <f aca="false">SUMIF(CAL!B:D,B293,CAL!D:D)+SUMIF(CAL!J:L,B293,CAL!K:K)</f>
        <v>13</v>
      </c>
      <c r="L293" s="22" t="n">
        <f aca="false">J293-K293</f>
        <v>-2</v>
      </c>
      <c r="M293" s="35" t="n">
        <f aca="false">IF(E293=0,0,(J293/E293))</f>
        <v>1.22222222222222</v>
      </c>
      <c r="N293" s="35" t="n">
        <f aca="false">IF(E293=0,0,(K293/E293))</f>
        <v>1.44444444444444</v>
      </c>
      <c r="O293" s="22" t="n">
        <f aca="false">SUMIF(CAL!B:I,B293,CAL!I:I)+SUMIF(CAL!J:Q,B293,CAL!Q:Q)</f>
        <v>3</v>
      </c>
      <c r="P293" s="19"/>
      <c r="Q293" s="22"/>
      <c r="R293" s="22"/>
      <c r="S293" s="22"/>
      <c r="T293" s="22" t="s">
        <v>5926</v>
      </c>
      <c r="U293" s="22" t="s">
        <v>5471</v>
      </c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 customFormat="false" ht="12" hidden="false" customHeight="true" outlineLevel="0" collapsed="false">
      <c r="A294" s="31" t="n">
        <v>293</v>
      </c>
      <c r="B294" s="36" t="s">
        <v>249</v>
      </c>
      <c r="C294" s="32" t="s">
        <v>5927</v>
      </c>
      <c r="D294" s="22" t="n">
        <f aca="false">SUMIF(CAL!B:E,B294,CAL!E:E)+SUMIF(CAL!J:M,B294,CAL!M:M)</f>
        <v>5</v>
      </c>
      <c r="E294" s="33" t="n">
        <f aca="false">COUNTIF(CAL!B:J,B294)</f>
        <v>9</v>
      </c>
      <c r="F294" s="22" t="n">
        <f aca="false">SUMIF(CAL!B:F,B294,CAL!F:F)+SUMIF(CAL!J:N,B294,CAL!N:N)</f>
        <v>0</v>
      </c>
      <c r="G294" s="22" t="n">
        <f aca="false">SUMIF(CAL!B:F,B294,CAL!G:G)+SUMIF(CAL!J:N,B294,CAL!O:O)</f>
        <v>5</v>
      </c>
      <c r="H294" s="22" t="n">
        <f aca="false">SUMIF(CAL!B:F,B294,CAL!H:H)+SUMIF(CAL!J:N,B294,CAL!P:P)</f>
        <v>4</v>
      </c>
      <c r="I294" s="34" t="n">
        <f aca="false">IF(E294=0,0,(D294/(E294*3)))</f>
        <v>0.185185185185185</v>
      </c>
      <c r="J294" s="33" t="n">
        <f aca="false">SUMIF(CAL!B:C,B294,CAL!C:C)+SUMIF(CAL!J:J,B294,CAL!D:D)</f>
        <v>8</v>
      </c>
      <c r="K294" s="22" t="n">
        <f aca="false">SUMIF(CAL!B:D,B294,CAL!D:D)+SUMIF(CAL!J:L,B294,CAL!K:K)</f>
        <v>15</v>
      </c>
      <c r="L294" s="22" t="n">
        <f aca="false">J294-K294</f>
        <v>-7</v>
      </c>
      <c r="M294" s="35" t="n">
        <f aca="false">IF(E294=0,0,(J294/E294))</f>
        <v>0.888888888888889</v>
      </c>
      <c r="N294" s="35" t="n">
        <f aca="false">IF(E294=0,0,(K294/E294))</f>
        <v>1.66666666666667</v>
      </c>
      <c r="O294" s="22" t="n">
        <f aca="false">SUMIF(CAL!B:I,B294,CAL!I:I)+SUMIF(CAL!J:Q,B294,CAL!Q:Q)</f>
        <v>1</v>
      </c>
      <c r="P294" s="19"/>
      <c r="Q294" s="22"/>
      <c r="R294" s="22"/>
      <c r="S294" s="22"/>
      <c r="T294" s="22" t="s">
        <v>5928</v>
      </c>
      <c r="U294" s="22" t="s">
        <v>5476</v>
      </c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 customFormat="false" ht="12" hidden="false" customHeight="true" outlineLevel="0" collapsed="false">
      <c r="A295" s="31" t="n">
        <v>294</v>
      </c>
      <c r="B295" s="36" t="s">
        <v>309</v>
      </c>
      <c r="C295" s="32" t="s">
        <v>5929</v>
      </c>
      <c r="D295" s="22" t="n">
        <f aca="false">SUMIF(CAL!B:E,B295,CAL!E:E)+SUMIF(CAL!J:M,B295,CAL!M:M)</f>
        <v>14</v>
      </c>
      <c r="E295" s="33" t="n">
        <f aca="false">COUNTIF(CAL!B:J,B295)</f>
        <v>9</v>
      </c>
      <c r="F295" s="22" t="n">
        <f aca="false">SUMIF(CAL!B:F,B295,CAL!F:F)+SUMIF(CAL!J:N,B295,CAL!N:N)</f>
        <v>4</v>
      </c>
      <c r="G295" s="22" t="n">
        <f aca="false">SUMIF(CAL!B:F,B295,CAL!G:G)+SUMIF(CAL!J:N,B295,CAL!O:O)</f>
        <v>2</v>
      </c>
      <c r="H295" s="22" t="n">
        <f aca="false">SUMIF(CAL!B:F,B295,CAL!H:H)+SUMIF(CAL!J:N,B295,CAL!P:P)</f>
        <v>3</v>
      </c>
      <c r="I295" s="34" t="n">
        <f aca="false">IF(E295=0,0,(D295/(E295*3)))</f>
        <v>0.518518518518519</v>
      </c>
      <c r="J295" s="33" t="n">
        <f aca="false">SUMIF(CAL!B:C,B295,CAL!C:C)+SUMIF(CAL!J:J,B295,CAL!D:D)</f>
        <v>14</v>
      </c>
      <c r="K295" s="22" t="n">
        <f aca="false">SUMIF(CAL!B:D,B295,CAL!D:D)+SUMIF(CAL!J:L,B295,CAL!K:K)</f>
        <v>10</v>
      </c>
      <c r="L295" s="22" t="n">
        <f aca="false">J295-K295</f>
        <v>4</v>
      </c>
      <c r="M295" s="35" t="n">
        <f aca="false">IF(E295=0,0,(J295/E295))</f>
        <v>1.55555555555556</v>
      </c>
      <c r="N295" s="35" t="n">
        <f aca="false">IF(E295=0,0,(K295/E295))</f>
        <v>1.11111111111111</v>
      </c>
      <c r="O295" s="22" t="n">
        <f aca="false">SUMIF(CAL!B:I,B295,CAL!I:I)+SUMIF(CAL!J:Q,B295,CAL!Q:Q)</f>
        <v>2</v>
      </c>
      <c r="P295" s="19"/>
      <c r="Q295" s="22"/>
      <c r="R295" s="22"/>
      <c r="S295" s="22"/>
      <c r="T295" s="22" t="s">
        <v>5590</v>
      </c>
      <c r="U295" s="22" t="s">
        <v>5518</v>
      </c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 customFormat="false" ht="12" hidden="false" customHeight="true" outlineLevel="0" collapsed="false">
      <c r="A296" s="31" t="n">
        <v>295</v>
      </c>
      <c r="B296" s="37" t="s">
        <v>416</v>
      </c>
      <c r="C296" s="37" t="s">
        <v>5930</v>
      </c>
      <c r="D296" s="22" t="n">
        <f aca="false">SUMIF(CAL!B:E,B296,CAL!E:E)+SUMIF(CAL!J:M,B296,CAL!M:M)</f>
        <v>7</v>
      </c>
      <c r="E296" s="33" t="n">
        <f aca="false">COUNTIF(CAL!B:J,B296)</f>
        <v>6</v>
      </c>
      <c r="F296" s="22" t="n">
        <f aca="false">SUMIF(CAL!B:F,B296,CAL!F:F)+SUMIF(CAL!J:N,B296,CAL!N:N)</f>
        <v>1</v>
      </c>
      <c r="G296" s="22" t="n">
        <f aca="false">SUMIF(CAL!B:F,B296,CAL!G:G)+SUMIF(CAL!J:N,B296,CAL!O:O)</f>
        <v>4</v>
      </c>
      <c r="H296" s="22" t="n">
        <f aca="false">SUMIF(CAL!B:F,B296,CAL!H:H)+SUMIF(CAL!J:N,B296,CAL!P:P)</f>
        <v>1</v>
      </c>
      <c r="I296" s="34" t="n">
        <f aca="false">IF(E296=0,0,(D296/(E296*3)))</f>
        <v>0.388888888888889</v>
      </c>
      <c r="J296" s="33" t="n">
        <f aca="false">SUMIF(CAL!B:C,B296,CAL!C:C)+SUMIF(CAL!J:J,B296,CAL!D:D)</f>
        <v>12</v>
      </c>
      <c r="K296" s="22" t="n">
        <f aca="false">SUMIF(CAL!B:D,B296,CAL!D:D)+SUMIF(CAL!J:L,B296,CAL!K:K)</f>
        <v>10</v>
      </c>
      <c r="L296" s="22" t="n">
        <f aca="false">J296-K296</f>
        <v>2</v>
      </c>
      <c r="M296" s="35" t="n">
        <f aca="false">IF(E296=0,0,(J296/E296))</f>
        <v>2</v>
      </c>
      <c r="N296" s="35" t="n">
        <f aca="false">IF(E296=0,0,(K296/E296))</f>
        <v>1.66666666666667</v>
      </c>
      <c r="O296" s="22" t="n">
        <f aca="false">SUMIF(CAL!B:I,B296,CAL!I:I)+SUMIF(CAL!J:Q,B296,CAL!Q:Q)</f>
        <v>2</v>
      </c>
      <c r="P296" s="19"/>
      <c r="Q296" s="22"/>
      <c r="R296" s="22"/>
      <c r="S296" s="22"/>
      <c r="T296" s="22" t="s">
        <v>5931</v>
      </c>
      <c r="U296" s="22" t="s">
        <v>5434</v>
      </c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 customFormat="false" ht="12" hidden="false" customHeight="true" outlineLevel="0" collapsed="false">
      <c r="A297" s="31" t="n">
        <v>296</v>
      </c>
      <c r="B297" s="32" t="s">
        <v>335</v>
      </c>
      <c r="C297" s="32" t="s">
        <v>5932</v>
      </c>
      <c r="D297" s="22" t="n">
        <f aca="false">SUMIF(CAL!B:E,B297,CAL!E:E)+SUMIF(CAL!J:M,B297,CAL!M:M)</f>
        <v>16</v>
      </c>
      <c r="E297" s="33" t="n">
        <f aca="false">COUNTIF(CAL!B:J,B297)</f>
        <v>15</v>
      </c>
      <c r="F297" s="22" t="n">
        <f aca="false">SUMIF(CAL!B:F,B297,CAL!F:F)+SUMIF(CAL!J:N,B297,CAL!N:N)</f>
        <v>4</v>
      </c>
      <c r="G297" s="22" t="n">
        <f aca="false">SUMIF(CAL!B:F,B297,CAL!G:G)+SUMIF(CAL!J:N,B297,CAL!O:O)</f>
        <v>4</v>
      </c>
      <c r="H297" s="22" t="n">
        <f aca="false">SUMIF(CAL!B:F,B297,CAL!H:H)+SUMIF(CAL!J:N,B297,CAL!P:P)</f>
        <v>7</v>
      </c>
      <c r="I297" s="34" t="n">
        <f aca="false">IF(E297=0,0,(D297/(E297*3)))</f>
        <v>0.355555555555556</v>
      </c>
      <c r="J297" s="33" t="n">
        <f aca="false">SUMIF(CAL!B:C,B297,CAL!C:C)+SUMIF(CAL!J:J,B297,CAL!D:D)</f>
        <v>13</v>
      </c>
      <c r="K297" s="22" t="n">
        <f aca="false">SUMIF(CAL!B:D,B297,CAL!D:D)+SUMIF(CAL!J:L,B297,CAL!K:K)</f>
        <v>24</v>
      </c>
      <c r="L297" s="22" t="n">
        <f aca="false">J297-K297</f>
        <v>-11</v>
      </c>
      <c r="M297" s="35" t="n">
        <f aca="false">IF(E297=0,0,(J297/E297))</f>
        <v>0.866666666666667</v>
      </c>
      <c r="N297" s="35" t="n">
        <f aca="false">IF(E297=0,0,(K297/E297))</f>
        <v>1.6</v>
      </c>
      <c r="O297" s="22" t="n">
        <f aca="false">SUMIF(CAL!B:I,B297,CAL!I:I)+SUMIF(CAL!J:Q,B297,CAL!Q:Q)</f>
        <v>3</v>
      </c>
      <c r="P297" s="19"/>
      <c r="Q297" s="22"/>
      <c r="R297" s="22"/>
      <c r="S297" s="22"/>
      <c r="T297" s="22" t="s">
        <v>5933</v>
      </c>
      <c r="U297" s="22" t="s">
        <v>5450</v>
      </c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 customFormat="false" ht="12" hidden="false" customHeight="true" outlineLevel="0" collapsed="false">
      <c r="A298" s="31" t="n">
        <v>297</v>
      </c>
      <c r="B298" s="32" t="s">
        <v>337</v>
      </c>
      <c r="C298" s="32" t="s">
        <v>5934</v>
      </c>
      <c r="D298" s="22" t="n">
        <f aca="false">SUMIF(CAL!B:E,B298,CAL!E:E)+SUMIF(CAL!J:M,B298,CAL!M:M)</f>
        <v>25</v>
      </c>
      <c r="E298" s="33" t="n">
        <f aca="false">COUNTIF(CAL!B:J,B298)</f>
        <v>17</v>
      </c>
      <c r="F298" s="22" t="n">
        <f aca="false">SUMIF(CAL!B:F,B298,CAL!F:F)+SUMIF(CAL!J:N,B298,CAL!N:N)</f>
        <v>7</v>
      </c>
      <c r="G298" s="22" t="n">
        <f aca="false">SUMIF(CAL!B:F,B298,CAL!G:G)+SUMIF(CAL!J:N,B298,CAL!O:O)</f>
        <v>4</v>
      </c>
      <c r="H298" s="22" t="n">
        <f aca="false">SUMIF(CAL!B:F,B298,CAL!H:H)+SUMIF(CAL!J:N,B298,CAL!P:P)</f>
        <v>6</v>
      </c>
      <c r="I298" s="34" t="n">
        <f aca="false">IF(E298=0,0,(D298/(E298*3)))</f>
        <v>0.490196078431373</v>
      </c>
      <c r="J298" s="33" t="n">
        <f aca="false">SUMIF(CAL!B:C,B298,CAL!C:C)+SUMIF(CAL!J:J,B298,CAL!D:D)</f>
        <v>19</v>
      </c>
      <c r="K298" s="22" t="n">
        <f aca="false">SUMIF(CAL!B:D,B298,CAL!D:D)+SUMIF(CAL!J:L,B298,CAL!K:K)</f>
        <v>19</v>
      </c>
      <c r="L298" s="22" t="n">
        <f aca="false">J298-K298</f>
        <v>0</v>
      </c>
      <c r="M298" s="35" t="n">
        <f aca="false">IF(E298=0,0,(J298/E298))</f>
        <v>1.11764705882353</v>
      </c>
      <c r="N298" s="35" t="n">
        <f aca="false">IF(E298=0,0,(K298/E298))</f>
        <v>1.11764705882353</v>
      </c>
      <c r="O298" s="22" t="n">
        <f aca="false">SUMIF(CAL!B:I,B298,CAL!I:I)+SUMIF(CAL!J:Q,B298,CAL!Q:Q)</f>
        <v>4</v>
      </c>
      <c r="P298" s="19"/>
      <c r="Q298" s="22"/>
      <c r="R298" s="22"/>
      <c r="S298" s="22"/>
      <c r="T298" s="22" t="s">
        <v>5503</v>
      </c>
      <c r="U298" s="22" t="s">
        <v>5450</v>
      </c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 customFormat="false" ht="12" hidden="false" customHeight="true" outlineLevel="0" collapsed="false">
      <c r="A299" s="31" t="n">
        <v>298</v>
      </c>
      <c r="B299" s="32" t="s">
        <v>353</v>
      </c>
      <c r="C299" s="32" t="s">
        <v>5935</v>
      </c>
      <c r="D299" s="22" t="n">
        <f aca="false">SUMIF(CAL!B:E,B299,CAL!E:E)+SUMIF(CAL!J:M,B299,CAL!M:M)</f>
        <v>6</v>
      </c>
      <c r="E299" s="33" t="n">
        <f aca="false">COUNTIF(CAL!B:J,B299)</f>
        <v>8</v>
      </c>
      <c r="F299" s="22" t="n">
        <f aca="false">SUMIF(CAL!B:F,B299,CAL!F:F)+SUMIF(CAL!J:N,B299,CAL!N:N)</f>
        <v>2</v>
      </c>
      <c r="G299" s="22" t="n">
        <f aca="false">SUMIF(CAL!B:F,B299,CAL!G:G)+SUMIF(CAL!J:N,B299,CAL!O:O)</f>
        <v>0</v>
      </c>
      <c r="H299" s="22" t="n">
        <f aca="false">SUMIF(CAL!B:F,B299,CAL!H:H)+SUMIF(CAL!J:N,B299,CAL!P:P)</f>
        <v>6</v>
      </c>
      <c r="I299" s="34" t="n">
        <f aca="false">IF(E299=0,0,(D299/(E299*3)))</f>
        <v>0.25</v>
      </c>
      <c r="J299" s="33" t="n">
        <f aca="false">SUMIF(CAL!B:C,B299,CAL!C:C)+SUMIF(CAL!J:J,B299,CAL!D:D)</f>
        <v>7</v>
      </c>
      <c r="K299" s="22" t="n">
        <f aca="false">SUMIF(CAL!B:D,B299,CAL!D:D)+SUMIF(CAL!J:L,B299,CAL!K:K)</f>
        <v>17</v>
      </c>
      <c r="L299" s="22" t="n">
        <f aca="false">J299-K299</f>
        <v>-10</v>
      </c>
      <c r="M299" s="35" t="n">
        <f aca="false">IF(E299=0,0,(J299/E299))</f>
        <v>0.875</v>
      </c>
      <c r="N299" s="35" t="n">
        <f aca="false">IF(E299=0,0,(K299/E299))</f>
        <v>2.125</v>
      </c>
      <c r="O299" s="22" t="n">
        <f aca="false">SUMIF(CAL!B:I,B299,CAL!I:I)+SUMIF(CAL!J:Q,B299,CAL!Q:Q)</f>
        <v>1</v>
      </c>
      <c r="P299" s="19"/>
      <c r="Q299" s="22"/>
      <c r="R299" s="22"/>
      <c r="S299" s="22"/>
      <c r="T299" s="22" t="s">
        <v>5416</v>
      </c>
      <c r="U299" s="22" t="s">
        <v>5417</v>
      </c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 customFormat="false" ht="12" hidden="false" customHeight="true" outlineLevel="0" collapsed="false">
      <c r="A300" s="31" t="n">
        <v>299</v>
      </c>
      <c r="B300" s="32" t="s">
        <v>334</v>
      </c>
      <c r="C300" s="32" t="s">
        <v>5936</v>
      </c>
      <c r="D300" s="22" t="n">
        <f aca="false">SUMIF(CAL!B:E,B300,CAL!E:E)+SUMIF(CAL!J:M,B300,CAL!M:M)</f>
        <v>33</v>
      </c>
      <c r="E300" s="33" t="n">
        <f aca="false">COUNTIF(CAL!B:J,B300)</f>
        <v>17</v>
      </c>
      <c r="F300" s="22" t="n">
        <f aca="false">SUMIF(CAL!B:F,B300,CAL!F:F)+SUMIF(CAL!J:N,B300,CAL!N:N)</f>
        <v>9</v>
      </c>
      <c r="G300" s="22" t="n">
        <f aca="false">SUMIF(CAL!B:F,B300,CAL!G:G)+SUMIF(CAL!J:N,B300,CAL!O:O)</f>
        <v>6</v>
      </c>
      <c r="H300" s="22" t="n">
        <f aca="false">SUMIF(CAL!B:F,B300,CAL!H:H)+SUMIF(CAL!J:N,B300,CAL!P:P)</f>
        <v>2</v>
      </c>
      <c r="I300" s="34" t="n">
        <f aca="false">IF(E300=0,0,(D300/(E300*3)))</f>
        <v>0.647058823529412</v>
      </c>
      <c r="J300" s="33" t="n">
        <f aca="false">SUMIF(CAL!B:C,B300,CAL!C:C)+SUMIF(CAL!J:J,B300,CAL!D:D)</f>
        <v>27</v>
      </c>
      <c r="K300" s="22" t="n">
        <f aca="false">SUMIF(CAL!B:D,B300,CAL!D:D)+SUMIF(CAL!J:L,B300,CAL!K:K)</f>
        <v>13</v>
      </c>
      <c r="L300" s="22" t="n">
        <f aca="false">J300-K300</f>
        <v>14</v>
      </c>
      <c r="M300" s="35" t="n">
        <f aca="false">IF(E300=0,0,(J300/E300))</f>
        <v>1.58823529411765</v>
      </c>
      <c r="N300" s="35" t="n">
        <f aca="false">IF(E300=0,0,(K300/E300))</f>
        <v>0.764705882352941</v>
      </c>
      <c r="O300" s="22" t="n">
        <f aca="false">SUMIF(CAL!B:I,B300,CAL!I:I)+SUMIF(CAL!J:Q,B300,CAL!Q:Q)</f>
        <v>7</v>
      </c>
      <c r="P300" s="19"/>
      <c r="Q300" s="22"/>
      <c r="R300" s="22"/>
      <c r="S300" s="22"/>
      <c r="T300" s="22" t="s">
        <v>5937</v>
      </c>
      <c r="U300" s="22" t="s">
        <v>5450</v>
      </c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 customFormat="false" ht="12" hidden="false" customHeight="true" outlineLevel="0" collapsed="false">
      <c r="A301" s="31" t="n">
        <v>300</v>
      </c>
      <c r="B301" s="32" t="s">
        <v>329</v>
      </c>
      <c r="C301" s="32" t="s">
        <v>5938</v>
      </c>
      <c r="D301" s="22" t="n">
        <f aca="false">SUMIF(CAL!B:E,B301,CAL!E:E)+SUMIF(CAL!J:M,B301,CAL!M:M)</f>
        <v>15</v>
      </c>
      <c r="E301" s="33" t="n">
        <f aca="false">COUNTIF(CAL!B:J,B301)</f>
        <v>8</v>
      </c>
      <c r="F301" s="22" t="n">
        <f aca="false">SUMIF(CAL!B:F,B301,CAL!F:F)+SUMIF(CAL!J:N,B301,CAL!N:N)</f>
        <v>4</v>
      </c>
      <c r="G301" s="22" t="n">
        <f aca="false">SUMIF(CAL!B:F,B301,CAL!G:G)+SUMIF(CAL!J:N,B301,CAL!O:O)</f>
        <v>3</v>
      </c>
      <c r="H301" s="22" t="n">
        <f aca="false">SUMIF(CAL!B:F,B301,CAL!H:H)+SUMIF(CAL!J:N,B301,CAL!P:P)</f>
        <v>1</v>
      </c>
      <c r="I301" s="34" t="n">
        <f aca="false">IF(E301=0,0,(D301/(E301*3)))</f>
        <v>0.625</v>
      </c>
      <c r="J301" s="33" t="n">
        <f aca="false">SUMIF(CAL!B:C,B301,CAL!C:C)+SUMIF(CAL!J:J,B301,CAL!D:D)</f>
        <v>22</v>
      </c>
      <c r="K301" s="22" t="n">
        <f aca="false">SUMIF(CAL!B:D,B301,CAL!D:D)+SUMIF(CAL!J:L,B301,CAL!K:K)</f>
        <v>8</v>
      </c>
      <c r="L301" s="22" t="n">
        <f aca="false">J301-K301</f>
        <v>14</v>
      </c>
      <c r="M301" s="35" t="n">
        <f aca="false">IF(E301=0,0,(J301/E301))</f>
        <v>2.75</v>
      </c>
      <c r="N301" s="35" t="n">
        <f aca="false">IF(E301=0,0,(K301/E301))</f>
        <v>1</v>
      </c>
      <c r="O301" s="22" t="n">
        <f aca="false">SUMIF(CAL!B:I,B301,CAL!I:I)+SUMIF(CAL!J:Q,B301,CAL!Q:Q)</f>
        <v>3</v>
      </c>
      <c r="P301" s="19"/>
      <c r="Q301" s="22"/>
      <c r="R301" s="22"/>
      <c r="S301" s="22"/>
      <c r="T301" s="22" t="s">
        <v>5416</v>
      </c>
      <c r="U301" s="22" t="s">
        <v>5417</v>
      </c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 customFormat="false" ht="12" hidden="false" customHeight="true" outlineLevel="0" collapsed="false">
      <c r="A302" s="31" t="n">
        <v>301</v>
      </c>
      <c r="B302" s="37" t="s">
        <v>280</v>
      </c>
      <c r="C302" s="37" t="s">
        <v>5939</v>
      </c>
      <c r="D302" s="22" t="n">
        <f aca="false">SUMIF(CAL!B:E,B302,CAL!E:E)+SUMIF(CAL!J:M,B302,CAL!M:M)</f>
        <v>23</v>
      </c>
      <c r="E302" s="33" t="n">
        <f aca="false">COUNTIF(CAL!B:J,B302)</f>
        <v>16</v>
      </c>
      <c r="F302" s="22" t="n">
        <f aca="false">SUMIF(CAL!B:F,B302,CAL!F:F)+SUMIF(CAL!J:N,B302,CAL!N:N)</f>
        <v>6</v>
      </c>
      <c r="G302" s="22" t="n">
        <f aca="false">SUMIF(CAL!B:F,B302,CAL!G:G)+SUMIF(CAL!J:N,B302,CAL!O:O)</f>
        <v>5</v>
      </c>
      <c r="H302" s="22" t="n">
        <f aca="false">SUMIF(CAL!B:F,B302,CAL!H:H)+SUMIF(CAL!J:N,B302,CAL!P:P)</f>
        <v>5</v>
      </c>
      <c r="I302" s="34" t="n">
        <f aca="false">IF(E302=0,0,(D302/(E302*3)))</f>
        <v>0.479166666666667</v>
      </c>
      <c r="J302" s="33" t="n">
        <f aca="false">SUMIF(CAL!B:C,B302,CAL!C:C)+SUMIF(CAL!J:J,B302,CAL!D:D)</f>
        <v>17</v>
      </c>
      <c r="K302" s="22" t="n">
        <f aca="false">SUMIF(CAL!B:D,B302,CAL!D:D)+SUMIF(CAL!J:L,B302,CAL!K:K)</f>
        <v>13</v>
      </c>
      <c r="L302" s="22" t="n">
        <f aca="false">J302-K302</f>
        <v>4</v>
      </c>
      <c r="M302" s="35" t="n">
        <f aca="false">IF(E302=0,0,(J302/E302))</f>
        <v>1.0625</v>
      </c>
      <c r="N302" s="35" t="n">
        <f aca="false">IF(E302=0,0,(K302/E302))</f>
        <v>0.8125</v>
      </c>
      <c r="O302" s="22" t="n">
        <f aca="false">SUMIF(CAL!B:I,B302,CAL!I:I)+SUMIF(CAL!J:Q,B302,CAL!Q:Q)</f>
        <v>6</v>
      </c>
      <c r="P302" s="19"/>
      <c r="Q302" s="22"/>
      <c r="R302" s="22"/>
      <c r="S302" s="22"/>
      <c r="T302" s="22" t="s">
        <v>5611</v>
      </c>
      <c r="U302" s="22" t="s">
        <v>5428</v>
      </c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 customFormat="false" ht="12" hidden="false" customHeight="true" outlineLevel="0" collapsed="false">
      <c r="A303" s="31" t="n">
        <v>302</v>
      </c>
      <c r="B303" s="36" t="s">
        <v>184</v>
      </c>
      <c r="C303" s="32" t="s">
        <v>5940</v>
      </c>
      <c r="D303" s="22" t="n">
        <f aca="false">SUMIF(CAL!B:E,B303,CAL!E:E)+SUMIF(CAL!J:M,B303,CAL!M:M)</f>
        <v>21</v>
      </c>
      <c r="E303" s="33" t="n">
        <f aca="false">COUNTIF(CAL!B:J,B303)</f>
        <v>11</v>
      </c>
      <c r="F303" s="22" t="n">
        <f aca="false">SUMIF(CAL!B:F,B303,CAL!F:F)+SUMIF(CAL!J:N,B303,CAL!N:N)</f>
        <v>6</v>
      </c>
      <c r="G303" s="22" t="n">
        <f aca="false">SUMIF(CAL!B:F,B303,CAL!G:G)+SUMIF(CAL!J:N,B303,CAL!O:O)</f>
        <v>3</v>
      </c>
      <c r="H303" s="22" t="n">
        <f aca="false">SUMIF(CAL!B:F,B303,CAL!H:H)+SUMIF(CAL!J:N,B303,CAL!P:P)</f>
        <v>2</v>
      </c>
      <c r="I303" s="34" t="n">
        <f aca="false">IF(E303=0,0,(D303/(E303*3)))</f>
        <v>0.636363636363636</v>
      </c>
      <c r="J303" s="33" t="n">
        <f aca="false">SUMIF(CAL!B:C,B303,CAL!C:C)+SUMIF(CAL!J:J,B303,CAL!D:D)</f>
        <v>21</v>
      </c>
      <c r="K303" s="22" t="n">
        <f aca="false">SUMIF(CAL!B:D,B303,CAL!D:D)+SUMIF(CAL!J:L,B303,CAL!K:K)</f>
        <v>6</v>
      </c>
      <c r="L303" s="22" t="n">
        <f aca="false">J303-K303</f>
        <v>15</v>
      </c>
      <c r="M303" s="35" t="n">
        <f aca="false">IF(E303=0,0,(J303/E303))</f>
        <v>1.90909090909091</v>
      </c>
      <c r="N303" s="35" t="n">
        <f aca="false">IF(E303=0,0,(K303/E303))</f>
        <v>0.545454545454545</v>
      </c>
      <c r="O303" s="22" t="n">
        <f aca="false">SUMIF(CAL!B:I,B303,CAL!I:I)+SUMIF(CAL!J:Q,B303,CAL!Q:Q)</f>
        <v>6</v>
      </c>
      <c r="P303" s="19"/>
      <c r="Q303" s="22"/>
      <c r="R303" s="22"/>
      <c r="S303" s="22"/>
      <c r="T303" s="22" t="s">
        <v>5941</v>
      </c>
      <c r="U303" s="22" t="s">
        <v>5471</v>
      </c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 customFormat="false" ht="12" hidden="false" customHeight="true" outlineLevel="0" collapsed="false">
      <c r="A304" s="31" t="n">
        <v>303</v>
      </c>
      <c r="B304" s="37" t="s">
        <v>259</v>
      </c>
      <c r="C304" s="37" t="s">
        <v>5942</v>
      </c>
      <c r="D304" s="22" t="n">
        <f aca="false">SUMIF(CAL!B:E,B304,CAL!E:E)+SUMIF(CAL!J:M,B304,CAL!M:M)</f>
        <v>20</v>
      </c>
      <c r="E304" s="33" t="n">
        <f aca="false">COUNTIF(CAL!B:J,B304)</f>
        <v>10</v>
      </c>
      <c r="F304" s="22" t="n">
        <f aca="false">SUMIF(CAL!B:F,B304,CAL!F:F)+SUMIF(CAL!J:N,B304,CAL!N:N)</f>
        <v>6</v>
      </c>
      <c r="G304" s="22" t="n">
        <f aca="false">SUMIF(CAL!B:F,B304,CAL!G:G)+SUMIF(CAL!J:N,B304,CAL!O:O)</f>
        <v>2</v>
      </c>
      <c r="H304" s="22" t="n">
        <f aca="false">SUMIF(CAL!B:F,B304,CAL!H:H)+SUMIF(CAL!J:N,B304,CAL!P:P)</f>
        <v>2</v>
      </c>
      <c r="I304" s="34" t="n">
        <f aca="false">IF(E304=0,0,(D304/(E304*3)))</f>
        <v>0.666666666666667</v>
      </c>
      <c r="J304" s="33" t="n">
        <f aca="false">SUMIF(CAL!B:C,B304,CAL!C:C)+SUMIF(CAL!J:J,B304,CAL!D:D)</f>
        <v>17</v>
      </c>
      <c r="K304" s="22" t="n">
        <f aca="false">SUMIF(CAL!B:D,B304,CAL!D:D)+SUMIF(CAL!J:L,B304,CAL!K:K)</f>
        <v>7</v>
      </c>
      <c r="L304" s="22" t="n">
        <f aca="false">J304-K304</f>
        <v>10</v>
      </c>
      <c r="M304" s="35" t="n">
        <f aca="false">IF(E304=0,0,(J304/E304))</f>
        <v>1.7</v>
      </c>
      <c r="N304" s="35" t="n">
        <f aca="false">IF(E304=0,0,(K304/E304))</f>
        <v>0.7</v>
      </c>
      <c r="O304" s="22" t="n">
        <f aca="false">SUMIF(CAL!B:I,B304,CAL!I:I)+SUMIF(CAL!J:Q,B304,CAL!Q:Q)</f>
        <v>6</v>
      </c>
      <c r="P304" s="19"/>
      <c r="Q304" s="22"/>
      <c r="R304" s="22"/>
      <c r="S304" s="22"/>
      <c r="T304" s="22" t="s">
        <v>5590</v>
      </c>
      <c r="U304" s="22" t="s">
        <v>5518</v>
      </c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 customFormat="false" ht="12" hidden="false" customHeight="true" outlineLevel="0" collapsed="false">
      <c r="A305" s="31" t="n">
        <v>304</v>
      </c>
      <c r="B305" s="36" t="s">
        <v>212</v>
      </c>
      <c r="C305" s="32" t="s">
        <v>5943</v>
      </c>
      <c r="D305" s="22" t="n">
        <f aca="false">SUMIF(CAL!B:E,B305,CAL!E:E)+SUMIF(CAL!J:M,B305,CAL!M:M)</f>
        <v>6</v>
      </c>
      <c r="E305" s="33" t="n">
        <f aca="false">COUNTIF(CAL!B:J,B305)</f>
        <v>9</v>
      </c>
      <c r="F305" s="22" t="n">
        <f aca="false">SUMIF(CAL!B:F,B305,CAL!F:F)+SUMIF(CAL!J:N,B305,CAL!N:N)</f>
        <v>1</v>
      </c>
      <c r="G305" s="22" t="n">
        <f aca="false">SUMIF(CAL!B:F,B305,CAL!G:G)+SUMIF(CAL!J:N,B305,CAL!O:O)</f>
        <v>3</v>
      </c>
      <c r="H305" s="22" t="n">
        <f aca="false">SUMIF(CAL!B:F,B305,CAL!H:H)+SUMIF(CAL!J:N,B305,CAL!P:P)</f>
        <v>5</v>
      </c>
      <c r="I305" s="34" t="n">
        <f aca="false">IF(E305=0,0,(D305/(E305*3)))</f>
        <v>0.222222222222222</v>
      </c>
      <c r="J305" s="33" t="n">
        <f aca="false">SUMIF(CAL!B:C,B305,CAL!C:C)+SUMIF(CAL!J:J,B305,CAL!D:D)</f>
        <v>10</v>
      </c>
      <c r="K305" s="22" t="n">
        <f aca="false">SUMIF(CAL!B:D,B305,CAL!D:D)+SUMIF(CAL!J:L,B305,CAL!K:K)</f>
        <v>22</v>
      </c>
      <c r="L305" s="22" t="n">
        <f aca="false">J305-K305</f>
        <v>-12</v>
      </c>
      <c r="M305" s="35" t="n">
        <f aca="false">IF(E305=0,0,(J305/E305))</f>
        <v>1.11111111111111</v>
      </c>
      <c r="N305" s="35" t="n">
        <f aca="false">IF(E305=0,0,(K305/E305))</f>
        <v>2.44444444444444</v>
      </c>
      <c r="O305" s="22" t="n">
        <f aca="false">SUMIF(CAL!B:I,B305,CAL!I:I)+SUMIF(CAL!J:Q,B305,CAL!Q:Q)</f>
        <v>0</v>
      </c>
      <c r="P305" s="19"/>
      <c r="Q305" s="22"/>
      <c r="R305" s="22"/>
      <c r="S305" s="22"/>
      <c r="T305" s="22" t="s">
        <v>5393</v>
      </c>
      <c r="U305" s="22" t="s">
        <v>5394</v>
      </c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 customFormat="false" ht="12" hidden="false" customHeight="true" outlineLevel="0" collapsed="false">
      <c r="A306" s="31" t="n">
        <v>306</v>
      </c>
      <c r="B306" s="32" t="s">
        <v>345</v>
      </c>
      <c r="C306" s="32" t="s">
        <v>5944</v>
      </c>
      <c r="D306" s="22" t="n">
        <f aca="false">SUMIF(CAL!B:E,B306,CAL!E:E)+SUMIF(CAL!J:M,B306,CAL!M:M)</f>
        <v>7</v>
      </c>
      <c r="E306" s="33" t="n">
        <f aca="false">COUNTIF(CAL!B:J,B306)</f>
        <v>8</v>
      </c>
      <c r="F306" s="22" t="n">
        <f aca="false">SUMIF(CAL!B:F,B306,CAL!F:F)+SUMIF(CAL!J:N,B306,CAL!N:N)</f>
        <v>2</v>
      </c>
      <c r="G306" s="22" t="n">
        <f aca="false">SUMIF(CAL!B:F,B306,CAL!G:G)+SUMIF(CAL!J:N,B306,CAL!O:O)</f>
        <v>1</v>
      </c>
      <c r="H306" s="22" t="n">
        <f aca="false">SUMIF(CAL!B:F,B306,CAL!H:H)+SUMIF(CAL!J:N,B306,CAL!P:P)</f>
        <v>5</v>
      </c>
      <c r="I306" s="34" t="n">
        <f aca="false">IF(E306=0,0,(D306/(E306*3)))</f>
        <v>0.291666666666667</v>
      </c>
      <c r="J306" s="33" t="n">
        <f aca="false">SUMIF(CAL!B:C,B306,CAL!C:C)+SUMIF(CAL!J:J,B306,CAL!D:D)</f>
        <v>4</v>
      </c>
      <c r="K306" s="22" t="n">
        <f aca="false">SUMIF(CAL!B:D,B306,CAL!D:D)+SUMIF(CAL!J:L,B306,CAL!K:K)</f>
        <v>10</v>
      </c>
      <c r="L306" s="22" t="n">
        <f aca="false">J306-K306</f>
        <v>-6</v>
      </c>
      <c r="M306" s="35" t="n">
        <f aca="false">IF(E306=0,0,(J306/E306))</f>
        <v>0.5</v>
      </c>
      <c r="N306" s="35" t="n">
        <f aca="false">IF(E306=0,0,(K306/E306))</f>
        <v>1.25</v>
      </c>
      <c r="O306" s="22" t="n">
        <f aca="false">SUMIF(CAL!B:I,B306,CAL!I:I)+SUMIF(CAL!J:Q,B306,CAL!Q:Q)</f>
        <v>2</v>
      </c>
      <c r="P306" s="19"/>
      <c r="Q306" s="22"/>
      <c r="R306" s="22"/>
      <c r="S306" s="22"/>
      <c r="T306" s="22" t="s">
        <v>5493</v>
      </c>
      <c r="U306" s="22" t="s">
        <v>5447</v>
      </c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 customFormat="false" ht="12" hidden="false" customHeight="true" outlineLevel="0" collapsed="false">
      <c r="A307" s="31" t="n">
        <v>307</v>
      </c>
      <c r="B307" s="32" t="s">
        <v>239</v>
      </c>
      <c r="C307" s="32" t="s">
        <v>5945</v>
      </c>
      <c r="D307" s="22" t="n">
        <f aca="false">SUMIF(CAL!B:E,B307,CAL!E:E)+SUMIF(CAL!J:M,B307,CAL!M:M)</f>
        <v>15</v>
      </c>
      <c r="E307" s="33" t="n">
        <f aca="false">COUNTIF(CAL!B:J,B307)</f>
        <v>14</v>
      </c>
      <c r="F307" s="22" t="n">
        <f aca="false">SUMIF(CAL!B:F,B307,CAL!F:F)+SUMIF(CAL!J:N,B307,CAL!N:N)</f>
        <v>4</v>
      </c>
      <c r="G307" s="22" t="n">
        <f aca="false">SUMIF(CAL!B:F,B307,CAL!G:G)+SUMIF(CAL!J:N,B307,CAL!O:O)</f>
        <v>3</v>
      </c>
      <c r="H307" s="22" t="n">
        <f aca="false">SUMIF(CAL!B:F,B307,CAL!H:H)+SUMIF(CAL!J:N,B307,CAL!P:P)</f>
        <v>7</v>
      </c>
      <c r="I307" s="34" t="n">
        <f aca="false">IF(E307=0,0,(D307/(E307*3)))</f>
        <v>0.357142857142857</v>
      </c>
      <c r="J307" s="33" t="n">
        <f aca="false">SUMIF(CAL!B:C,B307,CAL!C:C)+SUMIF(CAL!J:J,B307,CAL!D:D)</f>
        <v>12</v>
      </c>
      <c r="K307" s="22" t="n">
        <f aca="false">SUMIF(CAL!B:D,B307,CAL!D:D)+SUMIF(CAL!J:L,B307,CAL!K:K)</f>
        <v>20</v>
      </c>
      <c r="L307" s="22" t="n">
        <f aca="false">J307-K307</f>
        <v>-8</v>
      </c>
      <c r="M307" s="35" t="n">
        <f aca="false">IF(E307=0,0,(J307/E307))</f>
        <v>0.857142857142857</v>
      </c>
      <c r="N307" s="35" t="n">
        <f aca="false">IF(E307=0,0,(K307/E307))</f>
        <v>1.42857142857143</v>
      </c>
      <c r="O307" s="22" t="n">
        <f aca="false">SUMIF(CAL!B:I,B307,CAL!I:I)+SUMIF(CAL!J:Q,B307,CAL!Q:Q)</f>
        <v>3</v>
      </c>
      <c r="P307" s="19"/>
      <c r="Q307" s="22"/>
      <c r="R307" s="22"/>
      <c r="S307" s="22"/>
      <c r="T307" s="22" t="s">
        <v>5946</v>
      </c>
      <c r="U307" s="22" t="s">
        <v>5450</v>
      </c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 customFormat="false" ht="12" hidden="false" customHeight="true" outlineLevel="0" collapsed="false">
      <c r="A308" s="31" t="n">
        <v>308</v>
      </c>
      <c r="B308" s="37" t="s">
        <v>390</v>
      </c>
      <c r="C308" s="37" t="s">
        <v>5947</v>
      </c>
      <c r="D308" s="22" t="n">
        <f aca="false">SUMIF(CAL!B:E,B308,CAL!E:E)+SUMIF(CAL!J:M,B308,CAL!M:M)</f>
        <v>21</v>
      </c>
      <c r="E308" s="33" t="n">
        <f aca="false">COUNTIF(CAL!B:J,B308)</f>
        <v>10</v>
      </c>
      <c r="F308" s="22" t="n">
        <f aca="false">SUMIF(CAL!B:F,B308,CAL!F:F)+SUMIF(CAL!J:N,B308,CAL!N:N)</f>
        <v>6</v>
      </c>
      <c r="G308" s="22" t="n">
        <f aca="false">SUMIF(CAL!B:F,B308,CAL!G:G)+SUMIF(CAL!J:N,B308,CAL!O:O)</f>
        <v>3</v>
      </c>
      <c r="H308" s="22" t="n">
        <f aca="false">SUMIF(CAL!B:F,B308,CAL!H:H)+SUMIF(CAL!J:N,B308,CAL!P:P)</f>
        <v>1</v>
      </c>
      <c r="I308" s="34" t="n">
        <f aca="false">IF(E308=0,0,(D308/(E308*3)))</f>
        <v>0.7</v>
      </c>
      <c r="J308" s="33" t="n">
        <f aca="false">SUMIF(CAL!B:C,B308,CAL!C:C)+SUMIF(CAL!J:J,B308,CAL!D:D)</f>
        <v>24</v>
      </c>
      <c r="K308" s="22" t="n">
        <f aca="false">SUMIF(CAL!B:D,B308,CAL!D:D)+SUMIF(CAL!J:L,B308,CAL!K:K)</f>
        <v>11</v>
      </c>
      <c r="L308" s="22" t="n">
        <f aca="false">J308-K308</f>
        <v>13</v>
      </c>
      <c r="M308" s="35" t="n">
        <f aca="false">IF(E308=0,0,(J308/E308))</f>
        <v>2.4</v>
      </c>
      <c r="N308" s="35" t="n">
        <f aca="false">IF(E308=0,0,(K308/E308))</f>
        <v>1.1</v>
      </c>
      <c r="O308" s="22" t="n">
        <f aca="false">SUMIF(CAL!B:I,B308,CAL!I:I)+SUMIF(CAL!J:Q,B308,CAL!Q:Q)</f>
        <v>2</v>
      </c>
      <c r="P308" s="19"/>
      <c r="Q308" s="22"/>
      <c r="R308" s="22"/>
      <c r="S308" s="22"/>
      <c r="T308" s="22" t="s">
        <v>5522</v>
      </c>
      <c r="U308" s="22" t="s">
        <v>5523</v>
      </c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 customFormat="false" ht="12" hidden="false" customHeight="true" outlineLevel="0" collapsed="false">
      <c r="A309" s="31" t="n">
        <v>309</v>
      </c>
      <c r="B309" s="32" t="s">
        <v>242</v>
      </c>
      <c r="C309" s="32" t="s">
        <v>5948</v>
      </c>
      <c r="D309" s="22" t="n">
        <f aca="false">SUMIF(CAL!B:E,B309,CAL!E:E)+SUMIF(CAL!J:M,B309,CAL!M:M)</f>
        <v>5</v>
      </c>
      <c r="E309" s="33" t="n">
        <f aca="false">COUNTIF(CAL!B:J,B309)</f>
        <v>14</v>
      </c>
      <c r="F309" s="22" t="n">
        <f aca="false">SUMIF(CAL!B:F,B309,CAL!F:F)+SUMIF(CAL!J:N,B309,CAL!N:N)</f>
        <v>1</v>
      </c>
      <c r="G309" s="22" t="n">
        <f aca="false">SUMIF(CAL!B:F,B309,CAL!G:G)+SUMIF(CAL!J:N,B309,CAL!O:O)</f>
        <v>2</v>
      </c>
      <c r="H309" s="22" t="n">
        <f aca="false">SUMIF(CAL!B:F,B309,CAL!H:H)+SUMIF(CAL!J:N,B309,CAL!P:P)</f>
        <v>11</v>
      </c>
      <c r="I309" s="34" t="n">
        <f aca="false">IF(E309=0,0,(D309/(E309*3)))</f>
        <v>0.119047619047619</v>
      </c>
      <c r="J309" s="33" t="n">
        <f aca="false">SUMIF(CAL!B:C,B309,CAL!C:C)+SUMIF(CAL!J:J,B309,CAL!D:D)</f>
        <v>6</v>
      </c>
      <c r="K309" s="22" t="n">
        <f aca="false">SUMIF(CAL!B:D,B309,CAL!D:D)+SUMIF(CAL!J:L,B309,CAL!K:K)</f>
        <v>21</v>
      </c>
      <c r="L309" s="22" t="n">
        <f aca="false">J309-K309</f>
        <v>-15</v>
      </c>
      <c r="M309" s="35" t="n">
        <f aca="false">IF(E309=0,0,(J309/E309))</f>
        <v>0.428571428571429</v>
      </c>
      <c r="N309" s="35" t="n">
        <f aca="false">IF(E309=0,0,(K309/E309))</f>
        <v>1.5</v>
      </c>
      <c r="O309" s="22" t="n">
        <f aca="false">SUMIF(CAL!B:I,B309,CAL!I:I)+SUMIF(CAL!J:Q,B309,CAL!Q:Q)</f>
        <v>3</v>
      </c>
      <c r="P309" s="19"/>
      <c r="Q309" s="22"/>
      <c r="R309" s="22"/>
      <c r="S309" s="22"/>
      <c r="T309" s="22" t="s">
        <v>5949</v>
      </c>
      <c r="U309" s="22" t="s">
        <v>5450</v>
      </c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 customFormat="false" ht="12" hidden="false" customHeight="true" outlineLevel="0" collapsed="false">
      <c r="A310" s="31" t="n">
        <v>310</v>
      </c>
      <c r="B310" s="32" t="s">
        <v>372</v>
      </c>
      <c r="C310" s="32" t="s">
        <v>5950</v>
      </c>
      <c r="D310" s="22" t="n">
        <f aca="false">SUMIF(CAL!B:E,B310,CAL!E:E)+SUMIF(CAL!J:M,B310,CAL!M:M)</f>
        <v>29</v>
      </c>
      <c r="E310" s="33" t="n">
        <f aca="false">COUNTIF(CAL!B:J,B310)</f>
        <v>15</v>
      </c>
      <c r="F310" s="22" t="n">
        <f aca="false">SUMIF(CAL!B:F,B310,CAL!F:F)+SUMIF(CAL!J:N,B310,CAL!N:N)</f>
        <v>9</v>
      </c>
      <c r="G310" s="22" t="n">
        <f aca="false">SUMIF(CAL!B:F,B310,CAL!G:G)+SUMIF(CAL!J:N,B310,CAL!O:O)</f>
        <v>2</v>
      </c>
      <c r="H310" s="22" t="n">
        <f aca="false">SUMIF(CAL!B:F,B310,CAL!H:H)+SUMIF(CAL!J:N,B310,CAL!P:P)</f>
        <v>4</v>
      </c>
      <c r="I310" s="34" t="n">
        <f aca="false">IF(E310=0,0,(D310/(E310*3)))</f>
        <v>0.644444444444445</v>
      </c>
      <c r="J310" s="33" t="n">
        <f aca="false">SUMIF(CAL!B:C,B310,CAL!C:C)+SUMIF(CAL!J:J,B310,CAL!D:D)</f>
        <v>23</v>
      </c>
      <c r="K310" s="22" t="n">
        <f aca="false">SUMIF(CAL!B:D,B310,CAL!D:D)+SUMIF(CAL!J:L,B310,CAL!K:K)</f>
        <v>14</v>
      </c>
      <c r="L310" s="22" t="n">
        <f aca="false">J310-K310</f>
        <v>9</v>
      </c>
      <c r="M310" s="35" t="n">
        <f aca="false">IF(E310=0,0,(J310/E310))</f>
        <v>1.53333333333333</v>
      </c>
      <c r="N310" s="35" t="n">
        <f aca="false">IF(E310=0,0,(K310/E310))</f>
        <v>0.933333333333333</v>
      </c>
      <c r="O310" s="22" t="n">
        <f aca="false">SUMIF(CAL!B:I,B310,CAL!I:I)+SUMIF(CAL!J:Q,B310,CAL!Q:Q)</f>
        <v>7</v>
      </c>
      <c r="P310" s="19"/>
      <c r="Q310" s="22"/>
      <c r="R310" s="22"/>
      <c r="S310" s="22"/>
      <c r="T310" s="22" t="s">
        <v>5951</v>
      </c>
      <c r="U310" s="22" t="s">
        <v>5450</v>
      </c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 customFormat="false" ht="12" hidden="false" customHeight="true" outlineLevel="0" collapsed="false">
      <c r="A311" s="31" t="n">
        <v>311</v>
      </c>
      <c r="B311" s="37" t="s">
        <v>373</v>
      </c>
      <c r="C311" s="37" t="s">
        <v>5952</v>
      </c>
      <c r="D311" s="22" t="n">
        <f aca="false">SUMIF(CAL!B:E,B311,CAL!E:E)+SUMIF(CAL!J:M,B311,CAL!M:M)</f>
        <v>27</v>
      </c>
      <c r="E311" s="33" t="n">
        <f aca="false">COUNTIF(CAL!B:J,B311)</f>
        <v>16</v>
      </c>
      <c r="F311" s="22" t="n">
        <f aca="false">SUMIF(CAL!B:F,B311,CAL!F:F)+SUMIF(CAL!J:N,B311,CAL!N:N)</f>
        <v>7</v>
      </c>
      <c r="G311" s="22" t="n">
        <f aca="false">SUMIF(CAL!B:F,B311,CAL!G:G)+SUMIF(CAL!J:N,B311,CAL!O:O)</f>
        <v>6</v>
      </c>
      <c r="H311" s="22" t="n">
        <f aca="false">SUMIF(CAL!B:F,B311,CAL!H:H)+SUMIF(CAL!J:N,B311,CAL!P:P)</f>
        <v>3</v>
      </c>
      <c r="I311" s="34" t="n">
        <f aca="false">IF(E311=0,0,(D311/(E311*3)))</f>
        <v>0.5625</v>
      </c>
      <c r="J311" s="33" t="n">
        <f aca="false">SUMIF(CAL!B:C,B311,CAL!C:C)+SUMIF(CAL!J:J,B311,CAL!D:D)</f>
        <v>21</v>
      </c>
      <c r="K311" s="22" t="n">
        <f aca="false">SUMIF(CAL!B:D,B311,CAL!D:D)+SUMIF(CAL!J:L,B311,CAL!K:K)</f>
        <v>14</v>
      </c>
      <c r="L311" s="22" t="n">
        <f aca="false">J311-K311</f>
        <v>7</v>
      </c>
      <c r="M311" s="35" t="n">
        <f aca="false">IF(E311=0,0,(J311/E311))</f>
        <v>1.3125</v>
      </c>
      <c r="N311" s="35" t="n">
        <f aca="false">IF(E311=0,0,(K311/E311))</f>
        <v>0.875</v>
      </c>
      <c r="O311" s="22" t="n">
        <f aca="false">SUMIF(CAL!B:I,B311,CAL!I:I)+SUMIF(CAL!J:Q,B311,CAL!Q:Q)</f>
        <v>5</v>
      </c>
      <c r="P311" s="19"/>
      <c r="Q311" s="22"/>
      <c r="R311" s="22"/>
      <c r="S311" s="22"/>
      <c r="T311" s="22" t="s">
        <v>5953</v>
      </c>
      <c r="U311" s="22" t="s">
        <v>5450</v>
      </c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 customFormat="false" ht="12" hidden="false" customHeight="true" outlineLevel="0" collapsed="false">
      <c r="A312" s="31" t="n">
        <v>312</v>
      </c>
      <c r="B312" s="32" t="s">
        <v>262</v>
      </c>
      <c r="C312" s="32" t="s">
        <v>5954</v>
      </c>
      <c r="D312" s="22" t="n">
        <f aca="false">SUMIF(CAL!B:E,B312,CAL!E:E)+SUMIF(CAL!J:M,B312,CAL!M:M)</f>
        <v>4</v>
      </c>
      <c r="E312" s="33" t="n">
        <f aca="false">COUNTIF(CAL!B:J,B312)</f>
        <v>7</v>
      </c>
      <c r="F312" s="22" t="n">
        <f aca="false">SUMIF(CAL!B:F,B312,CAL!F:F)+SUMIF(CAL!J:N,B312,CAL!N:N)</f>
        <v>1</v>
      </c>
      <c r="G312" s="22" t="n">
        <f aca="false">SUMIF(CAL!B:F,B312,CAL!G:G)+SUMIF(CAL!J:N,B312,CAL!O:O)</f>
        <v>1</v>
      </c>
      <c r="H312" s="22" t="n">
        <f aca="false">SUMIF(CAL!B:F,B312,CAL!H:H)+SUMIF(CAL!J:N,B312,CAL!P:P)</f>
        <v>5</v>
      </c>
      <c r="I312" s="34" t="n">
        <f aca="false">IF(E312=0,0,(D312/(E312*3)))</f>
        <v>0.19047619047619</v>
      </c>
      <c r="J312" s="33" t="n">
        <f aca="false">SUMIF(CAL!B:C,B312,CAL!C:C)+SUMIF(CAL!J:J,B312,CAL!D:D)</f>
        <v>4</v>
      </c>
      <c r="K312" s="22" t="n">
        <f aca="false">SUMIF(CAL!B:D,B312,CAL!D:D)+SUMIF(CAL!J:L,B312,CAL!K:K)</f>
        <v>26</v>
      </c>
      <c r="L312" s="22" t="n">
        <f aca="false">J312-K312</f>
        <v>-22</v>
      </c>
      <c r="M312" s="35" t="n">
        <f aca="false">IF(E312=0,0,(J312/E312))</f>
        <v>0.571428571428571</v>
      </c>
      <c r="N312" s="35" t="n">
        <f aca="false">IF(E312=0,0,(K312/E312))</f>
        <v>3.71428571428571</v>
      </c>
      <c r="O312" s="22" t="n">
        <f aca="false">SUMIF(CAL!B:I,B312,CAL!I:I)+SUMIF(CAL!J:Q,B312,CAL!Q:Q)</f>
        <v>1</v>
      </c>
      <c r="P312" s="19"/>
      <c r="Q312" s="22"/>
      <c r="R312" s="22"/>
      <c r="S312" s="22"/>
      <c r="T312" s="22" t="s">
        <v>5590</v>
      </c>
      <c r="U312" s="22" t="s">
        <v>5518</v>
      </c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 customFormat="false" ht="12" hidden="false" customHeight="true" outlineLevel="0" collapsed="false">
      <c r="A313" s="31" t="n">
        <v>313</v>
      </c>
      <c r="B313" s="32" t="s">
        <v>349</v>
      </c>
      <c r="C313" s="32" t="s">
        <v>5955</v>
      </c>
      <c r="D313" s="22" t="n">
        <f aca="false">SUMIF(CAL!B:E,B313,CAL!E:E)+SUMIF(CAL!J:M,B313,CAL!M:M)</f>
        <v>5</v>
      </c>
      <c r="E313" s="33" t="n">
        <f aca="false">COUNTIF(CAL!B:J,B313)</f>
        <v>6</v>
      </c>
      <c r="F313" s="22" t="n">
        <f aca="false">SUMIF(CAL!B:F,B313,CAL!F:F)+SUMIF(CAL!J:N,B313,CAL!N:N)</f>
        <v>1</v>
      </c>
      <c r="G313" s="22" t="n">
        <f aca="false">SUMIF(CAL!B:F,B313,CAL!G:G)+SUMIF(CAL!J:N,B313,CAL!O:O)</f>
        <v>2</v>
      </c>
      <c r="H313" s="22" t="n">
        <f aca="false">SUMIF(CAL!B:F,B313,CAL!H:H)+SUMIF(CAL!J:N,B313,CAL!P:P)</f>
        <v>3</v>
      </c>
      <c r="I313" s="34" t="n">
        <f aca="false">IF(E313=0,0,(D313/(E313*3)))</f>
        <v>0.277777777777778</v>
      </c>
      <c r="J313" s="33" t="n">
        <f aca="false">SUMIF(CAL!B:C,B313,CAL!C:C)+SUMIF(CAL!J:J,B313,CAL!D:D)</f>
        <v>4</v>
      </c>
      <c r="K313" s="22" t="n">
        <f aca="false">SUMIF(CAL!B:D,B313,CAL!D:D)+SUMIF(CAL!J:L,B313,CAL!K:K)</f>
        <v>5</v>
      </c>
      <c r="L313" s="22" t="n">
        <f aca="false">J313-K313</f>
        <v>-1</v>
      </c>
      <c r="M313" s="35" t="n">
        <f aca="false">IF(E313=0,0,(J313/E313))</f>
        <v>0.666666666666667</v>
      </c>
      <c r="N313" s="35" t="n">
        <f aca="false">IF(E313=0,0,(K313/E313))</f>
        <v>0.833333333333333</v>
      </c>
      <c r="O313" s="22" t="n">
        <f aca="false">SUMIF(CAL!B:I,B313,CAL!I:I)+SUMIF(CAL!J:Q,B313,CAL!Q:Q)</f>
        <v>2</v>
      </c>
      <c r="P313" s="19"/>
      <c r="Q313" s="22"/>
      <c r="R313" s="22"/>
      <c r="S313" s="22"/>
      <c r="T313" s="22" t="s">
        <v>1212</v>
      </c>
      <c r="U313" s="22" t="s">
        <v>5447</v>
      </c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 customFormat="false" ht="12" hidden="false" customHeight="true" outlineLevel="0" collapsed="false">
      <c r="A314" s="31" t="n">
        <v>314</v>
      </c>
      <c r="B314" s="37" t="s">
        <v>391</v>
      </c>
      <c r="C314" s="37" t="s">
        <v>5956</v>
      </c>
      <c r="D314" s="22" t="n">
        <f aca="false">SUMIF(CAL!B:E,B314,CAL!E:E)+SUMIF(CAL!J:M,B314,CAL!M:M)</f>
        <v>18</v>
      </c>
      <c r="E314" s="33" t="n">
        <f aca="false">COUNTIF(CAL!B:J,B314)</f>
        <v>10</v>
      </c>
      <c r="F314" s="22" t="n">
        <f aca="false">SUMIF(CAL!B:F,B314,CAL!F:F)+SUMIF(CAL!J:N,B314,CAL!N:N)</f>
        <v>5</v>
      </c>
      <c r="G314" s="22" t="n">
        <f aca="false">SUMIF(CAL!B:F,B314,CAL!G:G)+SUMIF(CAL!J:N,B314,CAL!O:O)</f>
        <v>3</v>
      </c>
      <c r="H314" s="22" t="n">
        <f aca="false">SUMIF(CAL!B:F,B314,CAL!H:H)+SUMIF(CAL!J:N,B314,CAL!P:P)</f>
        <v>2</v>
      </c>
      <c r="I314" s="34" t="n">
        <f aca="false">IF(E314=0,0,(D314/(E314*3)))</f>
        <v>0.6</v>
      </c>
      <c r="J314" s="33" t="n">
        <f aca="false">SUMIF(CAL!B:C,B314,CAL!C:C)+SUMIF(CAL!J:J,B314,CAL!D:D)</f>
        <v>15</v>
      </c>
      <c r="K314" s="22" t="n">
        <f aca="false">SUMIF(CAL!B:D,B314,CAL!D:D)+SUMIF(CAL!J:L,B314,CAL!K:K)</f>
        <v>15</v>
      </c>
      <c r="L314" s="22" t="n">
        <f aca="false">J314-K314</f>
        <v>0</v>
      </c>
      <c r="M314" s="35" t="n">
        <f aca="false">IF(E314=0,0,(J314/E314))</f>
        <v>1.5</v>
      </c>
      <c r="N314" s="35" t="n">
        <f aca="false">IF(E314=0,0,(K314/E314))</f>
        <v>1.5</v>
      </c>
      <c r="O314" s="22" t="n">
        <f aca="false">SUMIF(CAL!B:I,B314,CAL!I:I)+SUMIF(CAL!J:Q,B314,CAL!Q:Q)</f>
        <v>1</v>
      </c>
      <c r="P314" s="19"/>
      <c r="Q314" s="22"/>
      <c r="R314" s="22"/>
      <c r="S314" s="22"/>
      <c r="T314" s="22" t="s">
        <v>5522</v>
      </c>
      <c r="U314" s="22" t="s">
        <v>5523</v>
      </c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 customFormat="false" ht="12" hidden="false" customHeight="true" outlineLevel="0" collapsed="false">
      <c r="A315" s="31" t="n">
        <v>315</v>
      </c>
      <c r="B315" s="32" t="s">
        <v>241</v>
      </c>
      <c r="C315" s="32" t="s">
        <v>5957</v>
      </c>
      <c r="D315" s="22" t="n">
        <f aca="false">SUMIF(CAL!B:E,B315,CAL!E:E)+SUMIF(CAL!J:M,B315,CAL!M:M)</f>
        <v>33</v>
      </c>
      <c r="E315" s="33" t="n">
        <f aca="false">COUNTIF(CAL!B:J,B315)</f>
        <v>19</v>
      </c>
      <c r="F315" s="22" t="n">
        <f aca="false">SUMIF(CAL!B:F,B315,CAL!F:F)+SUMIF(CAL!J:N,B315,CAL!N:N)</f>
        <v>10</v>
      </c>
      <c r="G315" s="22" t="n">
        <f aca="false">SUMIF(CAL!B:F,B315,CAL!G:G)+SUMIF(CAL!J:N,B315,CAL!O:O)</f>
        <v>3</v>
      </c>
      <c r="H315" s="22" t="n">
        <f aca="false">SUMIF(CAL!B:F,B315,CAL!H:H)+SUMIF(CAL!J:N,B315,CAL!P:P)</f>
        <v>6</v>
      </c>
      <c r="I315" s="34" t="n">
        <f aca="false">IF(E315=0,0,(D315/(E315*3)))</f>
        <v>0.578947368421053</v>
      </c>
      <c r="J315" s="33" t="n">
        <f aca="false">SUMIF(CAL!B:C,B315,CAL!C:C)+SUMIF(CAL!J:J,B315,CAL!D:D)</f>
        <v>25</v>
      </c>
      <c r="K315" s="22" t="n">
        <f aca="false">SUMIF(CAL!B:D,B315,CAL!D:D)+SUMIF(CAL!J:L,B315,CAL!K:K)</f>
        <v>19</v>
      </c>
      <c r="L315" s="22" t="n">
        <f aca="false">J315-K315</f>
        <v>6</v>
      </c>
      <c r="M315" s="35" t="n">
        <f aca="false">IF(E315=0,0,(J315/E315))</f>
        <v>1.31578947368421</v>
      </c>
      <c r="N315" s="35" t="n">
        <f aca="false">IF(E315=0,0,(K315/E315))</f>
        <v>1</v>
      </c>
      <c r="O315" s="22" t="n">
        <f aca="false">SUMIF(CAL!B:I,B315,CAL!I:I)+SUMIF(CAL!J:Q,B315,CAL!Q:Q)</f>
        <v>5</v>
      </c>
      <c r="P315" s="19"/>
      <c r="Q315" s="22"/>
      <c r="R315" s="22"/>
      <c r="S315" s="22"/>
      <c r="T315" s="22" t="s">
        <v>5958</v>
      </c>
      <c r="U315" s="22" t="s">
        <v>5450</v>
      </c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 customFormat="false" ht="12" hidden="false" customHeight="true" outlineLevel="0" collapsed="false">
      <c r="A316" s="31" t="n">
        <v>316</v>
      </c>
      <c r="B316" s="32" t="s">
        <v>86</v>
      </c>
      <c r="C316" s="32" t="s">
        <v>5959</v>
      </c>
      <c r="D316" s="22" t="n">
        <f aca="false">SUMIF(CAL!B:E,B316,CAL!E:E)+SUMIF(CAL!J:M,B316,CAL!M:M)</f>
        <v>1</v>
      </c>
      <c r="E316" s="33" t="n">
        <f aca="false">COUNTIF(CAL!B:J,B316)</f>
        <v>7</v>
      </c>
      <c r="F316" s="22" t="n">
        <f aca="false">SUMIF(CAL!B:F,B316,CAL!F:F)+SUMIF(CAL!J:N,B316,CAL!N:N)</f>
        <v>0</v>
      </c>
      <c r="G316" s="22" t="n">
        <f aca="false">SUMIF(CAL!B:F,B316,CAL!G:G)+SUMIF(CAL!J:N,B316,CAL!O:O)</f>
        <v>1</v>
      </c>
      <c r="H316" s="22" t="n">
        <f aca="false">SUMIF(CAL!B:F,B316,CAL!H:H)+SUMIF(CAL!J:N,B316,CAL!P:P)</f>
        <v>6</v>
      </c>
      <c r="I316" s="34" t="n">
        <f aca="false">IF(E316=0,0,(D316/(E316*3)))</f>
        <v>0.0476190476190476</v>
      </c>
      <c r="J316" s="33" t="n">
        <f aca="false">SUMIF(CAL!B:C,B316,CAL!C:C)+SUMIF(CAL!J:J,B316,CAL!D:D)</f>
        <v>3</v>
      </c>
      <c r="K316" s="22" t="n">
        <f aca="false">SUMIF(CAL!B:D,B316,CAL!D:D)+SUMIF(CAL!J:L,B316,CAL!K:K)</f>
        <v>18</v>
      </c>
      <c r="L316" s="22" t="n">
        <f aca="false">J316-K316</f>
        <v>-15</v>
      </c>
      <c r="M316" s="35" t="n">
        <f aca="false">IF(E316=0,0,(J316/E316))</f>
        <v>0.428571428571429</v>
      </c>
      <c r="N316" s="35" t="n">
        <f aca="false">IF(E316=0,0,(K316/E316))</f>
        <v>2.57142857142857</v>
      </c>
      <c r="O316" s="22" t="n">
        <f aca="false">SUMIF(CAL!B:I,B316,CAL!I:I)+SUMIF(CAL!J:Q,B316,CAL!Q:Q)</f>
        <v>0</v>
      </c>
      <c r="P316" s="19"/>
      <c r="Q316" s="22"/>
      <c r="R316" s="22"/>
      <c r="S316" s="22"/>
      <c r="T316" s="22" t="s">
        <v>5410</v>
      </c>
      <c r="U316" s="22" t="s">
        <v>5411</v>
      </c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 customFormat="false" ht="12" hidden="false" customHeight="true" outlineLevel="0" collapsed="false">
      <c r="A317" s="31" t="n">
        <v>317</v>
      </c>
      <c r="B317" s="32" t="s">
        <v>344</v>
      </c>
      <c r="C317" s="32" t="s">
        <v>5960</v>
      </c>
      <c r="D317" s="22" t="n">
        <f aca="false">SUMIF(CAL!B:E,B317,CAL!E:E)+SUMIF(CAL!J:M,B317,CAL!M:M)</f>
        <v>6</v>
      </c>
      <c r="E317" s="33" t="n">
        <f aca="false">COUNTIF(CAL!B:J,B317)</f>
        <v>6</v>
      </c>
      <c r="F317" s="22" t="n">
        <f aca="false">SUMIF(CAL!B:F,B317,CAL!F:F)+SUMIF(CAL!J:N,B317,CAL!N:N)</f>
        <v>1</v>
      </c>
      <c r="G317" s="22" t="n">
        <f aca="false">SUMIF(CAL!B:F,B317,CAL!G:G)+SUMIF(CAL!J:N,B317,CAL!O:O)</f>
        <v>3</v>
      </c>
      <c r="H317" s="22" t="n">
        <f aca="false">SUMIF(CAL!B:F,B317,CAL!H:H)+SUMIF(CAL!J:N,B317,CAL!P:P)</f>
        <v>2</v>
      </c>
      <c r="I317" s="34" t="n">
        <f aca="false">IF(E317=0,0,(D317/(E317*3)))</f>
        <v>0.333333333333333</v>
      </c>
      <c r="J317" s="33" t="n">
        <f aca="false">SUMIF(CAL!B:C,B317,CAL!C:C)+SUMIF(CAL!J:J,B317,CAL!D:D)</f>
        <v>6</v>
      </c>
      <c r="K317" s="22" t="n">
        <f aca="false">SUMIF(CAL!B:D,B317,CAL!D:D)+SUMIF(CAL!J:L,B317,CAL!K:K)</f>
        <v>8</v>
      </c>
      <c r="L317" s="22" t="n">
        <f aca="false">J317-K317</f>
        <v>-2</v>
      </c>
      <c r="M317" s="35" t="n">
        <f aca="false">IF(E317=0,0,(J317/E317))</f>
        <v>1</v>
      </c>
      <c r="N317" s="35" t="n">
        <f aca="false">IF(E317=0,0,(K317/E317))</f>
        <v>1.33333333333333</v>
      </c>
      <c r="O317" s="22" t="n">
        <f aca="false">SUMIF(CAL!B:I,B317,CAL!I:I)+SUMIF(CAL!J:Q,B317,CAL!Q:Q)</f>
        <v>1</v>
      </c>
      <c r="P317" s="19"/>
      <c r="Q317" s="22"/>
      <c r="R317" s="22"/>
      <c r="S317" s="22"/>
      <c r="T317" s="22" t="s">
        <v>1212</v>
      </c>
      <c r="U317" s="22" t="s">
        <v>5447</v>
      </c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 customFormat="false" ht="12" hidden="false" customHeight="true" outlineLevel="0" collapsed="false">
      <c r="A318" s="31" t="n">
        <v>318</v>
      </c>
      <c r="B318" s="32" t="s">
        <v>246</v>
      </c>
      <c r="C318" s="32" t="s">
        <v>5961</v>
      </c>
      <c r="D318" s="22" t="n">
        <f aca="false">SUMIF(CAL!B:E,B318,CAL!E:E)+SUMIF(CAL!J:M,B318,CAL!M:M)</f>
        <v>26</v>
      </c>
      <c r="E318" s="33" t="n">
        <f aca="false">COUNTIF(CAL!B:J,B318)</f>
        <v>15</v>
      </c>
      <c r="F318" s="22" t="n">
        <f aca="false">SUMIF(CAL!B:F,B318,CAL!F:F)+SUMIF(CAL!J:N,B318,CAL!N:N)</f>
        <v>8</v>
      </c>
      <c r="G318" s="22" t="n">
        <f aca="false">SUMIF(CAL!B:F,B318,CAL!G:G)+SUMIF(CAL!J:N,B318,CAL!O:O)</f>
        <v>2</v>
      </c>
      <c r="H318" s="22" t="n">
        <f aca="false">SUMIF(CAL!B:F,B318,CAL!H:H)+SUMIF(CAL!J:N,B318,CAL!P:P)</f>
        <v>5</v>
      </c>
      <c r="I318" s="34" t="n">
        <f aca="false">IF(E318=0,0,(D318/(E318*3)))</f>
        <v>0.577777777777778</v>
      </c>
      <c r="J318" s="33" t="n">
        <f aca="false">SUMIF(CAL!B:C,B318,CAL!C:C)+SUMIF(CAL!J:J,B318,CAL!D:D)</f>
        <v>18</v>
      </c>
      <c r="K318" s="22" t="n">
        <f aca="false">SUMIF(CAL!B:D,B318,CAL!D:D)+SUMIF(CAL!J:L,B318,CAL!K:K)</f>
        <v>13</v>
      </c>
      <c r="L318" s="22" t="n">
        <f aca="false">J318-K318</f>
        <v>5</v>
      </c>
      <c r="M318" s="35" t="n">
        <f aca="false">IF(E318=0,0,(J318/E318))</f>
        <v>1.2</v>
      </c>
      <c r="N318" s="35" t="n">
        <f aca="false">IF(E318=0,0,(K318/E318))</f>
        <v>0.866666666666667</v>
      </c>
      <c r="O318" s="22" t="n">
        <f aca="false">SUMIF(CAL!B:I,B318,CAL!I:I)+SUMIF(CAL!J:Q,B318,CAL!Q:Q)</f>
        <v>7</v>
      </c>
      <c r="P318" s="19"/>
      <c r="Q318" s="22"/>
      <c r="R318" s="22"/>
      <c r="S318" s="22"/>
      <c r="T318" s="22" t="s">
        <v>5962</v>
      </c>
      <c r="U318" s="22" t="s">
        <v>5476</v>
      </c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 customFormat="false" ht="12" hidden="false" customHeight="true" outlineLevel="0" collapsed="false">
      <c r="A319" s="31" t="n">
        <v>319</v>
      </c>
      <c r="B319" s="32" t="s">
        <v>168</v>
      </c>
      <c r="C319" s="32" t="s">
        <v>5963</v>
      </c>
      <c r="D319" s="22" t="n">
        <f aca="false">SUMIF(CAL!B:E,B319,CAL!E:E)+SUMIF(CAL!J:M,B319,CAL!M:M)</f>
        <v>28</v>
      </c>
      <c r="E319" s="33" t="n">
        <f aca="false">COUNTIF(CAL!B:J,B319)</f>
        <v>20</v>
      </c>
      <c r="F319" s="22" t="n">
        <f aca="false">SUMIF(CAL!B:F,B319,CAL!F:F)+SUMIF(CAL!J:N,B319,CAL!N:N)</f>
        <v>8</v>
      </c>
      <c r="G319" s="22" t="n">
        <f aca="false">SUMIF(CAL!B:F,B319,CAL!G:G)+SUMIF(CAL!J:N,B319,CAL!O:O)</f>
        <v>4</v>
      </c>
      <c r="H319" s="22" t="n">
        <f aca="false">SUMIF(CAL!B:F,B319,CAL!H:H)+SUMIF(CAL!J:N,B319,CAL!P:P)</f>
        <v>8</v>
      </c>
      <c r="I319" s="34" t="n">
        <f aca="false">IF(E319=0,0,(D319/(E319*3)))</f>
        <v>0.466666666666667</v>
      </c>
      <c r="J319" s="33" t="n">
        <f aca="false">SUMIF(CAL!B:C,B319,CAL!C:C)+SUMIF(CAL!J:J,B319,CAL!D:D)</f>
        <v>23</v>
      </c>
      <c r="K319" s="22" t="n">
        <f aca="false">SUMIF(CAL!B:D,B319,CAL!D:D)+SUMIF(CAL!J:L,B319,CAL!K:K)</f>
        <v>27</v>
      </c>
      <c r="L319" s="22" t="n">
        <f aca="false">J319-K319</f>
        <v>-4</v>
      </c>
      <c r="M319" s="35" t="n">
        <f aca="false">IF(E319=0,0,(J319/E319))</f>
        <v>1.15</v>
      </c>
      <c r="N319" s="35" t="n">
        <f aca="false">IF(E319=0,0,(K319/E319))</f>
        <v>1.35</v>
      </c>
      <c r="O319" s="22" t="n">
        <f aca="false">SUMIF(CAL!B:I,B319,CAL!I:I)+SUMIF(CAL!J:Q,B319,CAL!Q:Q)</f>
        <v>6</v>
      </c>
      <c r="P319" s="19"/>
      <c r="Q319" s="22"/>
      <c r="R319" s="22"/>
      <c r="S319" s="22"/>
      <c r="T319" s="22" t="s">
        <v>5964</v>
      </c>
      <c r="U319" s="22" t="s">
        <v>5450</v>
      </c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 customFormat="false" ht="12" hidden="false" customHeight="true" outlineLevel="0" collapsed="false">
      <c r="A320" s="31" t="n">
        <v>320</v>
      </c>
      <c r="B320" s="32" t="s">
        <v>100</v>
      </c>
      <c r="C320" s="32" t="s">
        <v>5965</v>
      </c>
      <c r="D320" s="22" t="n">
        <f aca="false">SUMIF(CAL!B:E,B320,CAL!E:E)+SUMIF(CAL!J:M,B320,CAL!M:M)</f>
        <v>22</v>
      </c>
      <c r="E320" s="33" t="n">
        <f aca="false">COUNTIF(CAL!B:J,B320)</f>
        <v>12</v>
      </c>
      <c r="F320" s="22" t="n">
        <f aca="false">SUMIF(CAL!B:F,B320,CAL!F:F)+SUMIF(CAL!J:N,B320,CAL!N:N)</f>
        <v>6</v>
      </c>
      <c r="G320" s="22" t="n">
        <f aca="false">SUMIF(CAL!B:F,B320,CAL!G:G)+SUMIF(CAL!J:N,B320,CAL!O:O)</f>
        <v>4</v>
      </c>
      <c r="H320" s="22" t="n">
        <f aca="false">SUMIF(CAL!B:F,B320,CAL!H:H)+SUMIF(CAL!J:N,B320,CAL!P:P)</f>
        <v>2</v>
      </c>
      <c r="I320" s="34" t="n">
        <f aca="false">IF(E320=0,0,(D320/(E320*3)))</f>
        <v>0.611111111111111</v>
      </c>
      <c r="J320" s="33" t="n">
        <f aca="false">SUMIF(CAL!B:C,B320,CAL!C:C)+SUMIF(CAL!J:J,B320,CAL!D:D)</f>
        <v>12</v>
      </c>
      <c r="K320" s="22" t="n">
        <f aca="false">SUMIF(CAL!B:D,B320,CAL!D:D)+SUMIF(CAL!J:L,B320,CAL!K:K)</f>
        <v>8</v>
      </c>
      <c r="L320" s="22" t="n">
        <f aca="false">J320-K320</f>
        <v>4</v>
      </c>
      <c r="M320" s="35" t="n">
        <f aca="false">IF(E320=0,0,(J320/E320))</f>
        <v>1</v>
      </c>
      <c r="N320" s="35" t="n">
        <f aca="false">IF(E320=0,0,(K320/E320))</f>
        <v>0.666666666666667</v>
      </c>
      <c r="O320" s="22" t="n">
        <f aca="false">SUMIF(CAL!B:I,B320,CAL!I:I)+SUMIF(CAL!J:Q,B320,CAL!Q:Q)</f>
        <v>7</v>
      </c>
      <c r="P320" s="19"/>
      <c r="Q320" s="22"/>
      <c r="R320" s="22"/>
      <c r="S320" s="22"/>
      <c r="T320" s="22" t="s">
        <v>5966</v>
      </c>
      <c r="U320" s="22" t="s">
        <v>5471</v>
      </c>
      <c r="V320" s="12"/>
    </row>
    <row r="321" customFormat="false" ht="12" hidden="false" customHeight="true" outlineLevel="0" collapsed="false">
      <c r="A321" s="31" t="n">
        <v>322</v>
      </c>
      <c r="B321" s="32" t="s">
        <v>123</v>
      </c>
      <c r="C321" s="32" t="s">
        <v>5967</v>
      </c>
      <c r="D321" s="22" t="n">
        <f aca="false">SUMIF(CAL!B:E,B321,CAL!E:E)+SUMIF(CAL!J:M,B321,CAL!M:M)</f>
        <v>19</v>
      </c>
      <c r="E321" s="33" t="n">
        <f aca="false">COUNTIF(CAL!B:J,B321)</f>
        <v>12</v>
      </c>
      <c r="F321" s="22" t="n">
        <f aca="false">SUMIF(CAL!B:F,B321,CAL!F:F)+SUMIF(CAL!J:N,B321,CAL!N:N)</f>
        <v>5</v>
      </c>
      <c r="G321" s="22" t="n">
        <f aca="false">SUMIF(CAL!B:F,B321,CAL!G:G)+SUMIF(CAL!J:N,B321,CAL!O:O)</f>
        <v>4</v>
      </c>
      <c r="H321" s="22" t="n">
        <f aca="false">SUMIF(CAL!B:F,B321,CAL!H:H)+SUMIF(CAL!J:N,B321,CAL!P:P)</f>
        <v>3</v>
      </c>
      <c r="I321" s="34" t="n">
        <f aca="false">IF(E321=0,0,(D321/(E321*3)))</f>
        <v>0.527777777777778</v>
      </c>
      <c r="J321" s="33" t="n">
        <f aca="false">SUMIF(CAL!B:C,B321,CAL!C:C)+SUMIF(CAL!J:J,B321,CAL!D:D)</f>
        <v>9</v>
      </c>
      <c r="K321" s="22" t="n">
        <f aca="false">SUMIF(CAL!B:D,B321,CAL!D:D)+SUMIF(CAL!J:L,B321,CAL!K:K)</f>
        <v>6</v>
      </c>
      <c r="L321" s="22" t="n">
        <f aca="false">J321-K321</f>
        <v>3</v>
      </c>
      <c r="M321" s="35" t="n">
        <f aca="false">IF(E321=0,0,(J321/E321))</f>
        <v>0.75</v>
      </c>
      <c r="N321" s="35" t="n">
        <f aca="false">IF(E321=0,0,(K321/E321))</f>
        <v>0.5</v>
      </c>
      <c r="O321" s="22" t="n">
        <f aca="false">SUMIF(CAL!B:I,B321,CAL!I:I)+SUMIF(CAL!J:Q,B321,CAL!Q:Q)</f>
        <v>6</v>
      </c>
      <c r="P321" s="19"/>
      <c r="Q321" s="22"/>
      <c r="R321" s="22"/>
      <c r="S321" s="22"/>
      <c r="T321" s="22" t="s">
        <v>5968</v>
      </c>
      <c r="U321" s="22" t="s">
        <v>5431</v>
      </c>
      <c r="V321" s="12"/>
    </row>
    <row r="322" customFormat="false" ht="12" hidden="false" customHeight="true" outlineLevel="0" collapsed="false">
      <c r="A322" s="31" t="n">
        <v>323</v>
      </c>
      <c r="B322" s="32" t="s">
        <v>369</v>
      </c>
      <c r="C322" s="32" t="s">
        <v>5969</v>
      </c>
      <c r="D322" s="22" t="n">
        <f aca="false">SUMIF(CAL!B:E,B322,CAL!E:E)+SUMIF(CAL!J:M,B322,CAL!M:M)</f>
        <v>18</v>
      </c>
      <c r="E322" s="33" t="n">
        <f aca="false">COUNTIF(CAL!B:J,B322)</f>
        <v>15</v>
      </c>
      <c r="F322" s="22" t="n">
        <f aca="false">SUMIF(CAL!B:F,B322,CAL!F:F)+SUMIF(CAL!J:N,B322,CAL!N:N)</f>
        <v>4</v>
      </c>
      <c r="G322" s="22" t="n">
        <f aca="false">SUMIF(CAL!B:F,B322,CAL!G:G)+SUMIF(CAL!J:N,B322,CAL!O:O)</f>
        <v>6</v>
      </c>
      <c r="H322" s="22" t="n">
        <f aca="false">SUMIF(CAL!B:F,B322,CAL!H:H)+SUMIF(CAL!J:N,B322,CAL!P:P)</f>
        <v>5</v>
      </c>
      <c r="I322" s="34" t="n">
        <f aca="false">IF(E322=0,0,(D322/(E322*3)))</f>
        <v>0.4</v>
      </c>
      <c r="J322" s="33" t="n">
        <f aca="false">SUMIF(CAL!B:C,B322,CAL!C:C)+SUMIF(CAL!J:J,B322,CAL!D:D)</f>
        <v>12</v>
      </c>
      <c r="K322" s="22" t="n">
        <f aca="false">SUMIF(CAL!B:D,B322,CAL!D:D)+SUMIF(CAL!J:L,B322,CAL!K:K)</f>
        <v>10</v>
      </c>
      <c r="L322" s="22" t="n">
        <f aca="false">J322-K322</f>
        <v>2</v>
      </c>
      <c r="M322" s="35" t="n">
        <f aca="false">IF(E322=0,0,(J322/E322))</f>
        <v>0.8</v>
      </c>
      <c r="N322" s="35" t="n">
        <f aca="false">IF(E322=0,0,(K322/E322))</f>
        <v>0.666666666666667</v>
      </c>
      <c r="O322" s="22" t="n">
        <f aca="false">SUMIF(CAL!B:I,B322,CAL!I:I)+SUMIF(CAL!J:Q,B322,CAL!Q:Q)</f>
        <v>10</v>
      </c>
      <c r="P322" s="19"/>
      <c r="Q322" s="22"/>
      <c r="R322" s="22"/>
      <c r="S322" s="22"/>
      <c r="T322" s="22" t="s">
        <v>5970</v>
      </c>
      <c r="U322" s="22" t="s">
        <v>5450</v>
      </c>
      <c r="V322" s="12"/>
    </row>
    <row r="323" customFormat="false" ht="12" hidden="false" customHeight="true" outlineLevel="0" collapsed="false">
      <c r="A323" s="31" t="n">
        <v>324</v>
      </c>
      <c r="B323" s="32" t="s">
        <v>378</v>
      </c>
      <c r="C323" s="32" t="s">
        <v>5971</v>
      </c>
      <c r="D323" s="22" t="n">
        <f aca="false">SUMIF(CAL!B:E,B323,CAL!E:E)+SUMIF(CAL!J:M,B323,CAL!M:M)</f>
        <v>24</v>
      </c>
      <c r="E323" s="33" t="n">
        <f aca="false">COUNTIF(CAL!B:J,B323)</f>
        <v>15</v>
      </c>
      <c r="F323" s="22" t="n">
        <f aca="false">SUMIF(CAL!B:F,B323,CAL!F:F)+SUMIF(CAL!J:N,B323,CAL!N:N)</f>
        <v>7</v>
      </c>
      <c r="G323" s="22" t="n">
        <f aca="false">SUMIF(CAL!B:F,B323,CAL!G:G)+SUMIF(CAL!J:N,B323,CAL!O:O)</f>
        <v>3</v>
      </c>
      <c r="H323" s="22" t="n">
        <f aca="false">SUMIF(CAL!B:F,B323,CAL!H:H)+SUMIF(CAL!J:N,B323,CAL!P:P)</f>
        <v>5</v>
      </c>
      <c r="I323" s="34" t="n">
        <f aca="false">IF(E323=0,0,(D323/(E323*3)))</f>
        <v>0.533333333333333</v>
      </c>
      <c r="J323" s="33" t="n">
        <f aca="false">SUMIF(CAL!B:C,B323,CAL!C:C)+SUMIF(CAL!J:J,B323,CAL!D:D)</f>
        <v>20</v>
      </c>
      <c r="K323" s="22" t="n">
        <f aca="false">SUMIF(CAL!B:D,B323,CAL!D:D)+SUMIF(CAL!J:L,B323,CAL!K:K)</f>
        <v>13</v>
      </c>
      <c r="L323" s="22" t="n">
        <f aca="false">J323-K323</f>
        <v>7</v>
      </c>
      <c r="M323" s="35" t="n">
        <f aca="false">IF(E323=0,0,(J323/E323))</f>
        <v>1.33333333333333</v>
      </c>
      <c r="N323" s="35" t="n">
        <f aca="false">IF(E323=0,0,(K323/E323))</f>
        <v>0.866666666666667</v>
      </c>
      <c r="O323" s="22" t="n">
        <f aca="false">SUMIF(CAL!B:I,B323,CAL!I:I)+SUMIF(CAL!J:Q,B323,CAL!Q:Q)</f>
        <v>7</v>
      </c>
      <c r="P323" s="19"/>
      <c r="Q323" s="22"/>
      <c r="R323" s="22"/>
      <c r="S323" s="22"/>
      <c r="T323" s="22" t="s">
        <v>5972</v>
      </c>
      <c r="U323" s="22" t="s">
        <v>5450</v>
      </c>
      <c r="V323" s="12"/>
    </row>
    <row r="324" customFormat="false" ht="12" hidden="false" customHeight="true" outlineLevel="0" collapsed="false">
      <c r="A324" s="31" t="n">
        <v>325</v>
      </c>
      <c r="B324" s="32" t="s">
        <v>169</v>
      </c>
      <c r="C324" s="32" t="s">
        <v>5973</v>
      </c>
      <c r="D324" s="22" t="n">
        <f aca="false">SUMIF(CAL!B:E,B324,CAL!E:E)+SUMIF(CAL!J:M,B324,CAL!M:M)</f>
        <v>17</v>
      </c>
      <c r="E324" s="33" t="n">
        <f aca="false">COUNTIF(CAL!B:J,B324)</f>
        <v>15</v>
      </c>
      <c r="F324" s="22" t="n">
        <f aca="false">SUMIF(CAL!B:F,B324,CAL!F:F)+SUMIF(CAL!J:N,B324,CAL!N:N)</f>
        <v>3</v>
      </c>
      <c r="G324" s="22" t="n">
        <f aca="false">SUMIF(CAL!B:F,B324,CAL!G:G)+SUMIF(CAL!J:N,B324,CAL!O:O)</f>
        <v>8</v>
      </c>
      <c r="H324" s="22" t="n">
        <f aca="false">SUMIF(CAL!B:F,B324,CAL!H:H)+SUMIF(CAL!J:N,B324,CAL!P:P)</f>
        <v>4</v>
      </c>
      <c r="I324" s="34" t="n">
        <f aca="false">IF(E324=0,0,(D324/(E324*3)))</f>
        <v>0.377777777777778</v>
      </c>
      <c r="J324" s="33" t="n">
        <f aca="false">SUMIF(CAL!B:C,B324,CAL!C:C)+SUMIF(CAL!J:J,B324,CAL!D:D)</f>
        <v>22</v>
      </c>
      <c r="K324" s="22" t="n">
        <f aca="false">SUMIF(CAL!B:D,B324,CAL!D:D)+SUMIF(CAL!J:L,B324,CAL!K:K)</f>
        <v>23</v>
      </c>
      <c r="L324" s="22" t="n">
        <f aca="false">J324-K324</f>
        <v>-1</v>
      </c>
      <c r="M324" s="35" t="n">
        <f aca="false">IF(E324=0,0,(J324/E324))</f>
        <v>1.46666666666667</v>
      </c>
      <c r="N324" s="35" t="n">
        <f aca="false">IF(E324=0,0,(K324/E324))</f>
        <v>1.53333333333333</v>
      </c>
      <c r="O324" s="22" t="n">
        <f aca="false">SUMIF(CAL!B:I,B324,CAL!I:I)+SUMIF(CAL!J:Q,B324,CAL!Q:Q)</f>
        <v>1</v>
      </c>
      <c r="P324" s="19"/>
      <c r="Q324" s="22"/>
      <c r="R324" s="22"/>
      <c r="S324" s="22"/>
      <c r="T324" s="22" t="s">
        <v>5974</v>
      </c>
      <c r="U324" s="22" t="s">
        <v>5450</v>
      </c>
      <c r="V324" s="12"/>
    </row>
    <row r="325" customFormat="false" ht="12" hidden="false" customHeight="true" outlineLevel="0" collapsed="false">
      <c r="A325" s="31" t="n">
        <v>326</v>
      </c>
      <c r="B325" s="32" t="s">
        <v>206</v>
      </c>
      <c r="C325" s="32" t="s">
        <v>5975</v>
      </c>
      <c r="D325" s="22" t="n">
        <f aca="false">SUMIF(CAL!B:E,B325,CAL!E:E)+SUMIF(CAL!J:M,B325,CAL!M:M)</f>
        <v>8</v>
      </c>
      <c r="E325" s="33" t="n">
        <f aca="false">COUNTIF(CAL!B:J,B325)</f>
        <v>7</v>
      </c>
      <c r="F325" s="22" t="n">
        <f aca="false">SUMIF(CAL!B:F,B325,CAL!F:F)+SUMIF(CAL!J:N,B325,CAL!N:N)</f>
        <v>2</v>
      </c>
      <c r="G325" s="22" t="n">
        <f aca="false">SUMIF(CAL!B:F,B325,CAL!G:G)+SUMIF(CAL!J:N,B325,CAL!O:O)</f>
        <v>2</v>
      </c>
      <c r="H325" s="22" t="n">
        <f aca="false">SUMIF(CAL!B:F,B325,CAL!H:H)+SUMIF(CAL!J:N,B325,CAL!P:P)</f>
        <v>3</v>
      </c>
      <c r="I325" s="34" t="n">
        <f aca="false">IF(E325=0,0,(D325/(E325*3)))</f>
        <v>0.380952380952381</v>
      </c>
      <c r="J325" s="33" t="n">
        <f aca="false">SUMIF(CAL!B:C,B325,CAL!C:C)+SUMIF(CAL!J:J,B325,CAL!D:D)</f>
        <v>5</v>
      </c>
      <c r="K325" s="22" t="n">
        <f aca="false">SUMIF(CAL!B:D,B325,CAL!D:D)+SUMIF(CAL!J:L,B325,CAL!K:K)</f>
        <v>7</v>
      </c>
      <c r="L325" s="22" t="n">
        <f aca="false">J325-K325</f>
        <v>-2</v>
      </c>
      <c r="M325" s="35" t="n">
        <f aca="false">IF(E325=0,0,(J325/E325))</f>
        <v>0.714285714285714</v>
      </c>
      <c r="N325" s="35" t="n">
        <f aca="false">IF(E325=0,0,(K325/E325))</f>
        <v>1</v>
      </c>
      <c r="O325" s="22" t="n">
        <f aca="false">SUMIF(CAL!B:I,B325,CAL!I:I)+SUMIF(CAL!J:Q,B325,CAL!Q:Q)</f>
        <v>1</v>
      </c>
      <c r="P325" s="19"/>
      <c r="Q325" s="22"/>
      <c r="R325" s="22"/>
      <c r="S325" s="22"/>
      <c r="T325" s="22" t="s">
        <v>5460</v>
      </c>
      <c r="U325" s="22" t="s">
        <v>5391</v>
      </c>
      <c r="V325" s="12"/>
    </row>
    <row r="326" customFormat="false" ht="12" hidden="false" customHeight="true" outlineLevel="0" collapsed="false">
      <c r="A326" s="31" t="n">
        <v>327</v>
      </c>
      <c r="B326" s="37" t="s">
        <v>415</v>
      </c>
      <c r="C326" s="37" t="s">
        <v>5976</v>
      </c>
      <c r="D326" s="22" t="n">
        <f aca="false">SUMIF(CAL!B:E,B326,CAL!E:E)+SUMIF(CAL!J:M,B326,CAL!M:M)</f>
        <v>6</v>
      </c>
      <c r="E326" s="33" t="n">
        <f aca="false">COUNTIF(CAL!B:J,B326)</f>
        <v>7</v>
      </c>
      <c r="F326" s="22" t="n">
        <f aca="false">SUMIF(CAL!B:F,B326,CAL!F:F)+SUMIF(CAL!J:N,B326,CAL!N:N)</f>
        <v>1</v>
      </c>
      <c r="G326" s="22" t="n">
        <f aca="false">SUMIF(CAL!B:F,B326,CAL!G:G)+SUMIF(CAL!J:N,B326,CAL!O:O)</f>
        <v>3</v>
      </c>
      <c r="H326" s="22" t="n">
        <f aca="false">SUMIF(CAL!B:F,B326,CAL!H:H)+SUMIF(CAL!J:N,B326,CAL!P:P)</f>
        <v>3</v>
      </c>
      <c r="I326" s="34" t="n">
        <f aca="false">IF(E326=0,0,(D326/(E326*3)))</f>
        <v>0.285714285714286</v>
      </c>
      <c r="J326" s="33" t="n">
        <f aca="false">SUMIF(CAL!B:C,B326,CAL!C:C)+SUMIF(CAL!J:J,B326,CAL!D:D)</f>
        <v>5</v>
      </c>
      <c r="K326" s="22" t="n">
        <f aca="false">SUMIF(CAL!B:D,B326,CAL!D:D)+SUMIF(CAL!J:L,B326,CAL!K:K)</f>
        <v>10</v>
      </c>
      <c r="L326" s="22" t="n">
        <f aca="false">J326-K326</f>
        <v>-5</v>
      </c>
      <c r="M326" s="35" t="n">
        <f aca="false">IF(E326=0,0,(J326/E326))</f>
        <v>0.714285714285714</v>
      </c>
      <c r="N326" s="35" t="n">
        <f aca="false">IF(E326=0,0,(K326/E326))</f>
        <v>1.42857142857143</v>
      </c>
      <c r="O326" s="22" t="n">
        <f aca="false">SUMIF(CAL!B:I,B326,CAL!I:I)+SUMIF(CAL!J:Q,B326,CAL!Q:Q)</f>
        <v>2</v>
      </c>
      <c r="P326" s="19"/>
      <c r="Q326" s="22"/>
      <c r="R326" s="22"/>
      <c r="S326" s="22"/>
      <c r="T326" s="22" t="s">
        <v>5977</v>
      </c>
      <c r="U326" s="22" t="s">
        <v>5434</v>
      </c>
      <c r="V326" s="12"/>
    </row>
    <row r="327" customFormat="false" ht="12" hidden="false" customHeight="true" outlineLevel="0" collapsed="false">
      <c r="A327" s="31" t="n">
        <v>328</v>
      </c>
      <c r="B327" s="32" t="s">
        <v>191</v>
      </c>
      <c r="C327" s="32" t="s">
        <v>5978</v>
      </c>
      <c r="D327" s="22" t="n">
        <f aca="false">SUMIF(CAL!B:E,B327,CAL!E:E)+SUMIF(CAL!J:M,B327,CAL!M:M)</f>
        <v>10</v>
      </c>
      <c r="E327" s="33" t="n">
        <f aca="false">COUNTIF(CAL!B:J,B327)</f>
        <v>9</v>
      </c>
      <c r="F327" s="22" t="n">
        <f aca="false">SUMIF(CAL!B:F,B327,CAL!F:F)+SUMIF(CAL!J:N,B327,CAL!N:N)</f>
        <v>2</v>
      </c>
      <c r="G327" s="22" t="n">
        <f aca="false">SUMIF(CAL!B:F,B327,CAL!G:G)+SUMIF(CAL!J:N,B327,CAL!O:O)</f>
        <v>4</v>
      </c>
      <c r="H327" s="22" t="n">
        <f aca="false">SUMIF(CAL!B:F,B327,CAL!H:H)+SUMIF(CAL!J:N,B327,CAL!P:P)</f>
        <v>3</v>
      </c>
      <c r="I327" s="34" t="n">
        <f aca="false">IF(E327=0,0,(D327/(E327*3)))</f>
        <v>0.37037037037037</v>
      </c>
      <c r="J327" s="33" t="n">
        <f aca="false">SUMIF(CAL!B:C,B327,CAL!C:C)+SUMIF(CAL!J:J,B327,CAL!D:D)</f>
        <v>11</v>
      </c>
      <c r="K327" s="22" t="n">
        <f aca="false">SUMIF(CAL!B:D,B327,CAL!D:D)+SUMIF(CAL!J:L,B327,CAL!K:K)</f>
        <v>13</v>
      </c>
      <c r="L327" s="22" t="n">
        <f aca="false">J327-K327</f>
        <v>-2</v>
      </c>
      <c r="M327" s="35" t="n">
        <f aca="false">IF(E327=0,0,(J327/E327))</f>
        <v>1.22222222222222</v>
      </c>
      <c r="N327" s="35" t="n">
        <f aca="false">IF(E327=0,0,(K327/E327))</f>
        <v>1.44444444444444</v>
      </c>
      <c r="O327" s="22" t="n">
        <f aca="false">SUMIF(CAL!B:I,B327,CAL!I:I)+SUMIF(CAL!J:Q,B327,CAL!Q:Q)</f>
        <v>2</v>
      </c>
      <c r="P327" s="19"/>
      <c r="Q327" s="22"/>
      <c r="R327" s="22"/>
      <c r="S327" s="22"/>
      <c r="T327" s="22" t="s">
        <v>5979</v>
      </c>
      <c r="U327" s="22" t="s">
        <v>5465</v>
      </c>
      <c r="V327" s="12"/>
    </row>
    <row r="328" customFormat="false" ht="12" hidden="false" customHeight="true" outlineLevel="0" collapsed="false">
      <c r="A328" s="31" t="n">
        <v>329</v>
      </c>
      <c r="B328" s="32" t="s">
        <v>340</v>
      </c>
      <c r="C328" s="32" t="s">
        <v>5980</v>
      </c>
      <c r="D328" s="22" t="n">
        <f aca="false">SUMIF(CAL!B:E,B328,CAL!E:E)+SUMIF(CAL!J:M,B328,CAL!M:M)</f>
        <v>13</v>
      </c>
      <c r="E328" s="33" t="n">
        <f aca="false">COUNTIF(CAL!B:J,B328)</f>
        <v>9</v>
      </c>
      <c r="F328" s="22" t="n">
        <f aca="false">SUMIF(CAL!B:F,B328,CAL!F:F)+SUMIF(CAL!J:N,B328,CAL!N:N)</f>
        <v>4</v>
      </c>
      <c r="G328" s="22" t="n">
        <f aca="false">SUMIF(CAL!B:F,B328,CAL!G:G)+SUMIF(CAL!J:N,B328,CAL!O:O)</f>
        <v>1</v>
      </c>
      <c r="H328" s="22" t="n">
        <f aca="false">SUMIF(CAL!B:F,B328,CAL!H:H)+SUMIF(CAL!J:N,B328,CAL!P:P)</f>
        <v>4</v>
      </c>
      <c r="I328" s="34" t="n">
        <f aca="false">IF(E328=0,0,(D328/(E328*3)))</f>
        <v>0.481481481481481</v>
      </c>
      <c r="J328" s="33" t="n">
        <f aca="false">SUMIF(CAL!B:C,B328,CAL!C:C)+SUMIF(CAL!J:J,B328,CAL!D:D)</f>
        <v>13</v>
      </c>
      <c r="K328" s="22" t="n">
        <f aca="false">SUMIF(CAL!B:D,B328,CAL!D:D)+SUMIF(CAL!J:L,B328,CAL!K:K)</f>
        <v>10</v>
      </c>
      <c r="L328" s="22" t="n">
        <f aca="false">J328-K328</f>
        <v>3</v>
      </c>
      <c r="M328" s="35" t="n">
        <f aca="false">IF(E328=0,0,(J328/E328))</f>
        <v>1.44444444444444</v>
      </c>
      <c r="N328" s="35" t="n">
        <f aca="false">IF(E328=0,0,(K328/E328))</f>
        <v>1.11111111111111</v>
      </c>
      <c r="O328" s="22" t="n">
        <f aca="false">SUMIF(CAL!B:I,B328,CAL!I:I)+SUMIF(CAL!J:Q,B328,CAL!Q:Q)</f>
        <v>3</v>
      </c>
      <c r="P328" s="19"/>
      <c r="Q328" s="22"/>
      <c r="R328" s="22"/>
      <c r="S328" s="22"/>
      <c r="T328" s="22" t="s">
        <v>5981</v>
      </c>
      <c r="U328" s="22" t="s">
        <v>5616</v>
      </c>
      <c r="V328" s="12"/>
    </row>
    <row r="329" customFormat="false" ht="12.75" hidden="false" customHeight="true" outlineLevel="0" collapsed="false">
      <c r="A329" s="31" t="n">
        <v>330</v>
      </c>
      <c r="B329" s="32" t="s">
        <v>336</v>
      </c>
      <c r="C329" s="32" t="s">
        <v>5982</v>
      </c>
      <c r="D329" s="22" t="n">
        <f aca="false">SUMIF(CAL!B:E,B329,CAL!E:E)+SUMIF(CAL!J:M,B329,CAL!M:M)</f>
        <v>25</v>
      </c>
      <c r="E329" s="33" t="n">
        <f aca="false">COUNTIF(CAL!B:J,B329)</f>
        <v>17</v>
      </c>
      <c r="F329" s="22" t="n">
        <f aca="false">SUMIF(CAL!B:F,B329,CAL!F:F)+SUMIF(CAL!J:N,B329,CAL!N:N)</f>
        <v>6</v>
      </c>
      <c r="G329" s="22" t="n">
        <f aca="false">SUMIF(CAL!B:F,B329,CAL!G:G)+SUMIF(CAL!J:N,B329,CAL!O:O)</f>
        <v>7</v>
      </c>
      <c r="H329" s="22" t="n">
        <f aca="false">SUMIF(CAL!B:F,B329,CAL!H:H)+SUMIF(CAL!J:N,B329,CAL!P:P)</f>
        <v>4</v>
      </c>
      <c r="I329" s="34" t="n">
        <f aca="false">IF(E329=0,0,(D329/(E329*3)))</f>
        <v>0.490196078431373</v>
      </c>
      <c r="J329" s="33" t="n">
        <f aca="false">SUMIF(CAL!B:C,B329,CAL!C:C)+SUMIF(CAL!J:J,B329,CAL!D:D)</f>
        <v>16</v>
      </c>
      <c r="K329" s="22" t="n">
        <f aca="false">SUMIF(CAL!B:D,B329,CAL!D:D)+SUMIF(CAL!J:L,B329,CAL!K:K)</f>
        <v>17</v>
      </c>
      <c r="L329" s="22" t="n">
        <f aca="false">J329-K329</f>
        <v>-1</v>
      </c>
      <c r="M329" s="35" t="n">
        <f aca="false">IF(E329=0,0,(J329/E329))</f>
        <v>0.941176470588235</v>
      </c>
      <c r="N329" s="35" t="n">
        <f aca="false">IF(E329=0,0,(K329/E329))</f>
        <v>1</v>
      </c>
      <c r="O329" s="22" t="n">
        <f aca="false">SUMIF(CAL!B:I,B329,CAL!I:I)+SUMIF(CAL!J:Q,B329,CAL!Q:Q)</f>
        <v>6</v>
      </c>
      <c r="P329" s="19"/>
      <c r="Q329" s="22"/>
      <c r="R329" s="22"/>
      <c r="S329" s="22"/>
      <c r="T329" s="22" t="s">
        <v>5983</v>
      </c>
      <c r="U329" s="22" t="s">
        <v>5450</v>
      </c>
      <c r="V329" s="12"/>
    </row>
    <row r="330" customFormat="false" ht="12.75" hidden="false" customHeight="true" outlineLevel="0" collapsed="false">
      <c r="A330" s="31" t="n">
        <v>331</v>
      </c>
      <c r="B330" s="38" t="s">
        <v>282</v>
      </c>
      <c r="C330" s="37" t="s">
        <v>5984</v>
      </c>
      <c r="D330" s="22" t="n">
        <f aca="false">SUMIF(CAL!B:E,B330,CAL!E:E)+SUMIF(CAL!J:M,B330,CAL!M:M)</f>
        <v>1</v>
      </c>
      <c r="E330" s="33" t="n">
        <f aca="false">COUNTIF(CAL!B:J,B330)</f>
        <v>12</v>
      </c>
      <c r="F330" s="22" t="n">
        <f aca="false">SUMIF(CAL!B:F,B330,CAL!F:F)+SUMIF(CAL!J:N,B330,CAL!N:N)</f>
        <v>0</v>
      </c>
      <c r="G330" s="22" t="n">
        <f aca="false">SUMIF(CAL!B:F,B330,CAL!G:G)+SUMIF(CAL!J:N,B330,CAL!O:O)</f>
        <v>1</v>
      </c>
      <c r="H330" s="22" t="n">
        <f aca="false">SUMIF(CAL!B:F,B330,CAL!H:H)+SUMIF(CAL!J:N,B330,CAL!P:P)</f>
        <v>11</v>
      </c>
      <c r="I330" s="34" t="n">
        <f aca="false">IF(E330=0,0,(D330/(E330*3)))</f>
        <v>0.0277777777777778</v>
      </c>
      <c r="J330" s="33" t="n">
        <f aca="false">SUMIF(CAL!B:C,B330,CAL!C:C)+SUMIF(CAL!J:J,B330,CAL!D:D)</f>
        <v>6</v>
      </c>
      <c r="K330" s="22" t="n">
        <f aca="false">SUMIF(CAL!B:D,B330,CAL!D:D)+SUMIF(CAL!J:L,B330,CAL!K:K)</f>
        <v>32</v>
      </c>
      <c r="L330" s="22" t="n">
        <f aca="false">J330-K330</f>
        <v>-26</v>
      </c>
      <c r="M330" s="35" t="n">
        <f aca="false">IF(E330=0,0,(J330/E330))</f>
        <v>0.5</v>
      </c>
      <c r="N330" s="35" t="n">
        <f aca="false">IF(E330=0,0,(K330/E330))</f>
        <v>2.66666666666667</v>
      </c>
      <c r="O330" s="22" t="n">
        <f aca="false">SUMIF(CAL!B:I,B330,CAL!I:I)+SUMIF(CAL!J:Q,B330,CAL!Q:Q)</f>
        <v>1</v>
      </c>
      <c r="P330" s="19"/>
      <c r="Q330" s="22"/>
      <c r="R330" s="22"/>
      <c r="S330" s="22"/>
      <c r="T330" s="22" t="s">
        <v>5985</v>
      </c>
      <c r="U330" s="22" t="s">
        <v>5428</v>
      </c>
      <c r="V330" s="12"/>
    </row>
    <row r="331" customFormat="false" ht="12.75" hidden="false" customHeight="true" outlineLevel="0" collapsed="false">
      <c r="A331" s="31" t="n">
        <v>332</v>
      </c>
      <c r="B331" s="32" t="s">
        <v>311</v>
      </c>
      <c r="C331" s="32" t="s">
        <v>5986</v>
      </c>
      <c r="D331" s="22" t="n">
        <f aca="false">SUMIF(CAL!B:E,B331,CAL!E:E)+SUMIF(CAL!J:M,B331,CAL!M:M)</f>
        <v>22</v>
      </c>
      <c r="E331" s="33" t="n">
        <f aca="false">COUNTIF(CAL!B:J,B331)</f>
        <v>15</v>
      </c>
      <c r="F331" s="22" t="n">
        <f aca="false">SUMIF(CAL!B:F,B331,CAL!F:F)+SUMIF(CAL!J:N,B331,CAL!N:N)</f>
        <v>6</v>
      </c>
      <c r="G331" s="22" t="n">
        <f aca="false">SUMIF(CAL!B:F,B331,CAL!G:G)+SUMIF(CAL!J:N,B331,CAL!O:O)</f>
        <v>4</v>
      </c>
      <c r="H331" s="22" t="n">
        <f aca="false">SUMIF(CAL!B:F,B331,CAL!H:H)+SUMIF(CAL!J:N,B331,CAL!P:P)</f>
        <v>5</v>
      </c>
      <c r="I331" s="34" t="n">
        <f aca="false">IF(E331=0,0,(D331/(E331*3)))</f>
        <v>0.488888888888889</v>
      </c>
      <c r="J331" s="33" t="n">
        <f aca="false">SUMIF(CAL!B:C,B331,CAL!C:C)+SUMIF(CAL!J:J,B331,CAL!D:D)</f>
        <v>16</v>
      </c>
      <c r="K331" s="22" t="n">
        <f aca="false">SUMIF(CAL!B:D,B331,CAL!D:D)+SUMIF(CAL!J:L,B331,CAL!K:K)</f>
        <v>15</v>
      </c>
      <c r="L331" s="22" t="n">
        <f aca="false">J331-K331</f>
        <v>1</v>
      </c>
      <c r="M331" s="35" t="n">
        <f aca="false">IF(E331=0,0,(J331/E331))</f>
        <v>1.06666666666667</v>
      </c>
      <c r="N331" s="35" t="n">
        <f aca="false">IF(E331=0,0,(K331/E331))</f>
        <v>1</v>
      </c>
      <c r="O331" s="22" t="n">
        <f aca="false">SUMIF(CAL!B:I,B331,CAL!I:I)+SUMIF(CAL!J:Q,B331,CAL!Q:Q)</f>
        <v>5</v>
      </c>
      <c r="P331" s="19"/>
      <c r="Q331" s="22"/>
      <c r="R331" s="22"/>
      <c r="S331" s="22"/>
      <c r="T331" s="22" t="s">
        <v>5987</v>
      </c>
      <c r="U331" s="22" t="s">
        <v>5450</v>
      </c>
      <c r="V331" s="12"/>
    </row>
    <row r="332" customFormat="false" ht="12.75" hidden="false" customHeight="true" outlineLevel="0" collapsed="false">
      <c r="A332" s="31" t="n">
        <v>333</v>
      </c>
      <c r="B332" s="32" t="s">
        <v>330</v>
      </c>
      <c r="C332" s="32" t="s">
        <v>5988</v>
      </c>
      <c r="D332" s="22" t="n">
        <f aca="false">SUMIF(CAL!B:E,B332,CAL!E:E)+SUMIF(CAL!J:M,B332,CAL!M:M)</f>
        <v>5</v>
      </c>
      <c r="E332" s="33" t="n">
        <f aca="false">COUNTIF(CAL!B:J,B332)</f>
        <v>15</v>
      </c>
      <c r="F332" s="22" t="n">
        <f aca="false">SUMIF(CAL!B:F,B332,CAL!F:F)+SUMIF(CAL!J:N,B332,CAL!N:N)</f>
        <v>1</v>
      </c>
      <c r="G332" s="22" t="n">
        <f aca="false">SUMIF(CAL!B:F,B332,CAL!G:G)+SUMIF(CAL!J:N,B332,CAL!O:O)</f>
        <v>2</v>
      </c>
      <c r="H332" s="22" t="n">
        <f aca="false">SUMIF(CAL!B:F,B332,CAL!H:H)+SUMIF(CAL!J:N,B332,CAL!P:P)</f>
        <v>12</v>
      </c>
      <c r="I332" s="34" t="n">
        <f aca="false">IF(E332=0,0,(D332/(E332*3)))</f>
        <v>0.111111111111111</v>
      </c>
      <c r="J332" s="33" t="n">
        <f aca="false">SUMIF(CAL!B:C,B332,CAL!C:C)+SUMIF(CAL!J:J,B332,CAL!D:D)</f>
        <v>10</v>
      </c>
      <c r="K332" s="22" t="n">
        <f aca="false">SUMIF(CAL!B:D,B332,CAL!D:D)+SUMIF(CAL!J:L,B332,CAL!K:K)</f>
        <v>28</v>
      </c>
      <c r="L332" s="22" t="n">
        <f aca="false">J332-K332</f>
        <v>-18</v>
      </c>
      <c r="M332" s="35" t="n">
        <f aca="false">IF(E332=0,0,(J332/E332))</f>
        <v>0.666666666666667</v>
      </c>
      <c r="N332" s="35" t="n">
        <f aca="false">IF(E332=0,0,(K332/E332))</f>
        <v>1.86666666666667</v>
      </c>
      <c r="O332" s="22" t="n">
        <f aca="false">SUMIF(CAL!B:I,B332,CAL!I:I)+SUMIF(CAL!J:Q,B332,CAL!Q:Q)</f>
        <v>1</v>
      </c>
      <c r="P332" s="19"/>
      <c r="Q332" s="22"/>
      <c r="R332" s="22"/>
      <c r="S332" s="22"/>
      <c r="T332" s="22" t="s">
        <v>5793</v>
      </c>
      <c r="U332" s="22" t="s">
        <v>5450</v>
      </c>
      <c r="V332" s="12"/>
    </row>
    <row r="333" customFormat="false" ht="12.75" hidden="false" customHeight="true" outlineLevel="0" collapsed="false">
      <c r="A333" s="31" t="n">
        <v>334</v>
      </c>
      <c r="B333" s="32" t="s">
        <v>120</v>
      </c>
      <c r="C333" s="32" t="s">
        <v>5989</v>
      </c>
      <c r="D333" s="22" t="n">
        <f aca="false">SUMIF(CAL!B:E,B333,CAL!E:E)+SUMIF(CAL!J:M,B333,CAL!M:M)</f>
        <v>17</v>
      </c>
      <c r="E333" s="33" t="n">
        <f aca="false">COUNTIF(CAL!B:J,B333)</f>
        <v>12</v>
      </c>
      <c r="F333" s="22" t="n">
        <f aca="false">SUMIF(CAL!B:F,B333,CAL!F:F)+SUMIF(CAL!J:N,B333,CAL!N:N)</f>
        <v>5</v>
      </c>
      <c r="G333" s="22" t="n">
        <f aca="false">SUMIF(CAL!B:F,B333,CAL!G:G)+SUMIF(CAL!J:N,B333,CAL!O:O)</f>
        <v>2</v>
      </c>
      <c r="H333" s="22" t="n">
        <f aca="false">SUMIF(CAL!B:F,B333,CAL!H:H)+SUMIF(CAL!J:N,B333,CAL!P:P)</f>
        <v>5</v>
      </c>
      <c r="I333" s="34" t="n">
        <f aca="false">IF(E333=0,0,(D333/(E333*3)))</f>
        <v>0.472222222222222</v>
      </c>
      <c r="J333" s="33" t="n">
        <f aca="false">SUMIF(CAL!B:C,B333,CAL!C:C)+SUMIF(CAL!J:J,B333,CAL!D:D)</f>
        <v>12</v>
      </c>
      <c r="K333" s="22" t="n">
        <f aca="false">SUMIF(CAL!B:D,B333,CAL!D:D)+SUMIF(CAL!J:L,B333,CAL!K:K)</f>
        <v>11</v>
      </c>
      <c r="L333" s="22" t="n">
        <f aca="false">J333-K333</f>
        <v>1</v>
      </c>
      <c r="M333" s="35" t="n">
        <f aca="false">IF(E333=0,0,(J333/E333))</f>
        <v>1</v>
      </c>
      <c r="N333" s="35" t="n">
        <f aca="false">IF(E333=0,0,(K333/E333))</f>
        <v>0.916666666666667</v>
      </c>
      <c r="O333" s="22" t="n">
        <f aca="false">SUMIF(CAL!B:I,B333,CAL!I:I)+SUMIF(CAL!J:Q,B333,CAL!Q:Q)</f>
        <v>5</v>
      </c>
      <c r="P333" s="19"/>
      <c r="Q333" s="22"/>
      <c r="R333" s="22"/>
      <c r="S333" s="22"/>
      <c r="T333" s="22" t="s">
        <v>5990</v>
      </c>
      <c r="U333" s="22" t="s">
        <v>5380</v>
      </c>
      <c r="V333" s="12"/>
    </row>
    <row r="334" customFormat="false" ht="12.75" hidden="false" customHeight="true" outlineLevel="0" collapsed="false">
      <c r="A334" s="31" t="n">
        <v>335</v>
      </c>
      <c r="B334" s="32" t="s">
        <v>132</v>
      </c>
      <c r="C334" s="32" t="s">
        <v>5991</v>
      </c>
      <c r="D334" s="22" t="n">
        <f aca="false">SUMIF(CAL!B:E,B334,CAL!E:E)+SUMIF(CAL!J:M,B334,CAL!M:M)</f>
        <v>5</v>
      </c>
      <c r="E334" s="33" t="n">
        <f aca="false">COUNTIF(CAL!B:J,B334)</f>
        <v>9</v>
      </c>
      <c r="F334" s="22" t="n">
        <f aca="false">SUMIF(CAL!B:F,B334,CAL!F:F)+SUMIF(CAL!J:N,B334,CAL!N:N)</f>
        <v>1</v>
      </c>
      <c r="G334" s="22" t="n">
        <f aca="false">SUMIF(CAL!B:F,B334,CAL!G:G)+SUMIF(CAL!J:N,B334,CAL!O:O)</f>
        <v>2</v>
      </c>
      <c r="H334" s="22" t="n">
        <f aca="false">SUMIF(CAL!B:F,B334,CAL!H:H)+SUMIF(CAL!J:N,B334,CAL!P:P)</f>
        <v>6</v>
      </c>
      <c r="I334" s="34" t="n">
        <f aca="false">IF(E334=0,0,(D334/(E334*3)))</f>
        <v>0.185185185185185</v>
      </c>
      <c r="J334" s="33" t="n">
        <f aca="false">SUMIF(CAL!B:C,B334,CAL!C:C)+SUMIF(CAL!J:J,B334,CAL!D:D)</f>
        <v>5</v>
      </c>
      <c r="K334" s="22" t="n">
        <f aca="false">SUMIF(CAL!B:D,B334,CAL!D:D)+SUMIF(CAL!J:L,B334,CAL!K:K)</f>
        <v>14</v>
      </c>
      <c r="L334" s="22" t="n">
        <f aca="false">J334-K334</f>
        <v>-9</v>
      </c>
      <c r="M334" s="35" t="n">
        <f aca="false">IF(E334=0,0,(J334/E334))</f>
        <v>0.555555555555556</v>
      </c>
      <c r="N334" s="35" t="n">
        <f aca="false">IF(E334=0,0,(K334/E334))</f>
        <v>1.55555555555556</v>
      </c>
      <c r="O334" s="22" t="n">
        <f aca="false">SUMIF(CAL!B:I,B334,CAL!I:I)+SUMIF(CAL!J:Q,B334,CAL!Q:Q)</f>
        <v>3</v>
      </c>
      <c r="P334" s="19"/>
      <c r="Q334" s="22"/>
      <c r="R334" s="22"/>
      <c r="S334" s="22"/>
      <c r="T334" s="22" t="s">
        <v>5992</v>
      </c>
      <c r="U334" s="22" t="s">
        <v>5431</v>
      </c>
      <c r="V334" s="12"/>
    </row>
    <row r="335" customFormat="false" ht="12.75" hidden="false" customHeight="true" outlineLevel="0" collapsed="false">
      <c r="A335" s="31" t="n">
        <v>336</v>
      </c>
      <c r="B335" s="37" t="s">
        <v>270</v>
      </c>
      <c r="C335" s="37" t="s">
        <v>5993</v>
      </c>
      <c r="D335" s="22" t="n">
        <f aca="false">SUMIF(CAL!B:E,B335,CAL!E:E)+SUMIF(CAL!J:M,B335,CAL!M:M)</f>
        <v>6</v>
      </c>
      <c r="E335" s="33" t="n">
        <f aca="false">COUNTIF(CAL!B:J,B335)</f>
        <v>8</v>
      </c>
      <c r="F335" s="22" t="n">
        <f aca="false">SUMIF(CAL!B:F,B335,CAL!F:F)+SUMIF(CAL!J:N,B335,CAL!N:N)</f>
        <v>1</v>
      </c>
      <c r="G335" s="22" t="n">
        <f aca="false">SUMIF(CAL!B:F,B335,CAL!G:G)+SUMIF(CAL!J:N,B335,CAL!O:O)</f>
        <v>3</v>
      </c>
      <c r="H335" s="22" t="n">
        <f aca="false">SUMIF(CAL!B:F,B335,CAL!H:H)+SUMIF(CAL!J:N,B335,CAL!P:P)</f>
        <v>4</v>
      </c>
      <c r="I335" s="34" t="n">
        <f aca="false">IF(E335=0,0,(D335/(E335*3)))</f>
        <v>0.25</v>
      </c>
      <c r="J335" s="33" t="n">
        <f aca="false">SUMIF(CAL!B:C,B335,CAL!C:C)+SUMIF(CAL!J:J,B335,CAL!D:D)</f>
        <v>11</v>
      </c>
      <c r="K335" s="22" t="n">
        <f aca="false">SUMIF(CAL!B:D,B335,CAL!D:D)+SUMIF(CAL!J:L,B335,CAL!K:K)</f>
        <v>16</v>
      </c>
      <c r="L335" s="22" t="n">
        <f aca="false">J335-K335</f>
        <v>-5</v>
      </c>
      <c r="M335" s="35" t="n">
        <f aca="false">IF(E335=0,0,(J335/E335))</f>
        <v>1.375</v>
      </c>
      <c r="N335" s="35" t="n">
        <f aca="false">IF(E335=0,0,(K335/E335))</f>
        <v>2</v>
      </c>
      <c r="O335" s="22" t="n">
        <f aca="false">SUMIF(CAL!B:I,B335,CAL!I:I)+SUMIF(CAL!J:Q,B335,CAL!Q:Q)</f>
        <v>1</v>
      </c>
      <c r="P335" s="19"/>
      <c r="Q335" s="22"/>
      <c r="R335" s="22"/>
      <c r="S335" s="22"/>
      <c r="T335" s="22" t="s">
        <v>5590</v>
      </c>
      <c r="U335" s="22" t="s">
        <v>5518</v>
      </c>
      <c r="V335" s="12"/>
    </row>
    <row r="336" customFormat="false" ht="12.75" hidden="false" customHeight="true" outlineLevel="0" collapsed="false">
      <c r="A336" s="31" t="n">
        <v>337</v>
      </c>
      <c r="B336" s="32" t="s">
        <v>250</v>
      </c>
      <c r="C336" s="32" t="s">
        <v>5994</v>
      </c>
      <c r="D336" s="22" t="n">
        <f aca="false">SUMIF(CAL!B:E,B336,CAL!E:E)+SUMIF(CAL!J:M,B336,CAL!M:M)</f>
        <v>15</v>
      </c>
      <c r="E336" s="33" t="n">
        <f aca="false">COUNTIF(CAL!B:J,B336)</f>
        <v>13</v>
      </c>
      <c r="F336" s="22" t="n">
        <f aca="false">SUMIF(CAL!B:F,B336,CAL!F:F)+SUMIF(CAL!J:N,B336,CAL!N:N)</f>
        <v>4</v>
      </c>
      <c r="G336" s="22" t="n">
        <f aca="false">SUMIF(CAL!B:F,B336,CAL!G:G)+SUMIF(CAL!J:N,B336,CAL!O:O)</f>
        <v>3</v>
      </c>
      <c r="H336" s="22" t="n">
        <f aca="false">SUMIF(CAL!B:F,B336,CAL!H:H)+SUMIF(CAL!J:N,B336,CAL!P:P)</f>
        <v>6</v>
      </c>
      <c r="I336" s="34" t="n">
        <f aca="false">IF(E336=0,0,(D336/(E336*3)))</f>
        <v>0.384615384615385</v>
      </c>
      <c r="J336" s="33" t="n">
        <f aca="false">SUMIF(CAL!B:C,B336,CAL!C:C)+SUMIF(CAL!J:J,B336,CAL!D:D)</f>
        <v>11</v>
      </c>
      <c r="K336" s="22" t="n">
        <f aca="false">SUMIF(CAL!B:D,B336,CAL!D:D)+SUMIF(CAL!J:L,B336,CAL!K:K)</f>
        <v>15</v>
      </c>
      <c r="L336" s="22" t="n">
        <f aca="false">J336-K336</f>
        <v>-4</v>
      </c>
      <c r="M336" s="35" t="n">
        <f aca="false">IF(E336=0,0,(J336/E336))</f>
        <v>0.846153846153846</v>
      </c>
      <c r="N336" s="35" t="n">
        <f aca="false">IF(E336=0,0,(K336/E336))</f>
        <v>1.15384615384615</v>
      </c>
      <c r="O336" s="22" t="n">
        <f aca="false">SUMIF(CAL!B:I,B336,CAL!I:I)+SUMIF(CAL!J:Q,B336,CAL!Q:Q)</f>
        <v>3</v>
      </c>
      <c r="P336" s="19"/>
      <c r="Q336" s="22"/>
      <c r="R336" s="22"/>
      <c r="S336" s="22"/>
      <c r="T336" s="22" t="s">
        <v>5995</v>
      </c>
      <c r="U336" s="22" t="s">
        <v>5476</v>
      </c>
      <c r="V336" s="12"/>
    </row>
    <row r="337" customFormat="false" ht="12.75" hidden="false" customHeight="true" outlineLevel="0" collapsed="false">
      <c r="A337" s="31" t="n">
        <v>338</v>
      </c>
      <c r="B337" s="32" t="s">
        <v>71</v>
      </c>
      <c r="C337" s="32" t="s">
        <v>5996</v>
      </c>
      <c r="D337" s="22" t="n">
        <f aca="false">SUMIF(CAL!B:E,B337,CAL!E:E)+SUMIF(CAL!J:M,B337,CAL!M:M)</f>
        <v>4</v>
      </c>
      <c r="E337" s="33" t="n">
        <f aca="false">COUNTIF(CAL!B:J,B337)</f>
        <v>7</v>
      </c>
      <c r="F337" s="22" t="n">
        <f aca="false">SUMIF(CAL!B:F,B337,CAL!F:F)+SUMIF(CAL!J:N,B337,CAL!N:N)</f>
        <v>1</v>
      </c>
      <c r="G337" s="22" t="n">
        <f aca="false">SUMIF(CAL!B:F,B337,CAL!G:G)+SUMIF(CAL!J:N,B337,CAL!O:O)</f>
        <v>1</v>
      </c>
      <c r="H337" s="22" t="n">
        <f aca="false">SUMIF(CAL!B:F,B337,CAL!H:H)+SUMIF(CAL!J:N,B337,CAL!P:P)</f>
        <v>5</v>
      </c>
      <c r="I337" s="34" t="n">
        <f aca="false">IF(E337=0,0,(D337/(E337*3)))</f>
        <v>0.19047619047619</v>
      </c>
      <c r="J337" s="33" t="n">
        <f aca="false">SUMIF(CAL!B:C,B337,CAL!C:C)+SUMIF(CAL!J:J,B337,CAL!D:D)</f>
        <v>7</v>
      </c>
      <c r="K337" s="22" t="n">
        <f aca="false">SUMIF(CAL!B:D,B337,CAL!D:D)+SUMIF(CAL!J:L,B337,CAL!K:K)</f>
        <v>14</v>
      </c>
      <c r="L337" s="22" t="n">
        <f aca="false">J337-K337</f>
        <v>-7</v>
      </c>
      <c r="M337" s="35" t="n">
        <f aca="false">IF(E337=0,0,(J337/E337))</f>
        <v>1</v>
      </c>
      <c r="N337" s="35" t="n">
        <f aca="false">IF(E337=0,0,(K337/E337))</f>
        <v>2</v>
      </c>
      <c r="O337" s="22" t="n">
        <f aca="false">SUMIF(CAL!B:I,B337,CAL!I:I)+SUMIF(CAL!J:Q,B337,CAL!Q:Q)</f>
        <v>1</v>
      </c>
      <c r="P337" s="19"/>
      <c r="Q337" s="22"/>
      <c r="R337" s="22"/>
      <c r="S337" s="22"/>
      <c r="T337" s="22" t="s">
        <v>5997</v>
      </c>
      <c r="U337" s="22" t="s">
        <v>5404</v>
      </c>
      <c r="V337" s="12"/>
    </row>
    <row r="338" customFormat="false" ht="12.75" hidden="false" customHeight="true" outlineLevel="0" collapsed="false">
      <c r="A338" s="31" t="n">
        <v>339</v>
      </c>
      <c r="B338" s="32" t="s">
        <v>377</v>
      </c>
      <c r="C338" s="32" t="s">
        <v>5998</v>
      </c>
      <c r="D338" s="22" t="n">
        <f aca="false">SUMIF(CAL!B:E,B338,CAL!E:E)+SUMIF(CAL!J:M,B338,CAL!M:M)</f>
        <v>15</v>
      </c>
      <c r="E338" s="33" t="n">
        <f aca="false">COUNTIF(CAL!B:J,B338)</f>
        <v>15</v>
      </c>
      <c r="F338" s="22" t="n">
        <f aca="false">SUMIF(CAL!B:F,B338,CAL!F:F)+SUMIF(CAL!J:N,B338,CAL!N:N)</f>
        <v>3</v>
      </c>
      <c r="G338" s="22" t="n">
        <f aca="false">SUMIF(CAL!B:F,B338,CAL!G:G)+SUMIF(CAL!J:N,B338,CAL!O:O)</f>
        <v>6</v>
      </c>
      <c r="H338" s="22" t="n">
        <f aca="false">SUMIF(CAL!B:F,B338,CAL!H:H)+SUMIF(CAL!J:N,B338,CAL!P:P)</f>
        <v>6</v>
      </c>
      <c r="I338" s="34" t="n">
        <f aca="false">IF(E338=0,0,(D338/(E338*3)))</f>
        <v>0.333333333333333</v>
      </c>
      <c r="J338" s="33" t="n">
        <f aca="false">SUMIF(CAL!B:C,B338,CAL!C:C)+SUMIF(CAL!J:J,B338,CAL!D:D)</f>
        <v>12</v>
      </c>
      <c r="K338" s="22" t="n">
        <f aca="false">SUMIF(CAL!B:D,B338,CAL!D:D)+SUMIF(CAL!J:L,B338,CAL!K:K)</f>
        <v>13</v>
      </c>
      <c r="L338" s="22" t="n">
        <f aca="false">J338-K338</f>
        <v>-1</v>
      </c>
      <c r="M338" s="35" t="n">
        <f aca="false">IF(E338=0,0,(J338/E338))</f>
        <v>0.8</v>
      </c>
      <c r="N338" s="35" t="n">
        <f aca="false">IF(E338=0,0,(K338/E338))</f>
        <v>0.866666666666667</v>
      </c>
      <c r="O338" s="22" t="n">
        <f aca="false">SUMIF(CAL!B:I,B338,CAL!I:I)+SUMIF(CAL!J:Q,B338,CAL!Q:Q)</f>
        <v>7</v>
      </c>
      <c r="P338" s="19"/>
      <c r="Q338" s="22"/>
      <c r="R338" s="22"/>
      <c r="S338" s="22"/>
      <c r="T338" s="22" t="s">
        <v>743</v>
      </c>
      <c r="U338" s="22" t="s">
        <v>5450</v>
      </c>
      <c r="V338" s="12"/>
    </row>
    <row r="339" customFormat="false" ht="12.75" hidden="false" customHeight="true" outlineLevel="0" collapsed="false">
      <c r="A339" s="31" t="n">
        <v>340</v>
      </c>
      <c r="B339" s="32" t="s">
        <v>164</v>
      </c>
      <c r="C339" s="32" t="s">
        <v>5999</v>
      </c>
      <c r="D339" s="22" t="n">
        <f aca="false">SUMIF(CAL!B:E,B339,CAL!E:E)+SUMIF(CAL!J:M,B339,CAL!M:M)</f>
        <v>37</v>
      </c>
      <c r="E339" s="33" t="n">
        <f aca="false">COUNTIF(CAL!B:J,B339)</f>
        <v>20</v>
      </c>
      <c r="F339" s="22" t="n">
        <f aca="false">SUMIF(CAL!B:F,B339,CAL!F:F)+SUMIF(CAL!J:N,B339,CAL!N:N)</f>
        <v>11</v>
      </c>
      <c r="G339" s="22" t="n">
        <f aca="false">SUMIF(CAL!B:F,B339,CAL!G:G)+SUMIF(CAL!J:N,B339,CAL!O:O)</f>
        <v>4</v>
      </c>
      <c r="H339" s="22" t="n">
        <f aca="false">SUMIF(CAL!B:F,B339,CAL!H:H)+SUMIF(CAL!J:N,B339,CAL!P:P)</f>
        <v>5</v>
      </c>
      <c r="I339" s="34" t="n">
        <f aca="false">IF(E339=0,0,(D339/(E339*3)))</f>
        <v>0.616666666666667</v>
      </c>
      <c r="J339" s="33" t="n">
        <f aca="false">SUMIF(CAL!B:C,B339,CAL!C:C)+SUMIF(CAL!J:J,B339,CAL!D:D)</f>
        <v>28</v>
      </c>
      <c r="K339" s="22" t="n">
        <f aca="false">SUMIF(CAL!B:D,B339,CAL!D:D)+SUMIF(CAL!J:L,B339,CAL!K:K)</f>
        <v>20</v>
      </c>
      <c r="L339" s="22" t="n">
        <f aca="false">J339-K339</f>
        <v>8</v>
      </c>
      <c r="M339" s="35" t="n">
        <f aca="false">IF(E339=0,0,(J339/E339))</f>
        <v>1.4</v>
      </c>
      <c r="N339" s="35" t="n">
        <f aca="false">IF(E339=0,0,(K339/E339))</f>
        <v>1</v>
      </c>
      <c r="O339" s="22" t="n">
        <f aca="false">SUMIF(CAL!B:I,B339,CAL!I:I)+SUMIF(CAL!J:Q,B339,CAL!Q:Q)</f>
        <v>8</v>
      </c>
      <c r="P339" s="19"/>
      <c r="Q339" s="22"/>
      <c r="R339" s="22"/>
      <c r="S339" s="22"/>
      <c r="T339" s="22" t="s">
        <v>6000</v>
      </c>
      <c r="U339" s="22" t="s">
        <v>5450</v>
      </c>
      <c r="V339" s="12"/>
    </row>
    <row r="340" customFormat="false" ht="12.75" hidden="false" customHeight="true" outlineLevel="0" collapsed="false">
      <c r="A340" s="12"/>
      <c r="B340" s="32" t="s">
        <v>310</v>
      </c>
      <c r="C340" s="32" t="s">
        <v>6001</v>
      </c>
      <c r="D340" s="22" t="n">
        <f aca="false">SUMIF(CAL!B:E,B340,CAL!E:E)+SUMIF(CAL!J:M,B340,CAL!M:M)</f>
        <v>33</v>
      </c>
      <c r="E340" s="33" t="n">
        <f aca="false">COUNTIF(CAL!B:J,B340)</f>
        <v>17</v>
      </c>
      <c r="F340" s="22" t="n">
        <f aca="false">SUMIF(CAL!B:F,B340,CAL!F:F)+SUMIF(CAL!J:N,B340,CAL!N:N)</f>
        <v>10</v>
      </c>
      <c r="G340" s="22" t="n">
        <f aca="false">SUMIF(CAL!B:F,B340,CAL!G:G)+SUMIF(CAL!J:N,B340,CAL!O:O)</f>
        <v>3</v>
      </c>
      <c r="H340" s="22" t="n">
        <f aca="false">SUMIF(CAL!B:F,B340,CAL!H:H)+SUMIF(CAL!J:N,B340,CAL!P:P)</f>
        <v>4</v>
      </c>
      <c r="I340" s="34" t="n">
        <f aca="false">IF(E340=0,0,(D340/(E340*3)))</f>
        <v>0.647058823529412</v>
      </c>
      <c r="J340" s="33" t="n">
        <f aca="false">SUMIF(CAL!B:C,B340,CAL!C:C)+SUMIF(CAL!J:J,B340,CAL!D:D)</f>
        <v>19</v>
      </c>
      <c r="K340" s="22" t="n">
        <f aca="false">SUMIF(CAL!B:D,B340,CAL!D:D)+SUMIF(CAL!J:L,B340,CAL!K:K)</f>
        <v>11</v>
      </c>
      <c r="L340" s="22" t="n">
        <f aca="false">J340-K340</f>
        <v>8</v>
      </c>
      <c r="M340" s="35" t="n">
        <f aca="false">IF(E340=0,0,(J340/E340))</f>
        <v>1.11764705882353</v>
      </c>
      <c r="N340" s="35" t="n">
        <f aca="false">IF(E340=0,0,(K340/E340))</f>
        <v>0.647058823529412</v>
      </c>
      <c r="O340" s="22" t="n">
        <f aca="false">SUMIF(CAL!B:I,B340,CAL!I:I)+SUMIF(CAL!J:Q,B340,CAL!Q:Q)</f>
        <v>8</v>
      </c>
      <c r="P340" s="19"/>
      <c r="Q340" s="22"/>
      <c r="R340" s="22"/>
      <c r="S340" s="22"/>
      <c r="T340" s="22" t="s">
        <v>6002</v>
      </c>
      <c r="U340" s="22" t="s">
        <v>5450</v>
      </c>
      <c r="V340" s="12"/>
    </row>
    <row r="341" customFormat="false" ht="12.75" hidden="false" customHeight="true" outlineLevel="0" collapsed="false">
      <c r="A341" s="12"/>
      <c r="B341" s="37" t="s">
        <v>388</v>
      </c>
      <c r="C341" s="37" t="s">
        <v>6003</v>
      </c>
      <c r="D341" s="22" t="n">
        <f aca="false">SUMIF(CAL!B:E,B341,CAL!E:E)+SUMIF(CAL!J:M,B341,CAL!M:M)</f>
        <v>7</v>
      </c>
      <c r="E341" s="33" t="n">
        <f aca="false">COUNTIF(CAL!B:J,B341)</f>
        <v>7</v>
      </c>
      <c r="F341" s="22" t="n">
        <f aca="false">SUMIF(CAL!B:F,B341,CAL!F:F)+SUMIF(CAL!J:N,B341,CAL!N:N)</f>
        <v>2</v>
      </c>
      <c r="G341" s="22" t="n">
        <f aca="false">SUMIF(CAL!B:F,B341,CAL!G:G)+SUMIF(CAL!J:N,B341,CAL!O:O)</f>
        <v>1</v>
      </c>
      <c r="H341" s="22" t="n">
        <f aca="false">SUMIF(CAL!B:F,B341,CAL!H:H)+SUMIF(CAL!J:N,B341,CAL!P:P)</f>
        <v>4</v>
      </c>
      <c r="I341" s="34" t="n">
        <f aca="false">IF(E341=0,0,(D341/(E341*3)))</f>
        <v>0.333333333333333</v>
      </c>
      <c r="J341" s="33" t="n">
        <f aca="false">SUMIF(CAL!B:C,B341,CAL!C:C)+SUMIF(CAL!J:J,B341,CAL!D:D)</f>
        <v>6</v>
      </c>
      <c r="K341" s="22" t="n">
        <f aca="false">SUMIF(CAL!B:D,B341,CAL!D:D)+SUMIF(CAL!J:L,B341,CAL!K:K)</f>
        <v>12</v>
      </c>
      <c r="L341" s="22" t="n">
        <f aca="false">J341-K341</f>
        <v>-6</v>
      </c>
      <c r="M341" s="35" t="n">
        <f aca="false">IF(E341=0,0,(J341/E341))</f>
        <v>0.857142857142857</v>
      </c>
      <c r="N341" s="35" t="n">
        <f aca="false">IF(E341=0,0,(K341/E341))</f>
        <v>1.71428571428571</v>
      </c>
      <c r="O341" s="22" t="n">
        <f aca="false">SUMIF(CAL!B:I,B341,CAL!I:I)+SUMIF(CAL!J:Q,B341,CAL!Q:Q)</f>
        <v>2</v>
      </c>
      <c r="P341" s="19"/>
      <c r="Q341" s="22"/>
      <c r="R341" s="22"/>
      <c r="S341" s="22"/>
      <c r="T341" s="22" t="s">
        <v>5522</v>
      </c>
      <c r="U341" s="22" t="s">
        <v>5523</v>
      </c>
      <c r="V341" s="12"/>
    </row>
    <row r="342" customFormat="false" ht="12.75" hidden="false" customHeight="true" outlineLevel="0" collapsed="false">
      <c r="A342" s="12"/>
      <c r="B342" s="38" t="s">
        <v>382</v>
      </c>
      <c r="C342" s="37" t="s">
        <v>6004</v>
      </c>
      <c r="D342" s="22" t="n">
        <f aca="false">SUMIF(CAL!B:E,B342,CAL!E:E)+SUMIF(CAL!J:M,B342,CAL!M:M)</f>
        <v>7</v>
      </c>
      <c r="E342" s="33" t="n">
        <f aca="false">COUNTIF(CAL!B:J,B342)</f>
        <v>5</v>
      </c>
      <c r="F342" s="22" t="n">
        <f aca="false">SUMIF(CAL!B:F,B342,CAL!F:F)+SUMIF(CAL!J:N,B342,CAL!N:N)</f>
        <v>2</v>
      </c>
      <c r="G342" s="22" t="n">
        <f aca="false">SUMIF(CAL!B:F,B342,CAL!G:G)+SUMIF(CAL!J:N,B342,CAL!O:O)</f>
        <v>1</v>
      </c>
      <c r="H342" s="22" t="n">
        <f aca="false">SUMIF(CAL!B:F,B342,CAL!H:H)+SUMIF(CAL!J:N,B342,CAL!P:P)</f>
        <v>2</v>
      </c>
      <c r="I342" s="34" t="n">
        <f aca="false">IF(E342=0,0,(D342/(E342*3)))</f>
        <v>0.466666666666667</v>
      </c>
      <c r="J342" s="33" t="n">
        <f aca="false">SUMIF(CAL!B:C,B342,CAL!C:C)+SUMIF(CAL!J:J,B342,CAL!D:D)</f>
        <v>8</v>
      </c>
      <c r="K342" s="22" t="n">
        <f aca="false">SUMIF(CAL!B:D,B342,CAL!D:D)+SUMIF(CAL!J:L,B342,CAL!K:K)</f>
        <v>9</v>
      </c>
      <c r="L342" s="22" t="n">
        <f aca="false">J342-K342</f>
        <v>-1</v>
      </c>
      <c r="M342" s="35" t="n">
        <f aca="false">IF(E342=0,0,(J342/E342))</f>
        <v>1.6</v>
      </c>
      <c r="N342" s="35" t="n">
        <f aca="false">IF(E342=0,0,(K342/E342))</f>
        <v>1.8</v>
      </c>
      <c r="O342" s="22" t="n">
        <f aca="false">SUMIF(CAL!B:I,B342,CAL!I:I)+SUMIF(CAL!J:Q,B342,CAL!Q:Q)</f>
        <v>1</v>
      </c>
      <c r="P342" s="19"/>
      <c r="Q342" s="22"/>
      <c r="R342" s="22"/>
      <c r="S342" s="22"/>
      <c r="T342" s="22" t="s">
        <v>6005</v>
      </c>
      <c r="U342" s="22" t="s">
        <v>5580</v>
      </c>
      <c r="V342" s="12"/>
    </row>
    <row r="343" customFormat="false" ht="12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39"/>
      <c r="Q343" s="12"/>
      <c r="R343" s="12"/>
      <c r="S343" s="12"/>
      <c r="T343" s="12"/>
      <c r="U343" s="12"/>
      <c r="V343" s="12"/>
    </row>
    <row r="344" customFormat="false" ht="12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39"/>
      <c r="Q344" s="12"/>
      <c r="R344" s="12"/>
      <c r="S344" s="12"/>
      <c r="T344" s="12"/>
      <c r="U344" s="12"/>
      <c r="V344" s="12"/>
    </row>
    <row r="345" customFormat="false" ht="12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39"/>
      <c r="Q345" s="12"/>
      <c r="R345" s="12"/>
      <c r="S345" s="12"/>
      <c r="T345" s="12"/>
      <c r="U345" s="12"/>
      <c r="V345" s="12"/>
    </row>
    <row r="346" customFormat="false" ht="12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39"/>
      <c r="Q346" s="12"/>
      <c r="R346" s="12"/>
      <c r="S346" s="12"/>
      <c r="T346" s="12"/>
      <c r="U346" s="12"/>
      <c r="V346" s="12"/>
    </row>
    <row r="347" customFormat="false" ht="12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39"/>
      <c r="Q347" s="12"/>
      <c r="R347" s="12"/>
      <c r="S347" s="12"/>
      <c r="T347" s="12"/>
      <c r="U347" s="12"/>
      <c r="V347" s="12"/>
    </row>
    <row r="348" customFormat="false" ht="12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39"/>
      <c r="Q348" s="12"/>
      <c r="R348" s="12"/>
      <c r="S348" s="12"/>
      <c r="T348" s="12"/>
      <c r="U348" s="12"/>
      <c r="V348" s="12"/>
    </row>
    <row r="349" customFormat="false" ht="12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39"/>
      <c r="Q349" s="12"/>
      <c r="R349" s="12"/>
      <c r="S349" s="12"/>
      <c r="T349" s="12"/>
      <c r="U349" s="12"/>
      <c r="V349" s="12"/>
    </row>
    <row r="350" customFormat="false" ht="12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39"/>
      <c r="Q350" s="12"/>
      <c r="R350" s="12"/>
      <c r="S350" s="12"/>
      <c r="T350" s="12"/>
      <c r="U350" s="12"/>
      <c r="V350" s="12"/>
    </row>
    <row r="351" customFormat="false" ht="12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39"/>
      <c r="Q351" s="12"/>
      <c r="R351" s="12"/>
      <c r="S351" s="12"/>
      <c r="T351" s="12"/>
      <c r="U351" s="12"/>
      <c r="V351" s="12"/>
    </row>
    <row r="352" customFormat="false" ht="12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39"/>
      <c r="Q352" s="12"/>
      <c r="R352" s="12"/>
      <c r="S352" s="12"/>
      <c r="T352" s="12"/>
      <c r="U352" s="12"/>
      <c r="V352" s="12"/>
    </row>
    <row r="353" customFormat="false" ht="12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39"/>
      <c r="Q353" s="12"/>
      <c r="R353" s="12"/>
      <c r="S353" s="12"/>
      <c r="T353" s="12"/>
      <c r="U353" s="12"/>
      <c r="V353" s="12"/>
    </row>
    <row r="354" customFormat="false" ht="12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39"/>
      <c r="Q354" s="12"/>
      <c r="R354" s="12"/>
      <c r="S354" s="12"/>
      <c r="T354" s="12"/>
      <c r="U354" s="12"/>
      <c r="V354" s="12"/>
    </row>
    <row r="355" customFormat="false" ht="12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39"/>
      <c r="Q355" s="12"/>
      <c r="R355" s="12"/>
      <c r="S355" s="12"/>
      <c r="T355" s="12"/>
      <c r="U355" s="12"/>
      <c r="V355" s="12"/>
    </row>
    <row r="356" customFormat="false" ht="12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39"/>
      <c r="Q356" s="12"/>
      <c r="R356" s="12"/>
      <c r="S356" s="12"/>
      <c r="T356" s="12"/>
      <c r="U356" s="12"/>
      <c r="V356" s="12"/>
    </row>
    <row r="357" customFormat="false" ht="12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39"/>
      <c r="Q357" s="12"/>
      <c r="R357" s="12"/>
      <c r="S357" s="12"/>
      <c r="T357" s="12"/>
      <c r="U357" s="12"/>
      <c r="V357" s="12"/>
    </row>
    <row r="358" customFormat="false" ht="12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39"/>
      <c r="Q358" s="12"/>
      <c r="R358" s="12"/>
      <c r="S358" s="12"/>
      <c r="T358" s="12"/>
      <c r="U358" s="12"/>
      <c r="V358" s="12"/>
    </row>
    <row r="359" customFormat="false" ht="12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39"/>
      <c r="Q359" s="12"/>
      <c r="R359" s="12"/>
      <c r="S359" s="12"/>
      <c r="T359" s="12"/>
      <c r="U359" s="12"/>
      <c r="V359" s="12"/>
    </row>
    <row r="360" customFormat="false" ht="12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39"/>
      <c r="Q360" s="12"/>
      <c r="R360" s="12"/>
      <c r="S360" s="12"/>
      <c r="T360" s="12"/>
      <c r="U360" s="12"/>
      <c r="V360" s="12"/>
    </row>
    <row r="361" customFormat="false" ht="12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39"/>
      <c r="Q361" s="12"/>
      <c r="R361" s="12"/>
      <c r="S361" s="12"/>
      <c r="T361" s="12"/>
      <c r="U361" s="12"/>
      <c r="V361" s="12"/>
    </row>
    <row r="362" customFormat="false" ht="12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39"/>
      <c r="Q362" s="12"/>
      <c r="R362" s="12"/>
      <c r="S362" s="12"/>
      <c r="T362" s="12"/>
      <c r="U362" s="12"/>
      <c r="V362" s="12"/>
    </row>
    <row r="363" customFormat="false" ht="12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39"/>
      <c r="Q363" s="12"/>
      <c r="R363" s="12"/>
      <c r="S363" s="12"/>
      <c r="T363" s="12"/>
      <c r="U363" s="12"/>
      <c r="V363" s="12"/>
    </row>
    <row r="364" customFormat="false" ht="12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39"/>
      <c r="Q364" s="12"/>
      <c r="R364" s="12"/>
      <c r="S364" s="12"/>
      <c r="T364" s="12"/>
      <c r="U364" s="12"/>
      <c r="V364" s="12"/>
    </row>
    <row r="365" customFormat="false" ht="12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39"/>
      <c r="Q365" s="12"/>
      <c r="R365" s="12"/>
      <c r="S365" s="12"/>
      <c r="T365" s="12"/>
      <c r="U365" s="12"/>
      <c r="V365" s="12"/>
    </row>
    <row r="366" customFormat="false" ht="12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39"/>
      <c r="Q366" s="12"/>
      <c r="R366" s="12"/>
      <c r="S366" s="12"/>
      <c r="T366" s="12"/>
      <c r="U366" s="12"/>
      <c r="V366" s="12"/>
    </row>
    <row r="367" customFormat="false" ht="12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39"/>
      <c r="Q367" s="12"/>
      <c r="R367" s="12"/>
      <c r="S367" s="12"/>
      <c r="T367" s="12"/>
      <c r="U367" s="12"/>
      <c r="V367" s="12"/>
    </row>
    <row r="368" customFormat="false" ht="12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39"/>
      <c r="Q368" s="12"/>
      <c r="R368" s="12"/>
      <c r="S368" s="12"/>
      <c r="T368" s="12"/>
      <c r="U368" s="12"/>
      <c r="V368" s="12"/>
    </row>
    <row r="369" customFormat="false" ht="12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39"/>
      <c r="Q369" s="12"/>
      <c r="R369" s="12"/>
      <c r="S369" s="12"/>
      <c r="T369" s="12"/>
      <c r="U369" s="12"/>
      <c r="V369" s="12"/>
    </row>
    <row r="370" customFormat="false" ht="12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39"/>
      <c r="Q370" s="12"/>
      <c r="R370" s="12"/>
      <c r="S370" s="12"/>
      <c r="T370" s="12"/>
      <c r="U370" s="12"/>
      <c r="V370" s="12"/>
    </row>
    <row r="371" customFormat="false" ht="12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39"/>
      <c r="Q371" s="12"/>
      <c r="R371" s="12"/>
      <c r="S371" s="12"/>
      <c r="T371" s="12"/>
      <c r="U371" s="12"/>
      <c r="V371" s="12"/>
    </row>
    <row r="372" customFormat="false" ht="12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39"/>
      <c r="Q372" s="12"/>
      <c r="R372" s="12"/>
      <c r="S372" s="12"/>
      <c r="T372" s="12"/>
      <c r="U372" s="12"/>
      <c r="V372" s="12"/>
    </row>
    <row r="373" customFormat="false" ht="12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39"/>
      <c r="Q373" s="12"/>
      <c r="R373" s="12"/>
      <c r="S373" s="12"/>
      <c r="T373" s="12"/>
      <c r="U373" s="12"/>
      <c r="V373" s="12"/>
    </row>
    <row r="374" customFormat="false" ht="12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39"/>
      <c r="Q374" s="12"/>
      <c r="R374" s="12"/>
      <c r="S374" s="12"/>
      <c r="T374" s="12"/>
      <c r="U374" s="12"/>
      <c r="V374" s="12"/>
    </row>
    <row r="375" customFormat="false" ht="12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39"/>
      <c r="Q375" s="12"/>
      <c r="R375" s="12"/>
      <c r="S375" s="12"/>
      <c r="T375" s="12"/>
      <c r="U375" s="12"/>
      <c r="V375" s="12"/>
    </row>
    <row r="376" customFormat="false" ht="12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39"/>
      <c r="Q376" s="12"/>
      <c r="R376" s="12"/>
      <c r="S376" s="12"/>
      <c r="T376" s="12"/>
      <c r="U376" s="12"/>
      <c r="V376" s="12"/>
    </row>
    <row r="377" customFormat="false" ht="12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39"/>
      <c r="Q377" s="12"/>
      <c r="R377" s="12"/>
      <c r="S377" s="12"/>
      <c r="T377" s="12"/>
      <c r="U377" s="12"/>
      <c r="V377" s="12"/>
    </row>
    <row r="378" customFormat="false" ht="12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39"/>
      <c r="Q378" s="12"/>
      <c r="R378" s="12"/>
      <c r="S378" s="12"/>
      <c r="T378" s="12"/>
      <c r="U378" s="12"/>
      <c r="V378" s="12"/>
    </row>
    <row r="379" customFormat="false" ht="12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39"/>
      <c r="Q379" s="12"/>
      <c r="R379" s="12"/>
      <c r="S379" s="12"/>
      <c r="T379" s="12"/>
      <c r="U379" s="12"/>
      <c r="V379" s="12"/>
    </row>
    <row r="380" customFormat="false" ht="12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39"/>
      <c r="Q380" s="12"/>
      <c r="R380" s="12"/>
      <c r="S380" s="12"/>
      <c r="T380" s="12"/>
      <c r="U380" s="12"/>
      <c r="V380" s="12"/>
    </row>
    <row r="381" customFormat="false" ht="12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39"/>
      <c r="Q381" s="12"/>
      <c r="R381" s="12"/>
      <c r="S381" s="12"/>
      <c r="T381" s="12"/>
      <c r="U381" s="12"/>
      <c r="V381" s="12"/>
    </row>
    <row r="382" customFormat="false" ht="12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39"/>
      <c r="Q382" s="12"/>
      <c r="R382" s="12"/>
      <c r="S382" s="12"/>
      <c r="T382" s="12"/>
      <c r="U382" s="12"/>
      <c r="V382" s="12"/>
    </row>
    <row r="383" customFormat="false" ht="12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39"/>
      <c r="Q383" s="12"/>
      <c r="R383" s="12"/>
      <c r="S383" s="12"/>
      <c r="T383" s="12"/>
      <c r="U383" s="12"/>
      <c r="V383" s="12"/>
    </row>
    <row r="384" customFormat="false" ht="12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39"/>
      <c r="Q384" s="12"/>
      <c r="R384" s="12"/>
      <c r="S384" s="12"/>
      <c r="T384" s="12"/>
      <c r="U384" s="12"/>
      <c r="V384" s="12"/>
    </row>
    <row r="385" customFormat="false" ht="12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39"/>
      <c r="Q385" s="12"/>
      <c r="R385" s="12"/>
      <c r="S385" s="12"/>
      <c r="T385" s="12"/>
      <c r="U385" s="12"/>
      <c r="V385" s="12"/>
    </row>
    <row r="386" customFormat="false" ht="12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39"/>
      <c r="Q386" s="12"/>
      <c r="R386" s="12"/>
      <c r="S386" s="12"/>
      <c r="T386" s="12"/>
      <c r="U386" s="12"/>
      <c r="V386" s="12"/>
    </row>
    <row r="387" customFormat="false" ht="12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39"/>
      <c r="Q387" s="12"/>
      <c r="R387" s="12"/>
      <c r="S387" s="12"/>
      <c r="T387" s="12"/>
      <c r="U387" s="12"/>
      <c r="V387" s="12"/>
    </row>
    <row r="388" customFormat="false" ht="12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39"/>
      <c r="Q388" s="12"/>
      <c r="R388" s="12"/>
      <c r="S388" s="12"/>
      <c r="T388" s="12"/>
      <c r="U388" s="12"/>
      <c r="V388" s="12"/>
    </row>
    <row r="389" customFormat="false" ht="12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39"/>
      <c r="Q389" s="12"/>
      <c r="R389" s="12"/>
      <c r="S389" s="12"/>
      <c r="T389" s="12"/>
      <c r="U389" s="12"/>
      <c r="V389" s="12"/>
    </row>
    <row r="390" customFormat="false" ht="12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39"/>
      <c r="Q390" s="12"/>
      <c r="R390" s="12"/>
      <c r="S390" s="12"/>
      <c r="T390" s="12"/>
      <c r="U390" s="12"/>
      <c r="V390" s="12"/>
    </row>
    <row r="391" customFormat="false" ht="12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39"/>
      <c r="Q391" s="12"/>
      <c r="R391" s="12"/>
      <c r="S391" s="12"/>
      <c r="T391" s="12"/>
      <c r="U391" s="12"/>
      <c r="V391" s="12"/>
    </row>
    <row r="392" customFormat="false" ht="12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39"/>
      <c r="Q392" s="12"/>
      <c r="R392" s="12"/>
      <c r="S392" s="12"/>
      <c r="T392" s="12"/>
      <c r="U392" s="12"/>
      <c r="V392" s="12"/>
    </row>
    <row r="393" customFormat="false" ht="12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39"/>
      <c r="Q393" s="12"/>
      <c r="R393" s="12"/>
      <c r="S393" s="12"/>
      <c r="T393" s="12"/>
      <c r="U393" s="12"/>
      <c r="V393" s="12"/>
    </row>
    <row r="394" customFormat="false" ht="12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39"/>
      <c r="Q394" s="12"/>
      <c r="R394" s="12"/>
      <c r="S394" s="12"/>
      <c r="T394" s="12"/>
      <c r="U394" s="12"/>
      <c r="V394" s="12"/>
    </row>
    <row r="395" customFormat="false" ht="12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39"/>
      <c r="Q395" s="12"/>
      <c r="R395" s="12"/>
      <c r="S395" s="12"/>
      <c r="T395" s="12"/>
      <c r="U395" s="12"/>
      <c r="V395" s="12"/>
    </row>
    <row r="396" customFormat="false" ht="12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39"/>
      <c r="Q396" s="12"/>
      <c r="R396" s="12"/>
      <c r="S396" s="12"/>
      <c r="T396" s="12"/>
      <c r="U396" s="12"/>
      <c r="V396" s="12"/>
    </row>
    <row r="397" customFormat="false" ht="12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39"/>
      <c r="Q397" s="12"/>
      <c r="R397" s="12"/>
      <c r="S397" s="12"/>
      <c r="T397" s="12"/>
      <c r="U397" s="12"/>
      <c r="V397" s="12"/>
    </row>
    <row r="398" customFormat="false" ht="12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39"/>
      <c r="Q398" s="12"/>
      <c r="R398" s="12"/>
      <c r="S398" s="12"/>
      <c r="T398" s="12"/>
      <c r="U398" s="12"/>
      <c r="V398" s="12"/>
    </row>
    <row r="399" customFormat="false" ht="12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39"/>
      <c r="Q399" s="12"/>
      <c r="R399" s="12"/>
      <c r="S399" s="12"/>
      <c r="T399" s="12"/>
      <c r="U399" s="12"/>
      <c r="V399" s="12"/>
    </row>
    <row r="400" customFormat="false" ht="12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39"/>
      <c r="Q400" s="12"/>
      <c r="R400" s="12"/>
      <c r="S400" s="12"/>
      <c r="T400" s="12"/>
      <c r="U400" s="12"/>
      <c r="V400" s="12"/>
    </row>
    <row r="401" customFormat="false" ht="12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39"/>
      <c r="Q401" s="12"/>
      <c r="R401" s="12"/>
      <c r="S401" s="12"/>
      <c r="T401" s="12"/>
      <c r="U401" s="12"/>
      <c r="V401" s="12"/>
    </row>
    <row r="402" customFormat="false" ht="12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39"/>
      <c r="Q402" s="12"/>
      <c r="R402" s="12"/>
      <c r="S402" s="12"/>
      <c r="T402" s="12"/>
      <c r="U402" s="12"/>
      <c r="V402" s="12"/>
    </row>
    <row r="403" customFormat="false" ht="12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39"/>
      <c r="Q403" s="12"/>
      <c r="R403" s="12"/>
      <c r="S403" s="12"/>
      <c r="T403" s="12"/>
      <c r="U403" s="12"/>
      <c r="V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39"/>
      <c r="Q404" s="12"/>
      <c r="R404" s="12"/>
      <c r="S404" s="12"/>
      <c r="T404" s="12"/>
      <c r="U404" s="12"/>
      <c r="V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39"/>
      <c r="Q405" s="12"/>
      <c r="R405" s="12"/>
      <c r="S405" s="12"/>
      <c r="T405" s="12"/>
      <c r="U405" s="12"/>
      <c r="V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39"/>
      <c r="Q406" s="12"/>
      <c r="R406" s="12"/>
      <c r="S406" s="12"/>
      <c r="T406" s="12"/>
      <c r="U406" s="12"/>
      <c r="V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39"/>
      <c r="Q407" s="12"/>
      <c r="R407" s="12"/>
      <c r="S407" s="12"/>
      <c r="T407" s="12"/>
      <c r="U407" s="12"/>
      <c r="V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39"/>
      <c r="Q408" s="12"/>
      <c r="R408" s="12"/>
      <c r="S408" s="12"/>
      <c r="T408" s="12"/>
      <c r="U408" s="12"/>
      <c r="V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39"/>
      <c r="Q409" s="12"/>
      <c r="R409" s="12"/>
      <c r="S409" s="12"/>
      <c r="T409" s="12"/>
      <c r="U409" s="12"/>
      <c r="V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39"/>
      <c r="Q410" s="12"/>
      <c r="R410" s="12"/>
      <c r="S410" s="12"/>
      <c r="T410" s="12"/>
      <c r="U410" s="12"/>
      <c r="V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39"/>
      <c r="Q411" s="12"/>
      <c r="R411" s="12"/>
      <c r="S411" s="12"/>
      <c r="T411" s="12"/>
      <c r="U411" s="12"/>
      <c r="V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39"/>
      <c r="Q412" s="12"/>
      <c r="R412" s="12"/>
      <c r="S412" s="12"/>
      <c r="T412" s="12"/>
      <c r="U412" s="12"/>
      <c r="V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39"/>
      <c r="Q413" s="12"/>
      <c r="R413" s="12"/>
      <c r="S413" s="12"/>
      <c r="T413" s="12"/>
      <c r="U413" s="12"/>
      <c r="V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39"/>
      <c r="Q414" s="12"/>
      <c r="R414" s="12"/>
      <c r="S414" s="12"/>
      <c r="T414" s="12"/>
      <c r="U414" s="12"/>
      <c r="V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39"/>
      <c r="Q415" s="12"/>
      <c r="R415" s="12"/>
      <c r="S415" s="12"/>
      <c r="T415" s="12"/>
      <c r="U415" s="12"/>
      <c r="V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39"/>
      <c r="Q416" s="12"/>
      <c r="R416" s="12"/>
      <c r="S416" s="12"/>
      <c r="T416" s="12"/>
      <c r="U416" s="12"/>
      <c r="V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39"/>
      <c r="Q417" s="12"/>
      <c r="R417" s="12"/>
      <c r="S417" s="12"/>
      <c r="T417" s="12"/>
      <c r="U417" s="12"/>
      <c r="V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39"/>
      <c r="Q418" s="12"/>
      <c r="R418" s="12"/>
      <c r="S418" s="12"/>
      <c r="T418" s="12"/>
      <c r="U418" s="12"/>
      <c r="V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39"/>
      <c r="Q419" s="12"/>
      <c r="R419" s="12"/>
      <c r="S419" s="12"/>
      <c r="T419" s="12"/>
      <c r="U419" s="12"/>
      <c r="V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39"/>
      <c r="Q420" s="12"/>
      <c r="R420" s="12"/>
      <c r="S420" s="12"/>
      <c r="T420" s="12"/>
      <c r="U420" s="12"/>
      <c r="V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39"/>
      <c r="Q421" s="12"/>
      <c r="R421" s="12"/>
      <c r="S421" s="12"/>
      <c r="T421" s="12"/>
      <c r="U421" s="12"/>
      <c r="V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39"/>
      <c r="Q422" s="12"/>
      <c r="R422" s="12"/>
      <c r="S422" s="12"/>
      <c r="T422" s="12"/>
      <c r="U422" s="12"/>
      <c r="V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39"/>
      <c r="Q423" s="12"/>
      <c r="R423" s="12"/>
      <c r="S423" s="12"/>
      <c r="T423" s="12"/>
      <c r="U423" s="12"/>
      <c r="V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39"/>
      <c r="Q424" s="12"/>
      <c r="R424" s="12"/>
      <c r="S424" s="12"/>
      <c r="T424" s="12"/>
      <c r="U424" s="12"/>
      <c r="V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39"/>
      <c r="Q425" s="12"/>
      <c r="R425" s="12"/>
      <c r="S425" s="12"/>
      <c r="T425" s="12"/>
      <c r="U425" s="12"/>
      <c r="V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39"/>
      <c r="Q426" s="12"/>
      <c r="R426" s="12"/>
      <c r="S426" s="12"/>
      <c r="T426" s="12"/>
      <c r="U426" s="12"/>
      <c r="V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39"/>
      <c r="Q427" s="12"/>
      <c r="R427" s="12"/>
      <c r="S427" s="12"/>
      <c r="T427" s="12"/>
      <c r="U427" s="12"/>
      <c r="V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39"/>
      <c r="Q428" s="12"/>
      <c r="R428" s="12"/>
      <c r="S428" s="12"/>
      <c r="T428" s="12"/>
      <c r="U428" s="12"/>
      <c r="V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39"/>
      <c r="Q429" s="12"/>
      <c r="R429" s="12"/>
      <c r="S429" s="12"/>
      <c r="T429" s="12"/>
      <c r="U429" s="12"/>
      <c r="V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39"/>
      <c r="Q430" s="12"/>
      <c r="R430" s="12"/>
      <c r="S430" s="12"/>
      <c r="T430" s="12"/>
      <c r="U430" s="12"/>
      <c r="V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39"/>
      <c r="Q431" s="12"/>
      <c r="R431" s="12"/>
      <c r="S431" s="12"/>
      <c r="T431" s="12"/>
      <c r="U431" s="12"/>
      <c r="V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39"/>
      <c r="Q432" s="12"/>
      <c r="R432" s="12"/>
      <c r="S432" s="12"/>
      <c r="T432" s="12"/>
      <c r="U432" s="12"/>
      <c r="V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39"/>
      <c r="Q433" s="12"/>
      <c r="R433" s="12"/>
      <c r="S433" s="12"/>
      <c r="T433" s="12"/>
      <c r="U433" s="12"/>
      <c r="V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39"/>
      <c r="Q434" s="12"/>
      <c r="R434" s="12"/>
      <c r="S434" s="12"/>
      <c r="T434" s="12"/>
      <c r="U434" s="12"/>
      <c r="V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39"/>
      <c r="Q435" s="12"/>
      <c r="R435" s="12"/>
      <c r="S435" s="12"/>
      <c r="T435" s="12"/>
      <c r="U435" s="12"/>
      <c r="V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39"/>
      <c r="Q436" s="12"/>
      <c r="R436" s="12"/>
      <c r="S436" s="12"/>
      <c r="T436" s="12"/>
      <c r="U436" s="12"/>
      <c r="V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39"/>
      <c r="Q437" s="12"/>
      <c r="R437" s="12"/>
      <c r="S437" s="12"/>
      <c r="T437" s="12"/>
      <c r="U437" s="12"/>
      <c r="V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39"/>
      <c r="Q438" s="12"/>
      <c r="R438" s="12"/>
      <c r="S438" s="12"/>
      <c r="T438" s="12"/>
      <c r="U438" s="12"/>
      <c r="V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39"/>
      <c r="Q439" s="12"/>
      <c r="R439" s="12"/>
      <c r="S439" s="12"/>
      <c r="T439" s="12"/>
      <c r="U439" s="12"/>
      <c r="V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39"/>
      <c r="Q440" s="12"/>
      <c r="R440" s="12"/>
      <c r="S440" s="12"/>
      <c r="T440" s="12"/>
      <c r="U440" s="12"/>
      <c r="V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39"/>
      <c r="Q441" s="12"/>
      <c r="R441" s="12"/>
      <c r="S441" s="12"/>
      <c r="T441" s="12"/>
      <c r="U441" s="12"/>
      <c r="V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39"/>
      <c r="Q442" s="12"/>
      <c r="R442" s="12"/>
      <c r="S442" s="12"/>
      <c r="T442" s="12"/>
      <c r="U442" s="12"/>
      <c r="V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39"/>
      <c r="Q443" s="12"/>
      <c r="R443" s="12"/>
      <c r="S443" s="12"/>
      <c r="T443" s="12"/>
      <c r="U443" s="12"/>
      <c r="V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39"/>
      <c r="Q444" s="12"/>
      <c r="R444" s="12"/>
      <c r="S444" s="12"/>
      <c r="T444" s="12"/>
      <c r="U444" s="12"/>
      <c r="V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39"/>
      <c r="Q445" s="12"/>
      <c r="R445" s="12"/>
      <c r="S445" s="12"/>
      <c r="T445" s="12"/>
      <c r="U445" s="12"/>
      <c r="V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39"/>
      <c r="Q446" s="12"/>
      <c r="R446" s="12"/>
      <c r="S446" s="12"/>
      <c r="T446" s="12"/>
      <c r="U446" s="12"/>
      <c r="V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39"/>
      <c r="Q447" s="12"/>
      <c r="R447" s="12"/>
      <c r="S447" s="12"/>
      <c r="T447" s="12"/>
      <c r="U447" s="12"/>
      <c r="V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39"/>
      <c r="Q448" s="12"/>
      <c r="R448" s="12"/>
      <c r="S448" s="12"/>
      <c r="T448" s="12"/>
      <c r="U448" s="12"/>
      <c r="V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39"/>
      <c r="Q449" s="12"/>
      <c r="R449" s="12"/>
      <c r="S449" s="12"/>
      <c r="T449" s="12"/>
      <c r="U449" s="12"/>
      <c r="V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39"/>
      <c r="Q450" s="12"/>
      <c r="R450" s="12"/>
      <c r="S450" s="12"/>
      <c r="T450" s="12"/>
      <c r="U450" s="12"/>
      <c r="V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39"/>
      <c r="Q451" s="12"/>
      <c r="R451" s="12"/>
      <c r="S451" s="12"/>
      <c r="T451" s="12"/>
      <c r="U451" s="12"/>
      <c r="V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39"/>
      <c r="Q452" s="12"/>
      <c r="R452" s="12"/>
      <c r="S452" s="12"/>
      <c r="T452" s="12"/>
      <c r="U452" s="12"/>
      <c r="V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39"/>
      <c r="Q453" s="12"/>
      <c r="R453" s="12"/>
      <c r="S453" s="12"/>
      <c r="T453" s="12"/>
      <c r="U453" s="12"/>
      <c r="V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39"/>
      <c r="Q454" s="12"/>
      <c r="R454" s="12"/>
      <c r="S454" s="12"/>
      <c r="T454" s="12"/>
      <c r="U454" s="12"/>
      <c r="V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39"/>
      <c r="Q455" s="12"/>
      <c r="R455" s="12"/>
      <c r="S455" s="12"/>
      <c r="T455" s="12"/>
      <c r="U455" s="12"/>
      <c r="V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39"/>
      <c r="Q456" s="12"/>
      <c r="R456" s="12"/>
      <c r="S456" s="12"/>
      <c r="T456" s="12"/>
      <c r="U456" s="12"/>
      <c r="V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39"/>
      <c r="Q457" s="12"/>
      <c r="R457" s="12"/>
      <c r="S457" s="12"/>
      <c r="T457" s="12"/>
      <c r="U457" s="12"/>
      <c r="V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39"/>
      <c r="Q458" s="12"/>
      <c r="R458" s="12"/>
      <c r="S458" s="12"/>
      <c r="T458" s="12"/>
      <c r="U458" s="12"/>
      <c r="V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39"/>
      <c r="Q459" s="12"/>
      <c r="R459" s="12"/>
      <c r="S459" s="12"/>
      <c r="T459" s="12"/>
      <c r="U459" s="12"/>
      <c r="V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39"/>
      <c r="Q460" s="12"/>
      <c r="R460" s="12"/>
      <c r="S460" s="12"/>
      <c r="T460" s="12"/>
      <c r="U460" s="12"/>
      <c r="V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39"/>
      <c r="Q461" s="12"/>
      <c r="R461" s="12"/>
      <c r="S461" s="12"/>
      <c r="T461" s="12"/>
      <c r="U461" s="12"/>
      <c r="V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39"/>
      <c r="Q462" s="12"/>
      <c r="R462" s="12"/>
      <c r="S462" s="12"/>
      <c r="T462" s="12"/>
      <c r="U462" s="12"/>
      <c r="V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39"/>
      <c r="Q463" s="12"/>
      <c r="R463" s="12"/>
      <c r="S463" s="12"/>
      <c r="T463" s="12"/>
      <c r="U463" s="12"/>
      <c r="V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39"/>
      <c r="Q464" s="12"/>
      <c r="R464" s="12"/>
      <c r="S464" s="12"/>
      <c r="T464" s="12"/>
      <c r="U464" s="12"/>
      <c r="V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39"/>
      <c r="Q465" s="12"/>
      <c r="R465" s="12"/>
      <c r="S465" s="12"/>
      <c r="T465" s="12"/>
      <c r="U465" s="12"/>
      <c r="V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39"/>
      <c r="Q466" s="12"/>
      <c r="R466" s="12"/>
      <c r="S466" s="12"/>
      <c r="T466" s="12"/>
      <c r="U466" s="12"/>
      <c r="V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39"/>
      <c r="Q467" s="12"/>
      <c r="R467" s="12"/>
      <c r="S467" s="12"/>
      <c r="T467" s="12"/>
      <c r="U467" s="12"/>
      <c r="V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39"/>
      <c r="Q468" s="12"/>
      <c r="R468" s="12"/>
      <c r="S468" s="12"/>
      <c r="T468" s="12"/>
      <c r="U468" s="12"/>
      <c r="V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39"/>
      <c r="Q469" s="12"/>
      <c r="R469" s="12"/>
      <c r="S469" s="12"/>
      <c r="T469" s="12"/>
      <c r="U469" s="12"/>
      <c r="V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39"/>
      <c r="Q470" s="12"/>
      <c r="R470" s="12"/>
      <c r="S470" s="12"/>
      <c r="T470" s="12"/>
      <c r="U470" s="12"/>
      <c r="V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39"/>
      <c r="Q471" s="12"/>
      <c r="R471" s="12"/>
      <c r="S471" s="12"/>
      <c r="T471" s="12"/>
      <c r="U471" s="12"/>
      <c r="V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39"/>
      <c r="Q472" s="12"/>
      <c r="R472" s="12"/>
      <c r="S472" s="12"/>
      <c r="T472" s="12"/>
      <c r="U472" s="12"/>
      <c r="V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39"/>
      <c r="Q473" s="12"/>
      <c r="R473" s="12"/>
      <c r="S473" s="12"/>
      <c r="T473" s="12"/>
      <c r="U473" s="12"/>
      <c r="V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39"/>
      <c r="Q474" s="12"/>
      <c r="R474" s="12"/>
      <c r="S474" s="12"/>
      <c r="T474" s="12"/>
      <c r="U474" s="12"/>
      <c r="V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39"/>
      <c r="Q475" s="12"/>
      <c r="R475" s="12"/>
      <c r="S475" s="12"/>
      <c r="T475" s="12"/>
      <c r="U475" s="12"/>
      <c r="V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39"/>
      <c r="Q476" s="12"/>
      <c r="R476" s="12"/>
      <c r="S476" s="12"/>
      <c r="T476" s="12"/>
      <c r="U476" s="12"/>
      <c r="V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39"/>
      <c r="Q477" s="12"/>
      <c r="R477" s="12"/>
      <c r="S477" s="12"/>
      <c r="T477" s="12"/>
      <c r="U477" s="12"/>
      <c r="V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39"/>
      <c r="Q478" s="12"/>
      <c r="R478" s="12"/>
      <c r="S478" s="12"/>
      <c r="T478" s="12"/>
      <c r="U478" s="12"/>
      <c r="V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39"/>
      <c r="Q479" s="12"/>
      <c r="R479" s="12"/>
      <c r="S479" s="12"/>
      <c r="T479" s="12"/>
      <c r="U479" s="12"/>
      <c r="V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39"/>
      <c r="Q480" s="12"/>
      <c r="R480" s="12"/>
      <c r="S480" s="12"/>
      <c r="T480" s="12"/>
      <c r="U480" s="12"/>
      <c r="V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39"/>
      <c r="Q481" s="12"/>
      <c r="R481" s="12"/>
      <c r="S481" s="12"/>
      <c r="T481" s="12"/>
      <c r="U481" s="12"/>
      <c r="V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39"/>
      <c r="Q482" s="12"/>
      <c r="R482" s="12"/>
      <c r="S482" s="12"/>
      <c r="T482" s="12"/>
      <c r="U482" s="12"/>
      <c r="V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39"/>
      <c r="Q483" s="12"/>
      <c r="R483" s="12"/>
      <c r="S483" s="12"/>
      <c r="T483" s="12"/>
      <c r="U483" s="12"/>
      <c r="V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39"/>
      <c r="Q484" s="12"/>
      <c r="R484" s="12"/>
      <c r="S484" s="12"/>
      <c r="T484" s="12"/>
      <c r="U484" s="12"/>
      <c r="V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39"/>
      <c r="Q485" s="12"/>
      <c r="R485" s="12"/>
      <c r="S485" s="12"/>
      <c r="T485" s="12"/>
      <c r="U485" s="12"/>
      <c r="V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39"/>
      <c r="Q486" s="12"/>
      <c r="R486" s="12"/>
      <c r="S486" s="12"/>
      <c r="T486" s="12"/>
      <c r="U486" s="12"/>
      <c r="V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39"/>
      <c r="Q487" s="12"/>
      <c r="R487" s="12"/>
      <c r="S487" s="12"/>
      <c r="T487" s="12"/>
      <c r="U487" s="12"/>
      <c r="V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39"/>
      <c r="Q488" s="12"/>
      <c r="R488" s="12"/>
      <c r="S488" s="12"/>
      <c r="T488" s="12"/>
      <c r="U488" s="12"/>
      <c r="V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39"/>
      <c r="Q489" s="12"/>
      <c r="R489" s="12"/>
      <c r="S489" s="12"/>
      <c r="T489" s="12"/>
      <c r="U489" s="12"/>
      <c r="V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39"/>
      <c r="Q490" s="12"/>
      <c r="R490" s="12"/>
      <c r="S490" s="12"/>
      <c r="T490" s="12"/>
      <c r="U490" s="12"/>
      <c r="V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39"/>
      <c r="Q491" s="12"/>
      <c r="R491" s="12"/>
      <c r="S491" s="12"/>
      <c r="T491" s="12"/>
      <c r="U491" s="12"/>
      <c r="V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39"/>
      <c r="Q492" s="12"/>
      <c r="R492" s="12"/>
      <c r="S492" s="12"/>
      <c r="T492" s="12"/>
      <c r="U492" s="12"/>
      <c r="V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39"/>
      <c r="Q493" s="12"/>
      <c r="R493" s="12"/>
      <c r="S493" s="12"/>
      <c r="T493" s="12"/>
      <c r="U493" s="12"/>
      <c r="V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39"/>
      <c r="Q494" s="12"/>
      <c r="R494" s="12"/>
      <c r="S494" s="12"/>
      <c r="T494" s="12"/>
      <c r="U494" s="12"/>
      <c r="V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39"/>
      <c r="Q495" s="12"/>
      <c r="R495" s="12"/>
      <c r="S495" s="12"/>
      <c r="T495" s="12"/>
      <c r="U495" s="12"/>
      <c r="V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39"/>
      <c r="Q496" s="12"/>
      <c r="R496" s="12"/>
      <c r="S496" s="12"/>
      <c r="T496" s="12"/>
      <c r="U496" s="12"/>
      <c r="V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39"/>
      <c r="Q497" s="12"/>
      <c r="R497" s="12"/>
      <c r="S497" s="12"/>
      <c r="T497" s="12"/>
      <c r="U497" s="12"/>
      <c r="V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39"/>
      <c r="Q498" s="12"/>
      <c r="R498" s="12"/>
      <c r="S498" s="12"/>
      <c r="T498" s="12"/>
      <c r="U498" s="12"/>
      <c r="V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39"/>
      <c r="Q499" s="12"/>
      <c r="R499" s="12"/>
      <c r="S499" s="12"/>
      <c r="T499" s="12"/>
      <c r="U499" s="12"/>
      <c r="V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39"/>
      <c r="Q500" s="12"/>
      <c r="R500" s="12"/>
      <c r="S500" s="12"/>
      <c r="T500" s="12"/>
      <c r="U500" s="12"/>
      <c r="V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39"/>
      <c r="Q501" s="12"/>
      <c r="R501" s="12"/>
      <c r="S501" s="12"/>
      <c r="T501" s="12"/>
      <c r="U501" s="12"/>
      <c r="V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39"/>
      <c r="Q502" s="12"/>
      <c r="R502" s="12"/>
      <c r="S502" s="12"/>
      <c r="T502" s="12"/>
      <c r="U502" s="12"/>
      <c r="V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39"/>
      <c r="Q503" s="12"/>
      <c r="R503" s="12"/>
      <c r="S503" s="12"/>
      <c r="T503" s="12"/>
      <c r="U503" s="12"/>
      <c r="V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39"/>
      <c r="Q504" s="12"/>
      <c r="R504" s="12"/>
      <c r="S504" s="12"/>
      <c r="T504" s="12"/>
      <c r="U504" s="12"/>
      <c r="V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39"/>
      <c r="Q505" s="12"/>
      <c r="R505" s="12"/>
      <c r="S505" s="12"/>
      <c r="T505" s="12"/>
      <c r="U505" s="12"/>
      <c r="V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39"/>
      <c r="Q506" s="12"/>
      <c r="R506" s="12"/>
      <c r="S506" s="12"/>
      <c r="T506" s="12"/>
      <c r="U506" s="12"/>
      <c r="V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39"/>
      <c r="Q507" s="12"/>
      <c r="R507" s="12"/>
      <c r="S507" s="12"/>
      <c r="T507" s="12"/>
      <c r="U507" s="12"/>
      <c r="V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39"/>
      <c r="Q508" s="12"/>
      <c r="R508" s="12"/>
      <c r="S508" s="12"/>
      <c r="T508" s="12"/>
      <c r="U508" s="12"/>
      <c r="V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39"/>
      <c r="Q509" s="12"/>
      <c r="R509" s="12"/>
      <c r="S509" s="12"/>
      <c r="T509" s="12"/>
      <c r="U509" s="12"/>
      <c r="V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39"/>
      <c r="Q510" s="12"/>
      <c r="R510" s="12"/>
      <c r="S510" s="12"/>
      <c r="T510" s="12"/>
      <c r="U510" s="12"/>
      <c r="V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39"/>
      <c r="Q511" s="12"/>
      <c r="R511" s="12"/>
      <c r="S511" s="12"/>
      <c r="T511" s="12"/>
      <c r="U511" s="12"/>
      <c r="V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39"/>
      <c r="Q512" s="12"/>
      <c r="R512" s="12"/>
      <c r="S512" s="12"/>
      <c r="T512" s="12"/>
      <c r="U512" s="12"/>
      <c r="V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39"/>
      <c r="Q513" s="12"/>
      <c r="R513" s="12"/>
      <c r="S513" s="12"/>
      <c r="T513" s="12"/>
      <c r="U513" s="12"/>
      <c r="V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39"/>
      <c r="Q514" s="12"/>
      <c r="R514" s="12"/>
      <c r="S514" s="12"/>
      <c r="T514" s="12"/>
      <c r="U514" s="12"/>
      <c r="V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39"/>
      <c r="Q515" s="12"/>
      <c r="R515" s="12"/>
      <c r="S515" s="12"/>
      <c r="T515" s="12"/>
      <c r="U515" s="12"/>
      <c r="V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39"/>
      <c r="Q516" s="12"/>
      <c r="R516" s="12"/>
      <c r="S516" s="12"/>
      <c r="T516" s="12"/>
      <c r="U516" s="12"/>
      <c r="V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39"/>
      <c r="Q517" s="12"/>
      <c r="R517" s="12"/>
      <c r="S517" s="12"/>
      <c r="T517" s="12"/>
      <c r="U517" s="12"/>
      <c r="V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39"/>
      <c r="Q518" s="12"/>
      <c r="R518" s="12"/>
      <c r="S518" s="12"/>
      <c r="T518" s="12"/>
      <c r="U518" s="12"/>
      <c r="V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39"/>
      <c r="Q519" s="12"/>
      <c r="R519" s="12"/>
      <c r="S519" s="12"/>
      <c r="T519" s="12"/>
      <c r="U519" s="12"/>
      <c r="V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39"/>
      <c r="Q520" s="12"/>
      <c r="R520" s="12"/>
      <c r="S520" s="12"/>
      <c r="T520" s="12"/>
      <c r="U520" s="12"/>
      <c r="V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39"/>
      <c r="Q521" s="12"/>
      <c r="R521" s="12"/>
      <c r="S521" s="12"/>
      <c r="T521" s="12"/>
      <c r="U521" s="12"/>
      <c r="V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39"/>
      <c r="Q522" s="12"/>
      <c r="R522" s="12"/>
      <c r="S522" s="12"/>
      <c r="T522" s="12"/>
      <c r="U522" s="12"/>
      <c r="V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39"/>
      <c r="Q523" s="12"/>
      <c r="R523" s="12"/>
      <c r="S523" s="12"/>
      <c r="T523" s="12"/>
      <c r="U523" s="12"/>
      <c r="V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39"/>
      <c r="Q524" s="12"/>
      <c r="R524" s="12"/>
      <c r="S524" s="12"/>
      <c r="T524" s="12"/>
      <c r="U524" s="12"/>
      <c r="V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39"/>
      <c r="Q525" s="12"/>
      <c r="R525" s="12"/>
      <c r="S525" s="12"/>
      <c r="T525" s="12"/>
      <c r="U525" s="12"/>
      <c r="V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39"/>
      <c r="Q526" s="12"/>
      <c r="R526" s="12"/>
      <c r="S526" s="12"/>
      <c r="T526" s="12"/>
      <c r="U526" s="12"/>
      <c r="V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39"/>
      <c r="Q527" s="12"/>
      <c r="R527" s="12"/>
      <c r="S527" s="12"/>
      <c r="T527" s="12"/>
      <c r="U527" s="12"/>
      <c r="V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39"/>
      <c r="Q528" s="12"/>
      <c r="R528" s="12"/>
      <c r="S528" s="12"/>
      <c r="T528" s="12"/>
      <c r="U528" s="12"/>
      <c r="V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39"/>
      <c r="Q529" s="12"/>
      <c r="R529" s="12"/>
      <c r="S529" s="12"/>
      <c r="T529" s="12"/>
      <c r="U529" s="12"/>
      <c r="V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39"/>
      <c r="Q530" s="12"/>
      <c r="R530" s="12"/>
      <c r="S530" s="12"/>
      <c r="T530" s="12"/>
      <c r="U530" s="12"/>
      <c r="V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39"/>
      <c r="Q531" s="12"/>
      <c r="R531" s="12"/>
      <c r="S531" s="12"/>
      <c r="T531" s="12"/>
      <c r="U531" s="12"/>
      <c r="V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39"/>
      <c r="Q532" s="12"/>
      <c r="R532" s="12"/>
      <c r="S532" s="12"/>
      <c r="T532" s="12"/>
      <c r="U532" s="12"/>
      <c r="V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39"/>
      <c r="Q533" s="12"/>
      <c r="R533" s="12"/>
      <c r="S533" s="12"/>
      <c r="T533" s="12"/>
      <c r="U533" s="12"/>
      <c r="V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39"/>
      <c r="Q534" s="12"/>
      <c r="R534" s="12"/>
      <c r="S534" s="12"/>
      <c r="T534" s="12"/>
      <c r="U534" s="12"/>
      <c r="V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39"/>
      <c r="Q535" s="12"/>
      <c r="R535" s="12"/>
      <c r="S535" s="12"/>
      <c r="T535" s="12"/>
      <c r="U535" s="12"/>
      <c r="V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39"/>
      <c r="Q536" s="12"/>
      <c r="R536" s="12"/>
      <c r="S536" s="12"/>
      <c r="T536" s="12"/>
      <c r="U536" s="12"/>
      <c r="V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39"/>
      <c r="Q537" s="12"/>
      <c r="R537" s="12"/>
      <c r="S537" s="12"/>
      <c r="T537" s="12"/>
      <c r="U537" s="12"/>
      <c r="V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39"/>
      <c r="Q538" s="12"/>
      <c r="R538" s="12"/>
      <c r="S538" s="12"/>
      <c r="T538" s="12"/>
      <c r="U538" s="12"/>
      <c r="V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39"/>
      <c r="Q539" s="12"/>
      <c r="R539" s="12"/>
      <c r="S539" s="12"/>
      <c r="T539" s="12"/>
      <c r="U539" s="12"/>
      <c r="V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39"/>
      <c r="Q540" s="12"/>
      <c r="R540" s="12"/>
      <c r="S540" s="12"/>
      <c r="T540" s="12"/>
      <c r="U540" s="12"/>
      <c r="V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39"/>
      <c r="Q541" s="12"/>
      <c r="R541" s="12"/>
      <c r="S541" s="12"/>
      <c r="T541" s="12"/>
      <c r="U541" s="12"/>
      <c r="V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39"/>
      <c r="Q542" s="12"/>
      <c r="R542" s="12"/>
      <c r="S542" s="12"/>
      <c r="T542" s="12"/>
      <c r="U542" s="12"/>
      <c r="V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39"/>
      <c r="Q543" s="12"/>
      <c r="R543" s="12"/>
      <c r="S543" s="12"/>
      <c r="T543" s="12"/>
      <c r="U543" s="12"/>
      <c r="V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39"/>
      <c r="Q544" s="12"/>
      <c r="R544" s="12"/>
      <c r="S544" s="12"/>
      <c r="T544" s="12"/>
      <c r="U544" s="12"/>
      <c r="V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39"/>
      <c r="Q545" s="12"/>
      <c r="R545" s="12"/>
      <c r="S545" s="12"/>
      <c r="T545" s="12"/>
      <c r="U545" s="12"/>
      <c r="V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39"/>
      <c r="Q546" s="12"/>
      <c r="R546" s="12"/>
      <c r="S546" s="12"/>
      <c r="T546" s="12"/>
      <c r="U546" s="12"/>
      <c r="V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39"/>
      <c r="Q547" s="12"/>
      <c r="R547" s="12"/>
      <c r="S547" s="12"/>
      <c r="T547" s="12"/>
      <c r="U547" s="12"/>
      <c r="V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39"/>
      <c r="Q548" s="12"/>
      <c r="R548" s="12"/>
      <c r="S548" s="12"/>
      <c r="T548" s="12"/>
      <c r="U548" s="12"/>
      <c r="V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39"/>
      <c r="Q549" s="12"/>
      <c r="R549" s="12"/>
      <c r="S549" s="12"/>
      <c r="T549" s="12"/>
      <c r="U549" s="12"/>
      <c r="V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39"/>
      <c r="Q550" s="12"/>
      <c r="R550" s="12"/>
      <c r="S550" s="12"/>
      <c r="T550" s="12"/>
      <c r="U550" s="12"/>
      <c r="V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39"/>
      <c r="Q551" s="12"/>
      <c r="R551" s="12"/>
      <c r="S551" s="12"/>
      <c r="T551" s="12"/>
      <c r="U551" s="12"/>
      <c r="V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39"/>
      <c r="Q552" s="12"/>
      <c r="R552" s="12"/>
      <c r="S552" s="12"/>
      <c r="T552" s="12"/>
      <c r="U552" s="12"/>
      <c r="V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39"/>
      <c r="Q553" s="12"/>
      <c r="R553" s="12"/>
      <c r="S553" s="12"/>
      <c r="T553" s="12"/>
      <c r="U553" s="12"/>
      <c r="V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39"/>
      <c r="Q554" s="12"/>
      <c r="R554" s="12"/>
      <c r="S554" s="12"/>
      <c r="T554" s="12"/>
      <c r="U554" s="12"/>
      <c r="V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39"/>
      <c r="Q555" s="12"/>
      <c r="R555" s="12"/>
      <c r="S555" s="12"/>
      <c r="T555" s="12"/>
      <c r="U555" s="12"/>
      <c r="V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39"/>
      <c r="Q556" s="12"/>
      <c r="R556" s="12"/>
      <c r="S556" s="12"/>
      <c r="T556" s="12"/>
      <c r="U556" s="12"/>
      <c r="V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39"/>
      <c r="Q557" s="12"/>
      <c r="R557" s="12"/>
      <c r="S557" s="12"/>
      <c r="T557" s="12"/>
      <c r="U557" s="12"/>
      <c r="V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39"/>
      <c r="Q558" s="12"/>
      <c r="R558" s="12"/>
      <c r="S558" s="12"/>
      <c r="T558" s="12"/>
      <c r="U558" s="12"/>
      <c r="V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39"/>
      <c r="Q559" s="12"/>
      <c r="R559" s="12"/>
      <c r="S559" s="12"/>
      <c r="T559" s="12"/>
      <c r="U559" s="12"/>
      <c r="V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39"/>
      <c r="Q560" s="12"/>
      <c r="R560" s="12"/>
      <c r="S560" s="12"/>
      <c r="T560" s="12"/>
      <c r="U560" s="12"/>
      <c r="V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39"/>
      <c r="Q561" s="12"/>
      <c r="R561" s="12"/>
      <c r="S561" s="12"/>
      <c r="T561" s="12"/>
      <c r="U561" s="12"/>
      <c r="V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39"/>
      <c r="Q562" s="12"/>
      <c r="R562" s="12"/>
      <c r="S562" s="12"/>
      <c r="T562" s="12"/>
      <c r="U562" s="12"/>
      <c r="V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39"/>
      <c r="Q563" s="12"/>
      <c r="R563" s="12"/>
      <c r="S563" s="12"/>
      <c r="T563" s="12"/>
      <c r="U563" s="12"/>
      <c r="V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39"/>
      <c r="Q564" s="12"/>
      <c r="R564" s="12"/>
      <c r="S564" s="12"/>
      <c r="T564" s="12"/>
      <c r="U564" s="12"/>
      <c r="V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39"/>
      <c r="Q565" s="12"/>
      <c r="R565" s="12"/>
      <c r="S565" s="12"/>
      <c r="T565" s="12"/>
      <c r="U565" s="12"/>
      <c r="V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39"/>
      <c r="Q566" s="12"/>
      <c r="R566" s="12"/>
      <c r="S566" s="12"/>
      <c r="T566" s="12"/>
      <c r="U566" s="12"/>
      <c r="V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39"/>
      <c r="Q567" s="12"/>
      <c r="R567" s="12"/>
      <c r="S567" s="12"/>
      <c r="T567" s="12"/>
      <c r="U567" s="12"/>
      <c r="V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39"/>
      <c r="Q568" s="12"/>
      <c r="R568" s="12"/>
      <c r="S568" s="12"/>
      <c r="T568" s="12"/>
      <c r="U568" s="12"/>
      <c r="V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39"/>
      <c r="Q569" s="12"/>
      <c r="R569" s="12"/>
      <c r="S569" s="12"/>
      <c r="T569" s="12"/>
      <c r="U569" s="12"/>
      <c r="V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39"/>
      <c r="Q570" s="12"/>
      <c r="R570" s="12"/>
      <c r="S570" s="12"/>
      <c r="T570" s="12"/>
      <c r="U570" s="12"/>
      <c r="V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39"/>
      <c r="Q571" s="12"/>
      <c r="R571" s="12"/>
      <c r="S571" s="12"/>
      <c r="T571" s="12"/>
      <c r="U571" s="12"/>
      <c r="V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39"/>
      <c r="Q572" s="12"/>
      <c r="R572" s="12"/>
      <c r="S572" s="12"/>
      <c r="T572" s="12"/>
      <c r="U572" s="12"/>
      <c r="V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39"/>
      <c r="Q573" s="12"/>
      <c r="R573" s="12"/>
      <c r="S573" s="12"/>
      <c r="T573" s="12"/>
      <c r="U573" s="12"/>
      <c r="V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39"/>
      <c r="Q574" s="12"/>
      <c r="R574" s="12"/>
      <c r="S574" s="12"/>
      <c r="T574" s="12"/>
      <c r="U574" s="12"/>
      <c r="V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39"/>
      <c r="Q575" s="12"/>
      <c r="R575" s="12"/>
      <c r="S575" s="12"/>
      <c r="T575" s="12"/>
      <c r="U575" s="12"/>
      <c r="V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39"/>
      <c r="Q576" s="12"/>
      <c r="R576" s="12"/>
      <c r="S576" s="12"/>
      <c r="T576" s="12"/>
      <c r="U576" s="12"/>
      <c r="V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39"/>
      <c r="Q577" s="12"/>
      <c r="R577" s="12"/>
      <c r="S577" s="12"/>
      <c r="T577" s="12"/>
      <c r="U577" s="12"/>
      <c r="V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39"/>
      <c r="Q578" s="12"/>
      <c r="R578" s="12"/>
      <c r="S578" s="12"/>
      <c r="T578" s="12"/>
      <c r="U578" s="12"/>
      <c r="V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39"/>
      <c r="Q579" s="12"/>
      <c r="R579" s="12"/>
      <c r="S579" s="12"/>
      <c r="T579" s="12"/>
      <c r="U579" s="12"/>
      <c r="V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39"/>
      <c r="Q580" s="12"/>
      <c r="R580" s="12"/>
      <c r="S580" s="12"/>
      <c r="T580" s="12"/>
      <c r="U580" s="12"/>
      <c r="V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39"/>
      <c r="Q581" s="12"/>
      <c r="R581" s="12"/>
      <c r="S581" s="12"/>
      <c r="T581" s="12"/>
      <c r="U581" s="12"/>
      <c r="V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39"/>
      <c r="Q582" s="12"/>
      <c r="R582" s="12"/>
      <c r="S582" s="12"/>
      <c r="T582" s="12"/>
      <c r="U582" s="12"/>
      <c r="V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39"/>
      <c r="Q583" s="12"/>
      <c r="R583" s="12"/>
      <c r="S583" s="12"/>
      <c r="T583" s="12"/>
      <c r="U583" s="12"/>
      <c r="V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39"/>
      <c r="Q584" s="12"/>
      <c r="R584" s="12"/>
      <c r="S584" s="12"/>
      <c r="T584" s="12"/>
      <c r="U584" s="12"/>
      <c r="V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39"/>
      <c r="Q585" s="12"/>
      <c r="R585" s="12"/>
      <c r="S585" s="12"/>
      <c r="T585" s="12"/>
      <c r="U585" s="12"/>
      <c r="V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39"/>
      <c r="Q586" s="12"/>
      <c r="R586" s="12"/>
      <c r="S586" s="12"/>
      <c r="T586" s="12"/>
      <c r="U586" s="12"/>
      <c r="V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39"/>
      <c r="Q587" s="12"/>
      <c r="R587" s="12"/>
      <c r="S587" s="12"/>
      <c r="T587" s="12"/>
      <c r="U587" s="12"/>
      <c r="V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39"/>
      <c r="Q588" s="12"/>
      <c r="R588" s="12"/>
      <c r="S588" s="12"/>
      <c r="T588" s="12"/>
      <c r="U588" s="12"/>
      <c r="V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39"/>
      <c r="Q589" s="12"/>
      <c r="R589" s="12"/>
      <c r="S589" s="12"/>
      <c r="T589" s="12"/>
      <c r="U589" s="12"/>
      <c r="V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39"/>
      <c r="Q590" s="12"/>
      <c r="R590" s="12"/>
      <c r="S590" s="12"/>
      <c r="T590" s="12"/>
      <c r="U590" s="12"/>
      <c r="V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39"/>
      <c r="Q591" s="12"/>
      <c r="R591" s="12"/>
      <c r="S591" s="12"/>
      <c r="T591" s="12"/>
      <c r="U591" s="12"/>
      <c r="V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39"/>
      <c r="Q592" s="12"/>
      <c r="R592" s="12"/>
      <c r="S592" s="12"/>
      <c r="T592" s="12"/>
      <c r="U592" s="12"/>
      <c r="V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39"/>
      <c r="Q593" s="12"/>
      <c r="R593" s="12"/>
      <c r="S593" s="12"/>
      <c r="T593" s="12"/>
      <c r="U593" s="12"/>
      <c r="V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39"/>
      <c r="Q594" s="12"/>
      <c r="R594" s="12"/>
      <c r="S594" s="12"/>
      <c r="T594" s="12"/>
      <c r="U594" s="12"/>
      <c r="V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39"/>
      <c r="Q595" s="12"/>
      <c r="R595" s="12"/>
      <c r="S595" s="12"/>
      <c r="T595" s="12"/>
      <c r="U595" s="12"/>
      <c r="V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39"/>
      <c r="Q596" s="12"/>
      <c r="R596" s="12"/>
      <c r="S596" s="12"/>
      <c r="T596" s="12"/>
      <c r="U596" s="12"/>
      <c r="V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39"/>
      <c r="Q597" s="12"/>
      <c r="R597" s="12"/>
      <c r="S597" s="12"/>
      <c r="T597" s="12"/>
      <c r="U597" s="12"/>
      <c r="V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39"/>
      <c r="Q598" s="12"/>
      <c r="R598" s="12"/>
      <c r="S598" s="12"/>
      <c r="T598" s="12"/>
      <c r="U598" s="12"/>
      <c r="V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39"/>
      <c r="Q599" s="12"/>
      <c r="R599" s="12"/>
      <c r="S599" s="12"/>
      <c r="T599" s="12"/>
      <c r="U599" s="12"/>
      <c r="V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39"/>
      <c r="Q600" s="12"/>
      <c r="R600" s="12"/>
      <c r="S600" s="12"/>
      <c r="T600" s="12"/>
      <c r="U600" s="12"/>
      <c r="V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39"/>
      <c r="Q601" s="12"/>
      <c r="R601" s="12"/>
      <c r="S601" s="12"/>
      <c r="T601" s="12"/>
      <c r="U601" s="12"/>
      <c r="V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39"/>
      <c r="Q602" s="12"/>
      <c r="R602" s="12"/>
      <c r="S602" s="12"/>
      <c r="T602" s="12"/>
      <c r="U602" s="12"/>
      <c r="V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39"/>
      <c r="Q603" s="12"/>
      <c r="R603" s="12"/>
      <c r="S603" s="12"/>
      <c r="T603" s="12"/>
      <c r="U603" s="12"/>
      <c r="V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39"/>
      <c r="Q604" s="12"/>
      <c r="R604" s="12"/>
      <c r="S604" s="12"/>
      <c r="T604" s="12"/>
      <c r="U604" s="12"/>
      <c r="V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39"/>
      <c r="Q605" s="12"/>
      <c r="R605" s="12"/>
      <c r="S605" s="12"/>
      <c r="T605" s="12"/>
      <c r="U605" s="12"/>
      <c r="V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39"/>
      <c r="Q606" s="12"/>
      <c r="R606" s="12"/>
      <c r="S606" s="12"/>
      <c r="T606" s="12"/>
      <c r="U606" s="12"/>
      <c r="V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39"/>
      <c r="Q607" s="12"/>
      <c r="R607" s="12"/>
      <c r="S607" s="12"/>
      <c r="T607" s="12"/>
      <c r="U607" s="12"/>
      <c r="V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39"/>
      <c r="Q608" s="12"/>
      <c r="R608" s="12"/>
      <c r="S608" s="12"/>
      <c r="T608" s="12"/>
      <c r="U608" s="12"/>
      <c r="V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39"/>
      <c r="Q609" s="12"/>
      <c r="R609" s="12"/>
      <c r="S609" s="12"/>
      <c r="T609" s="12"/>
      <c r="U609" s="12"/>
      <c r="V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39"/>
      <c r="Q610" s="12"/>
      <c r="R610" s="12"/>
      <c r="S610" s="12"/>
      <c r="T610" s="12"/>
      <c r="U610" s="12"/>
      <c r="V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39"/>
      <c r="Q611" s="12"/>
      <c r="R611" s="12"/>
      <c r="S611" s="12"/>
      <c r="T611" s="12"/>
      <c r="U611" s="12"/>
      <c r="V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39"/>
      <c r="Q612" s="12"/>
      <c r="R612" s="12"/>
      <c r="S612" s="12"/>
      <c r="T612" s="12"/>
      <c r="U612" s="12"/>
      <c r="V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39"/>
      <c r="Q613" s="12"/>
      <c r="R613" s="12"/>
      <c r="S613" s="12"/>
      <c r="T613" s="12"/>
      <c r="U613" s="12"/>
      <c r="V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39"/>
      <c r="Q614" s="12"/>
      <c r="R614" s="12"/>
      <c r="S614" s="12"/>
      <c r="T614" s="12"/>
      <c r="U614" s="12"/>
      <c r="V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39"/>
      <c r="Q615" s="12"/>
      <c r="R615" s="12"/>
      <c r="S615" s="12"/>
      <c r="T615" s="12"/>
      <c r="U615" s="12"/>
      <c r="V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39"/>
      <c r="Q616" s="12"/>
      <c r="R616" s="12"/>
      <c r="S616" s="12"/>
      <c r="T616" s="12"/>
      <c r="U616" s="12"/>
      <c r="V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39"/>
      <c r="Q617" s="12"/>
      <c r="R617" s="12"/>
      <c r="S617" s="12"/>
      <c r="T617" s="12"/>
      <c r="U617" s="12"/>
      <c r="V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39"/>
      <c r="Q618" s="12"/>
      <c r="R618" s="12"/>
      <c r="S618" s="12"/>
      <c r="T618" s="12"/>
      <c r="U618" s="12"/>
      <c r="V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39"/>
      <c r="Q619" s="12"/>
      <c r="R619" s="12"/>
      <c r="S619" s="12"/>
      <c r="T619" s="12"/>
      <c r="U619" s="12"/>
      <c r="V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39"/>
      <c r="Q620" s="12"/>
      <c r="R620" s="12"/>
      <c r="S620" s="12"/>
      <c r="T620" s="12"/>
      <c r="U620" s="12"/>
      <c r="V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39"/>
      <c r="Q621" s="12"/>
      <c r="R621" s="12"/>
      <c r="S621" s="12"/>
      <c r="T621" s="12"/>
      <c r="U621" s="12"/>
      <c r="V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39"/>
      <c r="Q622" s="12"/>
      <c r="R622" s="12"/>
      <c r="S622" s="12"/>
      <c r="T622" s="12"/>
      <c r="U622" s="12"/>
      <c r="V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39"/>
      <c r="Q623" s="12"/>
      <c r="R623" s="12"/>
      <c r="S623" s="12"/>
      <c r="T623" s="12"/>
      <c r="U623" s="12"/>
      <c r="V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39"/>
      <c r="Q624" s="12"/>
      <c r="R624" s="12"/>
      <c r="S624" s="12"/>
      <c r="T624" s="12"/>
      <c r="U624" s="12"/>
      <c r="V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39"/>
      <c r="Q625" s="12"/>
      <c r="R625" s="12"/>
      <c r="S625" s="12"/>
      <c r="T625" s="12"/>
      <c r="U625" s="12"/>
      <c r="V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39"/>
      <c r="Q626" s="12"/>
      <c r="R626" s="12"/>
      <c r="S626" s="12"/>
      <c r="T626" s="12"/>
      <c r="U626" s="12"/>
      <c r="V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39"/>
      <c r="Q627" s="12"/>
      <c r="R627" s="12"/>
      <c r="S627" s="12"/>
      <c r="T627" s="12"/>
      <c r="U627" s="12"/>
      <c r="V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39"/>
      <c r="Q628" s="12"/>
      <c r="R628" s="12"/>
      <c r="S628" s="12"/>
      <c r="T628" s="12"/>
      <c r="U628" s="12"/>
      <c r="V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39"/>
      <c r="Q629" s="12"/>
      <c r="R629" s="12"/>
      <c r="S629" s="12"/>
      <c r="T629" s="12"/>
      <c r="U629" s="12"/>
      <c r="V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39"/>
      <c r="Q630" s="12"/>
      <c r="R630" s="12"/>
      <c r="S630" s="12"/>
      <c r="T630" s="12"/>
      <c r="U630" s="12"/>
      <c r="V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39"/>
      <c r="Q631" s="12"/>
      <c r="R631" s="12"/>
      <c r="S631" s="12"/>
      <c r="T631" s="12"/>
      <c r="U631" s="12"/>
      <c r="V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39"/>
      <c r="Q632" s="12"/>
      <c r="R632" s="12"/>
      <c r="S632" s="12"/>
      <c r="T632" s="12"/>
      <c r="U632" s="12"/>
      <c r="V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39"/>
      <c r="Q633" s="12"/>
      <c r="R633" s="12"/>
      <c r="S633" s="12"/>
      <c r="T633" s="12"/>
      <c r="U633" s="12"/>
      <c r="V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39"/>
      <c r="Q634" s="12"/>
      <c r="R634" s="12"/>
      <c r="S634" s="12"/>
      <c r="T634" s="12"/>
      <c r="U634" s="12"/>
      <c r="V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39"/>
      <c r="Q635" s="12"/>
      <c r="R635" s="12"/>
      <c r="S635" s="12"/>
      <c r="T635" s="12"/>
      <c r="U635" s="12"/>
      <c r="V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39"/>
      <c r="Q636" s="12"/>
      <c r="R636" s="12"/>
      <c r="S636" s="12"/>
      <c r="T636" s="12"/>
      <c r="U636" s="12"/>
      <c r="V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39"/>
      <c r="Q637" s="12"/>
      <c r="R637" s="12"/>
      <c r="S637" s="12"/>
      <c r="T637" s="12"/>
      <c r="U637" s="12"/>
      <c r="V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39"/>
      <c r="Q638" s="12"/>
      <c r="R638" s="12"/>
      <c r="S638" s="12"/>
      <c r="T638" s="12"/>
      <c r="U638" s="12"/>
      <c r="V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39"/>
      <c r="Q639" s="12"/>
      <c r="R639" s="12"/>
      <c r="S639" s="12"/>
      <c r="T639" s="12"/>
      <c r="U639" s="12"/>
      <c r="V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39"/>
      <c r="Q640" s="12"/>
      <c r="R640" s="12"/>
      <c r="S640" s="12"/>
      <c r="T640" s="12"/>
      <c r="U640" s="12"/>
      <c r="V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39"/>
      <c r="Q641" s="12"/>
      <c r="R641" s="12"/>
      <c r="S641" s="12"/>
      <c r="T641" s="12"/>
      <c r="U641" s="12"/>
      <c r="V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39"/>
      <c r="Q642" s="12"/>
      <c r="R642" s="12"/>
      <c r="S642" s="12"/>
      <c r="T642" s="12"/>
      <c r="U642" s="12"/>
      <c r="V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39"/>
      <c r="Q643" s="12"/>
      <c r="R643" s="12"/>
      <c r="S643" s="12"/>
      <c r="T643" s="12"/>
      <c r="U643" s="12"/>
      <c r="V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39"/>
      <c r="Q644" s="12"/>
      <c r="R644" s="12"/>
      <c r="S644" s="12"/>
      <c r="T644" s="12"/>
      <c r="U644" s="12"/>
      <c r="V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39"/>
      <c r="Q645" s="12"/>
      <c r="R645" s="12"/>
      <c r="S645" s="12"/>
      <c r="T645" s="12"/>
      <c r="U645" s="12"/>
      <c r="V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39"/>
      <c r="Q646" s="12"/>
      <c r="R646" s="12"/>
      <c r="S646" s="12"/>
      <c r="T646" s="12"/>
      <c r="U646" s="12"/>
      <c r="V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39"/>
      <c r="Q647" s="12"/>
      <c r="R647" s="12"/>
      <c r="S647" s="12"/>
      <c r="T647" s="12"/>
      <c r="U647" s="12"/>
      <c r="V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39"/>
      <c r="Q648" s="12"/>
      <c r="R648" s="12"/>
      <c r="S648" s="12"/>
      <c r="T648" s="12"/>
      <c r="U648" s="12"/>
      <c r="V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39"/>
      <c r="Q649" s="12"/>
      <c r="R649" s="12"/>
      <c r="S649" s="12"/>
      <c r="T649" s="12"/>
      <c r="U649" s="12"/>
      <c r="V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39"/>
      <c r="Q650" s="12"/>
      <c r="R650" s="12"/>
      <c r="S650" s="12"/>
      <c r="T650" s="12"/>
      <c r="U650" s="12"/>
      <c r="V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39"/>
      <c r="Q651" s="12"/>
      <c r="R651" s="12"/>
      <c r="S651" s="12"/>
      <c r="T651" s="12"/>
      <c r="U651" s="12"/>
      <c r="V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39"/>
      <c r="Q652" s="12"/>
      <c r="R652" s="12"/>
      <c r="S652" s="12"/>
      <c r="T652" s="12"/>
      <c r="U652" s="12"/>
      <c r="V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39"/>
      <c r="Q653" s="12"/>
      <c r="R653" s="12"/>
      <c r="S653" s="12"/>
      <c r="T653" s="12"/>
      <c r="U653" s="12"/>
      <c r="V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39"/>
      <c r="Q654" s="12"/>
      <c r="R654" s="12"/>
      <c r="S654" s="12"/>
      <c r="T654" s="12"/>
      <c r="U654" s="12"/>
      <c r="V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39"/>
      <c r="Q655" s="12"/>
      <c r="R655" s="12"/>
      <c r="S655" s="12"/>
      <c r="T655" s="12"/>
      <c r="U655" s="12"/>
      <c r="V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39"/>
      <c r="Q656" s="12"/>
      <c r="R656" s="12"/>
      <c r="S656" s="12"/>
      <c r="T656" s="12"/>
      <c r="U656" s="12"/>
      <c r="V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39"/>
      <c r="Q657" s="12"/>
      <c r="R657" s="12"/>
      <c r="S657" s="12"/>
      <c r="T657" s="12"/>
      <c r="U657" s="12"/>
      <c r="V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39"/>
      <c r="Q658" s="12"/>
      <c r="R658" s="12"/>
      <c r="S658" s="12"/>
      <c r="T658" s="12"/>
      <c r="U658" s="12"/>
      <c r="V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39"/>
      <c r="Q659" s="12"/>
      <c r="R659" s="12"/>
      <c r="S659" s="12"/>
      <c r="T659" s="12"/>
      <c r="U659" s="12"/>
      <c r="V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39"/>
      <c r="Q660" s="12"/>
      <c r="R660" s="12"/>
      <c r="S660" s="12"/>
      <c r="T660" s="12"/>
      <c r="U660" s="12"/>
      <c r="V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39"/>
      <c r="Q661" s="12"/>
      <c r="R661" s="12"/>
      <c r="S661" s="12"/>
      <c r="T661" s="12"/>
      <c r="U661" s="12"/>
      <c r="V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39"/>
      <c r="Q662" s="12"/>
      <c r="R662" s="12"/>
      <c r="S662" s="12"/>
      <c r="T662" s="12"/>
      <c r="U662" s="12"/>
      <c r="V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39"/>
      <c r="Q663" s="12"/>
      <c r="R663" s="12"/>
      <c r="S663" s="12"/>
      <c r="T663" s="12"/>
      <c r="U663" s="12"/>
      <c r="V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39"/>
      <c r="Q664" s="12"/>
      <c r="R664" s="12"/>
      <c r="S664" s="12"/>
      <c r="T664" s="12"/>
      <c r="U664" s="12"/>
      <c r="V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39"/>
      <c r="Q665" s="12"/>
      <c r="R665" s="12"/>
      <c r="S665" s="12"/>
      <c r="T665" s="12"/>
      <c r="U665" s="12"/>
      <c r="V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39"/>
      <c r="Q666" s="12"/>
      <c r="R666" s="12"/>
      <c r="S666" s="12"/>
      <c r="T666" s="12"/>
      <c r="U666" s="12"/>
      <c r="V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39"/>
      <c r="Q667" s="12"/>
      <c r="R667" s="12"/>
      <c r="S667" s="12"/>
      <c r="T667" s="12"/>
      <c r="U667" s="12"/>
      <c r="V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39"/>
      <c r="Q668" s="12"/>
      <c r="R668" s="12"/>
      <c r="S668" s="12"/>
      <c r="T668" s="12"/>
      <c r="U668" s="12"/>
      <c r="V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39"/>
      <c r="Q669" s="12"/>
      <c r="R669" s="12"/>
      <c r="S669" s="12"/>
      <c r="T669" s="12"/>
      <c r="U669" s="12"/>
      <c r="V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39"/>
      <c r="Q670" s="12"/>
      <c r="R670" s="12"/>
      <c r="S670" s="12"/>
      <c r="T670" s="12"/>
      <c r="U670" s="12"/>
      <c r="V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39"/>
      <c r="Q671" s="12"/>
      <c r="R671" s="12"/>
      <c r="S671" s="12"/>
      <c r="T671" s="12"/>
      <c r="U671" s="12"/>
      <c r="V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39"/>
      <c r="Q672" s="12"/>
      <c r="R672" s="12"/>
      <c r="S672" s="12"/>
      <c r="T672" s="12"/>
      <c r="U672" s="12"/>
      <c r="V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39"/>
      <c r="Q673" s="12"/>
      <c r="R673" s="12"/>
      <c r="S673" s="12"/>
      <c r="T673" s="12"/>
      <c r="U673" s="12"/>
      <c r="V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39"/>
      <c r="Q674" s="12"/>
      <c r="R674" s="12"/>
      <c r="S674" s="12"/>
      <c r="T674" s="12"/>
      <c r="U674" s="12"/>
      <c r="V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39"/>
      <c r="Q675" s="12"/>
      <c r="R675" s="12"/>
      <c r="S675" s="12"/>
      <c r="T675" s="12"/>
      <c r="U675" s="12"/>
      <c r="V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39"/>
      <c r="Q676" s="12"/>
      <c r="R676" s="12"/>
      <c r="S676" s="12"/>
      <c r="T676" s="12"/>
      <c r="U676" s="12"/>
      <c r="V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39"/>
      <c r="Q677" s="12"/>
      <c r="R677" s="12"/>
      <c r="S677" s="12"/>
      <c r="T677" s="12"/>
      <c r="U677" s="12"/>
      <c r="V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39"/>
      <c r="Q678" s="12"/>
      <c r="R678" s="12"/>
      <c r="S678" s="12"/>
      <c r="T678" s="12"/>
      <c r="U678" s="12"/>
      <c r="V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39"/>
      <c r="Q679" s="12"/>
      <c r="R679" s="12"/>
      <c r="S679" s="12"/>
      <c r="T679" s="12"/>
      <c r="U679" s="12"/>
      <c r="V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39"/>
      <c r="Q680" s="12"/>
      <c r="R680" s="12"/>
      <c r="S680" s="12"/>
      <c r="T680" s="12"/>
      <c r="U680" s="12"/>
      <c r="V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39"/>
      <c r="Q681" s="12"/>
      <c r="R681" s="12"/>
      <c r="S681" s="12"/>
      <c r="T681" s="12"/>
      <c r="U681" s="12"/>
      <c r="V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39"/>
      <c r="Q682" s="12"/>
      <c r="R682" s="12"/>
      <c r="S682" s="12"/>
      <c r="T682" s="12"/>
      <c r="U682" s="12"/>
      <c r="V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39"/>
      <c r="Q683" s="12"/>
      <c r="R683" s="12"/>
      <c r="S683" s="12"/>
      <c r="T683" s="12"/>
      <c r="U683" s="12"/>
      <c r="V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39"/>
      <c r="Q684" s="12"/>
      <c r="R684" s="12"/>
      <c r="S684" s="12"/>
      <c r="T684" s="12"/>
      <c r="U684" s="12"/>
      <c r="V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39"/>
      <c r="Q685" s="12"/>
      <c r="R685" s="12"/>
      <c r="S685" s="12"/>
      <c r="T685" s="12"/>
      <c r="U685" s="12"/>
      <c r="V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39"/>
      <c r="Q686" s="12"/>
      <c r="R686" s="12"/>
      <c r="S686" s="12"/>
      <c r="T686" s="12"/>
      <c r="U686" s="12"/>
      <c r="V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39"/>
      <c r="Q687" s="12"/>
      <c r="R687" s="12"/>
      <c r="S687" s="12"/>
      <c r="T687" s="12"/>
      <c r="U687" s="12"/>
      <c r="V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39"/>
      <c r="Q688" s="12"/>
      <c r="R688" s="12"/>
      <c r="S688" s="12"/>
      <c r="T688" s="12"/>
      <c r="U688" s="12"/>
      <c r="V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39"/>
      <c r="Q689" s="12"/>
      <c r="R689" s="12"/>
      <c r="S689" s="12"/>
      <c r="T689" s="12"/>
      <c r="U689" s="12"/>
      <c r="V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39"/>
      <c r="Q690" s="12"/>
      <c r="R690" s="12"/>
      <c r="S690" s="12"/>
      <c r="T690" s="12"/>
      <c r="U690" s="12"/>
      <c r="V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39"/>
      <c r="Q691" s="12"/>
      <c r="R691" s="12"/>
      <c r="S691" s="12"/>
      <c r="T691" s="12"/>
      <c r="U691" s="12"/>
      <c r="V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39"/>
      <c r="Q692" s="12"/>
      <c r="R692" s="12"/>
      <c r="S692" s="12"/>
      <c r="T692" s="12"/>
      <c r="U692" s="12"/>
      <c r="V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39"/>
      <c r="Q693" s="12"/>
      <c r="R693" s="12"/>
      <c r="S693" s="12"/>
      <c r="T693" s="12"/>
      <c r="U693" s="12"/>
      <c r="V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39"/>
      <c r="Q694" s="12"/>
      <c r="R694" s="12"/>
      <c r="S694" s="12"/>
      <c r="T694" s="12"/>
      <c r="U694" s="12"/>
      <c r="V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39"/>
      <c r="Q695" s="12"/>
      <c r="R695" s="12"/>
      <c r="S695" s="12"/>
      <c r="T695" s="12"/>
      <c r="U695" s="12"/>
      <c r="V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39"/>
      <c r="Q696" s="12"/>
      <c r="R696" s="12"/>
      <c r="S696" s="12"/>
      <c r="T696" s="12"/>
      <c r="U696" s="12"/>
      <c r="V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39"/>
      <c r="Q697" s="12"/>
      <c r="R697" s="12"/>
      <c r="S697" s="12"/>
      <c r="T697" s="12"/>
      <c r="U697" s="12"/>
      <c r="V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39"/>
      <c r="Q698" s="12"/>
      <c r="R698" s="12"/>
      <c r="S698" s="12"/>
      <c r="T698" s="12"/>
      <c r="U698" s="12"/>
      <c r="V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39"/>
      <c r="Q699" s="12"/>
      <c r="R699" s="12"/>
      <c r="S699" s="12"/>
      <c r="T699" s="12"/>
      <c r="U699" s="12"/>
      <c r="V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39"/>
      <c r="Q700" s="12"/>
      <c r="R700" s="12"/>
      <c r="S700" s="12"/>
      <c r="T700" s="12"/>
      <c r="U700" s="12"/>
      <c r="V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39"/>
      <c r="Q701" s="12"/>
      <c r="R701" s="12"/>
      <c r="S701" s="12"/>
      <c r="T701" s="12"/>
      <c r="U701" s="12"/>
      <c r="V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39"/>
      <c r="Q702" s="12"/>
      <c r="R702" s="12"/>
      <c r="S702" s="12"/>
      <c r="T702" s="12"/>
      <c r="U702" s="12"/>
      <c r="V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39"/>
      <c r="Q703" s="12"/>
      <c r="R703" s="12"/>
      <c r="S703" s="12"/>
      <c r="T703" s="12"/>
      <c r="U703" s="12"/>
      <c r="V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39"/>
      <c r="Q704" s="12"/>
      <c r="R704" s="12"/>
      <c r="S704" s="12"/>
      <c r="T704" s="12"/>
      <c r="U704" s="12"/>
      <c r="V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39"/>
      <c r="Q705" s="12"/>
      <c r="R705" s="12"/>
      <c r="S705" s="12"/>
      <c r="T705" s="12"/>
      <c r="U705" s="12"/>
      <c r="V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39"/>
      <c r="Q706" s="12"/>
      <c r="R706" s="12"/>
      <c r="S706" s="12"/>
      <c r="T706" s="12"/>
      <c r="U706" s="12"/>
      <c r="V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39"/>
      <c r="Q707" s="12"/>
      <c r="R707" s="12"/>
      <c r="S707" s="12"/>
      <c r="T707" s="12"/>
      <c r="U707" s="12"/>
      <c r="V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39"/>
      <c r="Q708" s="12"/>
      <c r="R708" s="12"/>
      <c r="S708" s="12"/>
      <c r="T708" s="12"/>
      <c r="U708" s="12"/>
      <c r="V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39"/>
      <c r="Q709" s="12"/>
      <c r="R709" s="12"/>
      <c r="S709" s="12"/>
      <c r="T709" s="12"/>
      <c r="U709" s="12"/>
      <c r="V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39"/>
      <c r="Q710" s="12"/>
      <c r="R710" s="12"/>
      <c r="S710" s="12"/>
      <c r="T710" s="12"/>
      <c r="U710" s="12"/>
      <c r="V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39"/>
      <c r="Q711" s="12"/>
      <c r="R711" s="12"/>
      <c r="S711" s="12"/>
      <c r="T711" s="12"/>
      <c r="U711" s="12"/>
      <c r="V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39"/>
      <c r="Q712" s="12"/>
      <c r="R712" s="12"/>
      <c r="S712" s="12"/>
      <c r="T712" s="12"/>
      <c r="U712" s="12"/>
      <c r="V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39"/>
      <c r="Q713" s="12"/>
      <c r="R713" s="12"/>
      <c r="S713" s="12"/>
      <c r="T713" s="12"/>
      <c r="U713" s="12"/>
      <c r="V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39"/>
      <c r="Q714" s="12"/>
      <c r="R714" s="12"/>
      <c r="S714" s="12"/>
      <c r="T714" s="12"/>
      <c r="U714" s="12"/>
      <c r="V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39"/>
      <c r="Q715" s="12"/>
      <c r="R715" s="12"/>
      <c r="S715" s="12"/>
      <c r="T715" s="12"/>
      <c r="U715" s="12"/>
      <c r="V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39"/>
      <c r="Q716" s="12"/>
      <c r="R716" s="12"/>
      <c r="S716" s="12"/>
      <c r="T716" s="12"/>
      <c r="U716" s="12"/>
      <c r="V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39"/>
      <c r="Q717" s="12"/>
      <c r="R717" s="12"/>
      <c r="S717" s="12"/>
      <c r="T717" s="12"/>
      <c r="U717" s="12"/>
      <c r="V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39"/>
      <c r="Q718" s="12"/>
      <c r="R718" s="12"/>
      <c r="S718" s="12"/>
      <c r="T718" s="12"/>
      <c r="U718" s="12"/>
      <c r="V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39"/>
      <c r="Q719" s="12"/>
      <c r="R719" s="12"/>
      <c r="S719" s="12"/>
      <c r="T719" s="12"/>
      <c r="U719" s="12"/>
      <c r="V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39"/>
      <c r="Q720" s="12"/>
      <c r="R720" s="12"/>
      <c r="S720" s="12"/>
      <c r="T720" s="12"/>
      <c r="U720" s="12"/>
      <c r="V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39"/>
      <c r="Q721" s="12"/>
      <c r="R721" s="12"/>
      <c r="S721" s="12"/>
      <c r="T721" s="12"/>
      <c r="U721" s="12"/>
      <c r="V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39"/>
      <c r="Q722" s="12"/>
      <c r="R722" s="12"/>
      <c r="S722" s="12"/>
      <c r="T722" s="12"/>
      <c r="U722" s="12"/>
      <c r="V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39"/>
      <c r="Q723" s="12"/>
      <c r="R723" s="12"/>
      <c r="S723" s="12"/>
      <c r="T723" s="12"/>
      <c r="U723" s="12"/>
      <c r="V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39"/>
      <c r="Q724" s="12"/>
      <c r="R724" s="12"/>
      <c r="S724" s="12"/>
      <c r="T724" s="12"/>
      <c r="U724" s="12"/>
      <c r="V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39"/>
      <c r="Q725" s="12"/>
      <c r="R725" s="12"/>
      <c r="S725" s="12"/>
      <c r="T725" s="12"/>
      <c r="U725" s="12"/>
      <c r="V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39"/>
      <c r="Q726" s="12"/>
      <c r="R726" s="12"/>
      <c r="S726" s="12"/>
      <c r="T726" s="12"/>
      <c r="U726" s="12"/>
      <c r="V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39"/>
      <c r="Q727" s="12"/>
      <c r="R727" s="12"/>
      <c r="S727" s="12"/>
      <c r="T727" s="12"/>
      <c r="U727" s="12"/>
      <c r="V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39"/>
      <c r="Q728" s="12"/>
      <c r="R728" s="12"/>
      <c r="S728" s="12"/>
      <c r="T728" s="12"/>
      <c r="U728" s="12"/>
      <c r="V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39"/>
      <c r="Q729" s="12"/>
      <c r="R729" s="12"/>
      <c r="S729" s="12"/>
      <c r="T729" s="12"/>
      <c r="U729" s="12"/>
      <c r="V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39"/>
      <c r="Q730" s="12"/>
      <c r="R730" s="12"/>
      <c r="S730" s="12"/>
      <c r="T730" s="12"/>
      <c r="U730" s="12"/>
      <c r="V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39"/>
      <c r="Q731" s="12"/>
      <c r="R731" s="12"/>
      <c r="S731" s="12"/>
      <c r="T731" s="12"/>
      <c r="U731" s="12"/>
      <c r="V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39"/>
      <c r="Q732" s="12"/>
      <c r="R732" s="12"/>
      <c r="S732" s="12"/>
      <c r="T732" s="12"/>
      <c r="U732" s="12"/>
      <c r="V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39"/>
      <c r="Q733" s="12"/>
      <c r="R733" s="12"/>
      <c r="S733" s="12"/>
      <c r="T733" s="12"/>
      <c r="U733" s="12"/>
      <c r="V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39"/>
      <c r="Q734" s="12"/>
      <c r="R734" s="12"/>
      <c r="S734" s="12"/>
      <c r="T734" s="12"/>
      <c r="U734" s="12"/>
      <c r="V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39"/>
      <c r="Q735" s="12"/>
      <c r="R735" s="12"/>
      <c r="S735" s="12"/>
      <c r="T735" s="12"/>
      <c r="U735" s="12"/>
      <c r="V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39"/>
      <c r="Q736" s="12"/>
      <c r="R736" s="12"/>
      <c r="S736" s="12"/>
      <c r="T736" s="12"/>
      <c r="U736" s="12"/>
      <c r="V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39"/>
      <c r="Q737" s="12"/>
      <c r="R737" s="12"/>
      <c r="S737" s="12"/>
      <c r="T737" s="12"/>
      <c r="U737" s="12"/>
      <c r="V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39"/>
      <c r="Q738" s="12"/>
      <c r="R738" s="12"/>
      <c r="S738" s="12"/>
      <c r="T738" s="12"/>
      <c r="U738" s="12"/>
      <c r="V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39"/>
      <c r="Q739" s="12"/>
      <c r="R739" s="12"/>
      <c r="S739" s="12"/>
      <c r="T739" s="12"/>
      <c r="U739" s="12"/>
      <c r="V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39"/>
      <c r="Q740" s="12"/>
      <c r="R740" s="12"/>
      <c r="S740" s="12"/>
      <c r="T740" s="12"/>
      <c r="U740" s="12"/>
      <c r="V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39"/>
      <c r="Q741" s="12"/>
      <c r="R741" s="12"/>
      <c r="S741" s="12"/>
      <c r="T741" s="12"/>
      <c r="U741" s="12"/>
      <c r="V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39"/>
      <c r="Q742" s="12"/>
      <c r="R742" s="12"/>
      <c r="S742" s="12"/>
      <c r="T742" s="12"/>
      <c r="U742" s="12"/>
      <c r="V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39"/>
      <c r="Q743" s="12"/>
      <c r="R743" s="12"/>
      <c r="S743" s="12"/>
      <c r="T743" s="12"/>
      <c r="U743" s="12"/>
      <c r="V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39"/>
      <c r="Q744" s="12"/>
      <c r="R744" s="12"/>
      <c r="S744" s="12"/>
      <c r="T744" s="12"/>
      <c r="U744" s="12"/>
      <c r="V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39"/>
      <c r="Q745" s="12"/>
      <c r="R745" s="12"/>
      <c r="S745" s="12"/>
      <c r="T745" s="12"/>
      <c r="U745" s="12"/>
      <c r="V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39"/>
      <c r="Q746" s="12"/>
      <c r="R746" s="12"/>
      <c r="S746" s="12"/>
      <c r="T746" s="12"/>
      <c r="U746" s="12"/>
      <c r="V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39"/>
      <c r="Q747" s="12"/>
      <c r="R747" s="12"/>
      <c r="S747" s="12"/>
      <c r="T747" s="12"/>
      <c r="U747" s="12"/>
      <c r="V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39"/>
      <c r="Q748" s="12"/>
      <c r="R748" s="12"/>
      <c r="S748" s="12"/>
      <c r="T748" s="12"/>
      <c r="U748" s="12"/>
      <c r="V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39"/>
      <c r="Q749" s="12"/>
      <c r="R749" s="12"/>
      <c r="S749" s="12"/>
      <c r="T749" s="12"/>
      <c r="U749" s="12"/>
      <c r="V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39"/>
      <c r="Q750" s="12"/>
      <c r="R750" s="12"/>
      <c r="S750" s="12"/>
      <c r="T750" s="12"/>
      <c r="U750" s="12"/>
      <c r="V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39"/>
      <c r="Q751" s="12"/>
      <c r="R751" s="12"/>
      <c r="S751" s="12"/>
      <c r="T751" s="12"/>
      <c r="U751" s="12"/>
      <c r="V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39"/>
      <c r="Q752" s="12"/>
      <c r="R752" s="12"/>
      <c r="S752" s="12"/>
      <c r="T752" s="12"/>
      <c r="U752" s="12"/>
      <c r="V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39"/>
      <c r="Q753" s="12"/>
      <c r="R753" s="12"/>
      <c r="S753" s="12"/>
      <c r="T753" s="12"/>
      <c r="U753" s="12"/>
      <c r="V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39"/>
      <c r="Q754" s="12"/>
      <c r="R754" s="12"/>
      <c r="S754" s="12"/>
      <c r="T754" s="12"/>
      <c r="U754" s="12"/>
      <c r="V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39"/>
      <c r="Q755" s="12"/>
      <c r="R755" s="12"/>
      <c r="S755" s="12"/>
      <c r="T755" s="12"/>
      <c r="U755" s="12"/>
      <c r="V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39"/>
      <c r="Q756" s="12"/>
      <c r="R756" s="12"/>
      <c r="S756" s="12"/>
      <c r="T756" s="12"/>
      <c r="U756" s="12"/>
      <c r="V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39"/>
      <c r="Q757" s="12"/>
      <c r="R757" s="12"/>
      <c r="S757" s="12"/>
      <c r="T757" s="12"/>
      <c r="U757" s="12"/>
      <c r="V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39"/>
      <c r="Q758" s="12"/>
      <c r="R758" s="12"/>
      <c r="S758" s="12"/>
      <c r="T758" s="12"/>
      <c r="U758" s="12"/>
      <c r="V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39"/>
      <c r="Q759" s="12"/>
      <c r="R759" s="12"/>
      <c r="S759" s="12"/>
      <c r="T759" s="12"/>
      <c r="U759" s="12"/>
      <c r="V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39"/>
      <c r="Q760" s="12"/>
      <c r="R760" s="12"/>
      <c r="S760" s="12"/>
      <c r="T760" s="12"/>
      <c r="U760" s="12"/>
      <c r="V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39"/>
      <c r="Q761" s="12"/>
      <c r="R761" s="12"/>
      <c r="S761" s="12"/>
      <c r="T761" s="12"/>
      <c r="U761" s="12"/>
      <c r="V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39"/>
      <c r="Q762" s="12"/>
      <c r="R762" s="12"/>
      <c r="S762" s="12"/>
      <c r="T762" s="12"/>
      <c r="U762" s="12"/>
      <c r="V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39"/>
      <c r="Q763" s="12"/>
      <c r="R763" s="12"/>
      <c r="S763" s="12"/>
      <c r="T763" s="12"/>
      <c r="U763" s="12"/>
      <c r="V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39"/>
      <c r="Q764" s="12"/>
      <c r="R764" s="12"/>
      <c r="S764" s="12"/>
      <c r="T764" s="12"/>
      <c r="U764" s="12"/>
      <c r="V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39"/>
      <c r="Q765" s="12"/>
      <c r="R765" s="12"/>
      <c r="S765" s="12"/>
      <c r="T765" s="12"/>
      <c r="U765" s="12"/>
      <c r="V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39"/>
      <c r="Q766" s="12"/>
      <c r="R766" s="12"/>
      <c r="S766" s="12"/>
      <c r="T766" s="12"/>
      <c r="U766" s="12"/>
      <c r="V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39"/>
      <c r="Q767" s="12"/>
      <c r="R767" s="12"/>
      <c r="S767" s="12"/>
      <c r="T767" s="12"/>
      <c r="U767" s="12"/>
      <c r="V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39"/>
      <c r="Q768" s="12"/>
      <c r="R768" s="12"/>
      <c r="S768" s="12"/>
      <c r="T768" s="12"/>
      <c r="U768" s="12"/>
      <c r="V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39"/>
      <c r="Q769" s="12"/>
      <c r="R769" s="12"/>
      <c r="S769" s="12"/>
      <c r="T769" s="12"/>
      <c r="U769" s="12"/>
      <c r="V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39"/>
      <c r="Q770" s="12"/>
      <c r="R770" s="12"/>
      <c r="S770" s="12"/>
      <c r="T770" s="12"/>
      <c r="U770" s="12"/>
      <c r="V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39"/>
      <c r="Q771" s="12"/>
      <c r="R771" s="12"/>
      <c r="S771" s="12"/>
      <c r="T771" s="12"/>
      <c r="U771" s="12"/>
      <c r="V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39"/>
      <c r="Q772" s="12"/>
      <c r="R772" s="12"/>
      <c r="S772" s="12"/>
      <c r="T772" s="12"/>
      <c r="U772" s="12"/>
      <c r="V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39"/>
      <c r="Q773" s="12"/>
      <c r="R773" s="12"/>
      <c r="S773" s="12"/>
      <c r="T773" s="12"/>
      <c r="U773" s="12"/>
      <c r="V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39"/>
      <c r="Q774" s="12"/>
      <c r="R774" s="12"/>
      <c r="S774" s="12"/>
      <c r="T774" s="12"/>
      <c r="U774" s="12"/>
      <c r="V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39"/>
      <c r="Q775" s="12"/>
      <c r="R775" s="12"/>
      <c r="S775" s="12"/>
      <c r="T775" s="12"/>
      <c r="U775" s="12"/>
      <c r="V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39"/>
      <c r="Q776" s="12"/>
      <c r="R776" s="12"/>
      <c r="S776" s="12"/>
      <c r="T776" s="12"/>
      <c r="U776" s="12"/>
      <c r="V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39"/>
      <c r="Q777" s="12"/>
      <c r="R777" s="12"/>
      <c r="S777" s="12"/>
      <c r="T777" s="12"/>
      <c r="U777" s="12"/>
      <c r="V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39"/>
      <c r="Q778" s="12"/>
      <c r="R778" s="12"/>
      <c r="S778" s="12"/>
      <c r="T778" s="12"/>
      <c r="U778" s="12"/>
      <c r="V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39"/>
      <c r="Q779" s="12"/>
      <c r="R779" s="12"/>
      <c r="S779" s="12"/>
      <c r="T779" s="12"/>
      <c r="U779" s="12"/>
      <c r="V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39"/>
      <c r="Q780" s="12"/>
      <c r="R780" s="12"/>
      <c r="S780" s="12"/>
      <c r="T780" s="12"/>
      <c r="U780" s="12"/>
      <c r="V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39"/>
      <c r="Q781" s="12"/>
      <c r="R781" s="12"/>
      <c r="S781" s="12"/>
      <c r="T781" s="12"/>
      <c r="U781" s="12"/>
      <c r="V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39"/>
      <c r="Q782" s="12"/>
      <c r="R782" s="12"/>
      <c r="S782" s="12"/>
      <c r="T782" s="12"/>
      <c r="U782" s="12"/>
      <c r="V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39"/>
      <c r="Q783" s="12"/>
      <c r="R783" s="12"/>
      <c r="S783" s="12"/>
      <c r="T783" s="12"/>
      <c r="U783" s="12"/>
      <c r="V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39"/>
      <c r="Q784" s="12"/>
      <c r="R784" s="12"/>
      <c r="S784" s="12"/>
      <c r="T784" s="12"/>
      <c r="U784" s="12"/>
      <c r="V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39"/>
      <c r="Q785" s="12"/>
      <c r="R785" s="12"/>
      <c r="S785" s="12"/>
      <c r="T785" s="12"/>
      <c r="U785" s="12"/>
      <c r="V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39"/>
      <c r="Q786" s="12"/>
      <c r="R786" s="12"/>
      <c r="S786" s="12"/>
      <c r="T786" s="12"/>
      <c r="U786" s="12"/>
      <c r="V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39"/>
      <c r="Q787" s="12"/>
      <c r="R787" s="12"/>
      <c r="S787" s="12"/>
      <c r="T787" s="12"/>
      <c r="U787" s="12"/>
      <c r="V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39"/>
      <c r="Q788" s="12"/>
      <c r="R788" s="12"/>
      <c r="S788" s="12"/>
      <c r="T788" s="12"/>
      <c r="U788" s="12"/>
      <c r="V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39"/>
      <c r="Q789" s="12"/>
      <c r="R789" s="12"/>
      <c r="S789" s="12"/>
      <c r="T789" s="12"/>
      <c r="U789" s="12"/>
      <c r="V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39"/>
      <c r="Q790" s="12"/>
      <c r="R790" s="12"/>
      <c r="S790" s="12"/>
      <c r="T790" s="12"/>
      <c r="U790" s="12"/>
      <c r="V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39"/>
      <c r="Q791" s="12"/>
      <c r="R791" s="12"/>
      <c r="S791" s="12"/>
      <c r="T791" s="12"/>
      <c r="U791" s="12"/>
      <c r="V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39"/>
      <c r="Q792" s="12"/>
      <c r="R792" s="12"/>
      <c r="S792" s="12"/>
      <c r="T792" s="12"/>
      <c r="U792" s="12"/>
      <c r="V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39"/>
      <c r="Q793" s="12"/>
      <c r="R793" s="12"/>
      <c r="S793" s="12"/>
      <c r="T793" s="12"/>
      <c r="U793" s="12"/>
      <c r="V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39"/>
      <c r="Q794" s="12"/>
      <c r="R794" s="12"/>
      <c r="S794" s="12"/>
      <c r="T794" s="12"/>
      <c r="U794" s="12"/>
      <c r="V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39"/>
      <c r="Q795" s="12"/>
      <c r="R795" s="12"/>
      <c r="S795" s="12"/>
      <c r="T795" s="12"/>
      <c r="U795" s="12"/>
      <c r="V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39"/>
      <c r="Q796" s="12"/>
      <c r="R796" s="12"/>
      <c r="S796" s="12"/>
      <c r="T796" s="12"/>
      <c r="U796" s="12"/>
      <c r="V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39"/>
      <c r="Q797" s="12"/>
      <c r="R797" s="12"/>
      <c r="S797" s="12"/>
      <c r="T797" s="12"/>
      <c r="U797" s="12"/>
      <c r="V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39"/>
      <c r="Q798" s="12"/>
      <c r="R798" s="12"/>
      <c r="S798" s="12"/>
      <c r="T798" s="12"/>
      <c r="U798" s="12"/>
      <c r="V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39"/>
      <c r="Q799" s="12"/>
      <c r="R799" s="12"/>
      <c r="S799" s="12"/>
      <c r="T799" s="12"/>
      <c r="U799" s="12"/>
      <c r="V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39"/>
      <c r="Q800" s="12"/>
      <c r="R800" s="12"/>
      <c r="S800" s="12"/>
      <c r="T800" s="12"/>
      <c r="U800" s="12"/>
      <c r="V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39"/>
      <c r="Q801" s="12"/>
      <c r="R801" s="12"/>
      <c r="S801" s="12"/>
      <c r="T801" s="12"/>
      <c r="U801" s="12"/>
      <c r="V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39"/>
      <c r="Q802" s="12"/>
      <c r="R802" s="12"/>
      <c r="S802" s="12"/>
      <c r="T802" s="12"/>
      <c r="U802" s="12"/>
      <c r="V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39"/>
      <c r="Q803" s="12"/>
      <c r="R803" s="12"/>
      <c r="S803" s="12"/>
      <c r="T803" s="12"/>
      <c r="U803" s="12"/>
      <c r="V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39"/>
      <c r="Q804" s="12"/>
      <c r="R804" s="12"/>
      <c r="S804" s="12"/>
      <c r="T804" s="12"/>
      <c r="U804" s="12"/>
      <c r="V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39"/>
      <c r="Q805" s="12"/>
      <c r="R805" s="12"/>
      <c r="S805" s="12"/>
      <c r="T805" s="12"/>
      <c r="U805" s="12"/>
      <c r="V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39"/>
      <c r="Q806" s="12"/>
      <c r="R806" s="12"/>
      <c r="S806" s="12"/>
      <c r="T806" s="12"/>
      <c r="U806" s="12"/>
      <c r="V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39"/>
      <c r="Q807" s="12"/>
      <c r="R807" s="12"/>
      <c r="S807" s="12"/>
      <c r="T807" s="12"/>
      <c r="U807" s="12"/>
      <c r="V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39"/>
      <c r="Q808" s="12"/>
      <c r="R808" s="12"/>
      <c r="S808" s="12"/>
      <c r="T808" s="12"/>
      <c r="U808" s="12"/>
      <c r="V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39"/>
      <c r="Q809" s="12"/>
      <c r="R809" s="12"/>
      <c r="S809" s="12"/>
      <c r="T809" s="12"/>
      <c r="U809" s="12"/>
      <c r="V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39"/>
      <c r="Q810" s="12"/>
      <c r="R810" s="12"/>
      <c r="S810" s="12"/>
      <c r="T810" s="12"/>
      <c r="U810" s="12"/>
      <c r="V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39"/>
      <c r="Q811" s="12"/>
      <c r="R811" s="12"/>
      <c r="S811" s="12"/>
      <c r="T811" s="12"/>
      <c r="U811" s="12"/>
      <c r="V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39"/>
      <c r="Q812" s="12"/>
      <c r="R812" s="12"/>
      <c r="S812" s="12"/>
      <c r="T812" s="12"/>
      <c r="U812" s="12"/>
      <c r="V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39"/>
      <c r="Q813" s="12"/>
      <c r="R813" s="12"/>
      <c r="S813" s="12"/>
      <c r="T813" s="12"/>
      <c r="U813" s="12"/>
      <c r="V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39"/>
      <c r="Q814" s="12"/>
      <c r="R814" s="12"/>
      <c r="S814" s="12"/>
      <c r="T814" s="12"/>
      <c r="U814" s="12"/>
      <c r="V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39"/>
      <c r="Q815" s="12"/>
      <c r="R815" s="12"/>
      <c r="S815" s="12"/>
      <c r="T815" s="12"/>
      <c r="U815" s="12"/>
      <c r="V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39"/>
      <c r="Q816" s="12"/>
      <c r="R816" s="12"/>
      <c r="S816" s="12"/>
      <c r="T816" s="12"/>
      <c r="U816" s="12"/>
      <c r="V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39"/>
      <c r="Q817" s="12"/>
      <c r="R817" s="12"/>
      <c r="S817" s="12"/>
      <c r="T817" s="12"/>
      <c r="U817" s="12"/>
      <c r="V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39"/>
      <c r="Q818" s="12"/>
      <c r="R818" s="12"/>
      <c r="S818" s="12"/>
      <c r="T818" s="12"/>
      <c r="U818" s="12"/>
      <c r="V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39"/>
      <c r="Q819" s="12"/>
      <c r="R819" s="12"/>
      <c r="S819" s="12"/>
      <c r="T819" s="12"/>
      <c r="U819" s="12"/>
      <c r="V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39"/>
      <c r="Q820" s="12"/>
      <c r="R820" s="12"/>
      <c r="S820" s="12"/>
      <c r="T820" s="12"/>
      <c r="U820" s="12"/>
      <c r="V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39"/>
      <c r="Q821" s="12"/>
      <c r="R821" s="12"/>
      <c r="S821" s="12"/>
      <c r="T821" s="12"/>
      <c r="U821" s="12"/>
      <c r="V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39"/>
      <c r="Q822" s="12"/>
      <c r="R822" s="12"/>
      <c r="S822" s="12"/>
      <c r="T822" s="12"/>
      <c r="U822" s="12"/>
      <c r="V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39"/>
      <c r="Q823" s="12"/>
      <c r="R823" s="12"/>
      <c r="S823" s="12"/>
      <c r="T823" s="12"/>
      <c r="U823" s="12"/>
      <c r="V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39"/>
      <c r="Q824" s="12"/>
      <c r="R824" s="12"/>
      <c r="S824" s="12"/>
      <c r="T824" s="12"/>
      <c r="U824" s="12"/>
      <c r="V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39"/>
      <c r="Q825" s="12"/>
      <c r="R825" s="12"/>
      <c r="S825" s="12"/>
      <c r="T825" s="12"/>
      <c r="U825" s="12"/>
      <c r="V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39"/>
      <c r="Q826" s="12"/>
      <c r="R826" s="12"/>
      <c r="S826" s="12"/>
      <c r="T826" s="12"/>
      <c r="U826" s="12"/>
      <c r="V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39"/>
      <c r="Q827" s="12"/>
      <c r="R827" s="12"/>
      <c r="S827" s="12"/>
      <c r="T827" s="12"/>
      <c r="U827" s="12"/>
      <c r="V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39"/>
      <c r="Q828" s="12"/>
      <c r="R828" s="12"/>
      <c r="S828" s="12"/>
      <c r="T828" s="12"/>
      <c r="U828" s="12"/>
      <c r="V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39"/>
      <c r="Q829" s="12"/>
      <c r="R829" s="12"/>
      <c r="S829" s="12"/>
      <c r="T829" s="12"/>
      <c r="U829" s="12"/>
      <c r="V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39"/>
      <c r="Q830" s="12"/>
      <c r="R830" s="12"/>
      <c r="S830" s="12"/>
      <c r="T830" s="12"/>
      <c r="U830" s="12"/>
      <c r="V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39"/>
      <c r="Q831" s="12"/>
      <c r="R831" s="12"/>
      <c r="S831" s="12"/>
      <c r="T831" s="12"/>
      <c r="U831" s="12"/>
      <c r="V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39"/>
      <c r="Q832" s="12"/>
      <c r="R832" s="12"/>
      <c r="S832" s="12"/>
      <c r="T832" s="12"/>
      <c r="U832" s="12"/>
      <c r="V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39"/>
      <c r="Q833" s="12"/>
      <c r="R833" s="12"/>
      <c r="S833" s="12"/>
      <c r="T833" s="12"/>
      <c r="U833" s="12"/>
      <c r="V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39"/>
      <c r="Q834" s="12"/>
      <c r="R834" s="12"/>
      <c r="S834" s="12"/>
      <c r="T834" s="12"/>
      <c r="U834" s="12"/>
      <c r="V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39"/>
      <c r="Q835" s="12"/>
      <c r="R835" s="12"/>
      <c r="S835" s="12"/>
      <c r="T835" s="12"/>
      <c r="U835" s="12"/>
      <c r="V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39"/>
      <c r="Q836" s="12"/>
      <c r="R836" s="12"/>
      <c r="S836" s="12"/>
      <c r="T836" s="12"/>
      <c r="U836" s="12"/>
      <c r="V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39"/>
      <c r="Q837" s="12"/>
      <c r="R837" s="12"/>
      <c r="S837" s="12"/>
      <c r="T837" s="12"/>
      <c r="U837" s="12"/>
      <c r="V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39"/>
      <c r="Q838" s="12"/>
      <c r="R838" s="12"/>
      <c r="S838" s="12"/>
      <c r="T838" s="12"/>
      <c r="U838" s="12"/>
      <c r="V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39"/>
      <c r="Q839" s="12"/>
      <c r="R839" s="12"/>
      <c r="S839" s="12"/>
      <c r="T839" s="12"/>
      <c r="U839" s="12"/>
      <c r="V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39"/>
      <c r="Q840" s="12"/>
      <c r="R840" s="12"/>
      <c r="S840" s="12"/>
      <c r="T840" s="12"/>
      <c r="U840" s="12"/>
      <c r="V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39"/>
      <c r="Q841" s="12"/>
      <c r="R841" s="12"/>
      <c r="S841" s="12"/>
      <c r="T841" s="12"/>
      <c r="U841" s="12"/>
      <c r="V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39"/>
      <c r="Q842" s="12"/>
      <c r="R842" s="12"/>
      <c r="S842" s="12"/>
      <c r="T842" s="12"/>
      <c r="U842" s="12"/>
      <c r="V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39"/>
      <c r="Q843" s="12"/>
      <c r="R843" s="12"/>
      <c r="S843" s="12"/>
      <c r="T843" s="12"/>
      <c r="U843" s="12"/>
      <c r="V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39"/>
      <c r="Q844" s="12"/>
      <c r="R844" s="12"/>
      <c r="S844" s="12"/>
      <c r="T844" s="12"/>
      <c r="U844" s="12"/>
      <c r="V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39"/>
      <c r="Q845" s="12"/>
      <c r="R845" s="12"/>
      <c r="S845" s="12"/>
      <c r="T845" s="12"/>
      <c r="U845" s="12"/>
      <c r="V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39"/>
      <c r="Q846" s="12"/>
      <c r="R846" s="12"/>
      <c r="S846" s="12"/>
      <c r="T846" s="12"/>
      <c r="U846" s="12"/>
      <c r="V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39"/>
      <c r="Q847" s="12"/>
      <c r="R847" s="12"/>
      <c r="S847" s="12"/>
      <c r="T847" s="12"/>
      <c r="U847" s="12"/>
      <c r="V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39"/>
      <c r="Q848" s="12"/>
      <c r="R848" s="12"/>
      <c r="S848" s="12"/>
      <c r="T848" s="12"/>
      <c r="U848" s="12"/>
      <c r="V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39"/>
      <c r="Q849" s="12"/>
      <c r="R849" s="12"/>
      <c r="S849" s="12"/>
      <c r="T849" s="12"/>
      <c r="U849" s="12"/>
      <c r="V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39"/>
      <c r="Q850" s="12"/>
      <c r="R850" s="12"/>
      <c r="S850" s="12"/>
      <c r="T850" s="12"/>
      <c r="U850" s="12"/>
      <c r="V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39"/>
      <c r="Q851" s="12"/>
      <c r="R851" s="12"/>
      <c r="S851" s="12"/>
      <c r="T851" s="12"/>
      <c r="U851" s="12"/>
      <c r="V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39"/>
      <c r="Q852" s="12"/>
      <c r="R852" s="12"/>
      <c r="S852" s="12"/>
      <c r="T852" s="12"/>
      <c r="U852" s="12"/>
      <c r="V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39"/>
      <c r="Q853" s="12"/>
      <c r="R853" s="12"/>
      <c r="S853" s="12"/>
      <c r="T853" s="12"/>
      <c r="U853" s="12"/>
      <c r="V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39"/>
      <c r="Q854" s="12"/>
      <c r="R854" s="12"/>
      <c r="S854" s="12"/>
      <c r="T854" s="12"/>
      <c r="U854" s="12"/>
      <c r="V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39"/>
      <c r="Q855" s="12"/>
      <c r="R855" s="12"/>
      <c r="S855" s="12"/>
      <c r="T855" s="12"/>
      <c r="U855" s="12"/>
      <c r="V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39"/>
      <c r="Q856" s="12"/>
      <c r="R856" s="12"/>
      <c r="S856" s="12"/>
      <c r="T856" s="12"/>
      <c r="U856" s="12"/>
      <c r="V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39"/>
      <c r="Q857" s="12"/>
      <c r="R857" s="12"/>
      <c r="S857" s="12"/>
      <c r="T857" s="12"/>
      <c r="U857" s="12"/>
      <c r="V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39"/>
      <c r="Q858" s="12"/>
      <c r="R858" s="12"/>
      <c r="S858" s="12"/>
      <c r="T858" s="12"/>
      <c r="U858" s="12"/>
      <c r="V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39"/>
      <c r="Q859" s="12"/>
      <c r="R859" s="12"/>
      <c r="S859" s="12"/>
      <c r="T859" s="12"/>
      <c r="U859" s="12"/>
      <c r="V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39"/>
      <c r="Q860" s="12"/>
      <c r="R860" s="12"/>
      <c r="S860" s="12"/>
      <c r="T860" s="12"/>
      <c r="U860" s="12"/>
      <c r="V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39"/>
      <c r="Q861" s="12"/>
      <c r="R861" s="12"/>
      <c r="S861" s="12"/>
      <c r="T861" s="12"/>
      <c r="U861" s="12"/>
      <c r="V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39"/>
      <c r="Q862" s="12"/>
      <c r="R862" s="12"/>
      <c r="S862" s="12"/>
      <c r="T862" s="12"/>
      <c r="U862" s="12"/>
      <c r="V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39"/>
      <c r="Q863" s="12"/>
      <c r="R863" s="12"/>
      <c r="S863" s="12"/>
      <c r="T863" s="12"/>
      <c r="U863" s="12"/>
      <c r="V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39"/>
      <c r="Q864" s="12"/>
      <c r="R864" s="12"/>
      <c r="S864" s="12"/>
      <c r="T864" s="12"/>
      <c r="U864" s="12"/>
      <c r="V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39"/>
      <c r="Q865" s="12"/>
      <c r="R865" s="12"/>
      <c r="S865" s="12"/>
      <c r="T865" s="12"/>
      <c r="U865" s="12"/>
      <c r="V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39"/>
      <c r="Q866" s="12"/>
      <c r="R866" s="12"/>
      <c r="S866" s="12"/>
      <c r="T866" s="12"/>
      <c r="U866" s="12"/>
      <c r="V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39"/>
      <c r="Q867" s="12"/>
      <c r="R867" s="12"/>
      <c r="S867" s="12"/>
      <c r="T867" s="12"/>
      <c r="U867" s="12"/>
      <c r="V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39"/>
      <c r="Q868" s="12"/>
      <c r="R868" s="12"/>
      <c r="S868" s="12"/>
      <c r="T868" s="12"/>
      <c r="U868" s="12"/>
      <c r="V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39"/>
      <c r="Q869" s="12"/>
      <c r="R869" s="12"/>
      <c r="S869" s="12"/>
      <c r="T869" s="12"/>
      <c r="U869" s="12"/>
      <c r="V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39"/>
      <c r="Q870" s="12"/>
      <c r="R870" s="12"/>
      <c r="S870" s="12"/>
      <c r="T870" s="12"/>
      <c r="U870" s="12"/>
      <c r="V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39"/>
      <c r="Q871" s="12"/>
      <c r="R871" s="12"/>
      <c r="S871" s="12"/>
      <c r="T871" s="12"/>
      <c r="U871" s="12"/>
      <c r="V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39"/>
      <c r="Q872" s="12"/>
      <c r="R872" s="12"/>
      <c r="S872" s="12"/>
      <c r="T872" s="12"/>
      <c r="U872" s="12"/>
      <c r="V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39"/>
      <c r="Q873" s="12"/>
      <c r="R873" s="12"/>
      <c r="S873" s="12"/>
      <c r="T873" s="12"/>
      <c r="U873" s="12"/>
      <c r="V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39"/>
      <c r="Q874" s="12"/>
      <c r="R874" s="12"/>
      <c r="S874" s="12"/>
      <c r="T874" s="12"/>
      <c r="U874" s="12"/>
      <c r="V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39"/>
      <c r="Q875" s="12"/>
      <c r="R875" s="12"/>
      <c r="S875" s="12"/>
      <c r="T875" s="12"/>
      <c r="U875" s="12"/>
      <c r="V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39"/>
      <c r="Q876" s="12"/>
      <c r="R876" s="12"/>
      <c r="S876" s="12"/>
      <c r="T876" s="12"/>
      <c r="U876" s="12"/>
      <c r="V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39"/>
      <c r="Q877" s="12"/>
      <c r="R877" s="12"/>
      <c r="S877" s="12"/>
      <c r="T877" s="12"/>
      <c r="U877" s="12"/>
      <c r="V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39"/>
      <c r="Q878" s="12"/>
      <c r="R878" s="12"/>
      <c r="S878" s="12"/>
      <c r="T878" s="12"/>
      <c r="U878" s="12"/>
      <c r="V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39"/>
      <c r="Q879" s="12"/>
      <c r="R879" s="12"/>
      <c r="S879" s="12"/>
      <c r="T879" s="12"/>
      <c r="U879" s="12"/>
      <c r="V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39"/>
      <c r="Q880" s="12"/>
      <c r="R880" s="12"/>
      <c r="S880" s="12"/>
      <c r="T880" s="12"/>
      <c r="U880" s="12"/>
      <c r="V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39"/>
      <c r="Q881" s="12"/>
      <c r="R881" s="12"/>
      <c r="S881" s="12"/>
      <c r="T881" s="12"/>
      <c r="U881" s="12"/>
      <c r="V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39"/>
      <c r="Q882" s="12"/>
      <c r="R882" s="12"/>
      <c r="S882" s="12"/>
      <c r="T882" s="12"/>
      <c r="U882" s="12"/>
      <c r="V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39"/>
      <c r="Q883" s="12"/>
      <c r="R883" s="12"/>
      <c r="S883" s="12"/>
      <c r="T883" s="12"/>
      <c r="U883" s="12"/>
      <c r="V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39"/>
      <c r="Q884" s="12"/>
      <c r="R884" s="12"/>
      <c r="S884" s="12"/>
      <c r="T884" s="12"/>
      <c r="U884" s="12"/>
      <c r="V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39"/>
      <c r="Q885" s="12"/>
      <c r="R885" s="12"/>
      <c r="S885" s="12"/>
      <c r="T885" s="12"/>
      <c r="U885" s="12"/>
      <c r="V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39"/>
      <c r="Q886" s="12"/>
      <c r="R886" s="12"/>
      <c r="S886" s="12"/>
      <c r="T886" s="12"/>
      <c r="U886" s="12"/>
      <c r="V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39"/>
      <c r="Q887" s="12"/>
      <c r="R887" s="12"/>
      <c r="S887" s="12"/>
      <c r="T887" s="12"/>
      <c r="U887" s="12"/>
      <c r="V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39"/>
      <c r="Q888" s="12"/>
      <c r="R888" s="12"/>
      <c r="S888" s="12"/>
      <c r="T888" s="12"/>
      <c r="U888" s="12"/>
      <c r="V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39"/>
      <c r="Q889" s="12"/>
      <c r="R889" s="12"/>
      <c r="S889" s="12"/>
      <c r="T889" s="12"/>
      <c r="U889" s="12"/>
      <c r="V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39"/>
      <c r="Q890" s="12"/>
      <c r="R890" s="12"/>
      <c r="S890" s="12"/>
      <c r="T890" s="12"/>
      <c r="U890" s="12"/>
      <c r="V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39"/>
      <c r="Q891" s="12"/>
      <c r="R891" s="12"/>
      <c r="S891" s="12"/>
      <c r="T891" s="12"/>
      <c r="U891" s="12"/>
      <c r="V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39"/>
      <c r="Q892" s="12"/>
      <c r="R892" s="12"/>
      <c r="S892" s="12"/>
      <c r="T892" s="12"/>
      <c r="U892" s="12"/>
      <c r="V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39"/>
      <c r="Q893" s="12"/>
      <c r="R893" s="12"/>
      <c r="S893" s="12"/>
      <c r="T893" s="12"/>
      <c r="U893" s="12"/>
      <c r="V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39"/>
      <c r="Q894" s="12"/>
      <c r="R894" s="12"/>
      <c r="S894" s="12"/>
      <c r="T894" s="12"/>
      <c r="U894" s="12"/>
      <c r="V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39"/>
      <c r="Q895" s="12"/>
      <c r="R895" s="12"/>
      <c r="S895" s="12"/>
      <c r="T895" s="12"/>
      <c r="U895" s="12"/>
      <c r="V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39"/>
      <c r="Q896" s="12"/>
      <c r="R896" s="12"/>
      <c r="S896" s="12"/>
      <c r="T896" s="12"/>
      <c r="U896" s="12"/>
      <c r="V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39"/>
      <c r="Q897" s="12"/>
      <c r="R897" s="12"/>
      <c r="S897" s="12"/>
      <c r="T897" s="12"/>
      <c r="U897" s="12"/>
      <c r="V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39"/>
      <c r="Q898" s="12"/>
      <c r="R898" s="12"/>
      <c r="S898" s="12"/>
      <c r="T898" s="12"/>
      <c r="U898" s="12"/>
      <c r="V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39"/>
      <c r="Q899" s="12"/>
      <c r="R899" s="12"/>
      <c r="S899" s="12"/>
      <c r="T899" s="12"/>
      <c r="U899" s="12"/>
      <c r="V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39"/>
      <c r="Q900" s="12"/>
      <c r="R900" s="12"/>
      <c r="S900" s="12"/>
      <c r="T900" s="12"/>
      <c r="U900" s="12"/>
      <c r="V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39"/>
      <c r="Q901" s="12"/>
      <c r="R901" s="12"/>
      <c r="S901" s="12"/>
      <c r="T901" s="12"/>
      <c r="U901" s="12"/>
      <c r="V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39"/>
      <c r="Q902" s="12"/>
      <c r="R902" s="12"/>
      <c r="S902" s="12"/>
      <c r="T902" s="12"/>
      <c r="U902" s="12"/>
      <c r="V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39"/>
      <c r="Q903" s="12"/>
      <c r="R903" s="12"/>
      <c r="S903" s="12"/>
      <c r="T903" s="12"/>
      <c r="U903" s="12"/>
      <c r="V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39"/>
      <c r="Q904" s="12"/>
      <c r="R904" s="12"/>
      <c r="S904" s="12"/>
      <c r="T904" s="12"/>
      <c r="U904" s="12"/>
      <c r="V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39"/>
      <c r="Q905" s="12"/>
      <c r="R905" s="12"/>
      <c r="S905" s="12"/>
      <c r="T905" s="12"/>
      <c r="U905" s="12"/>
      <c r="V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39"/>
      <c r="Q906" s="12"/>
      <c r="R906" s="12"/>
      <c r="S906" s="12"/>
      <c r="T906" s="12"/>
      <c r="U906" s="12"/>
      <c r="V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39"/>
      <c r="Q907" s="12"/>
      <c r="R907" s="12"/>
      <c r="S907" s="12"/>
      <c r="T907" s="12"/>
      <c r="U907" s="12"/>
      <c r="V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39"/>
      <c r="Q908" s="12"/>
      <c r="R908" s="12"/>
      <c r="S908" s="12"/>
      <c r="T908" s="12"/>
      <c r="U908" s="12"/>
      <c r="V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39"/>
      <c r="Q909" s="12"/>
      <c r="R909" s="12"/>
      <c r="S909" s="12"/>
      <c r="T909" s="12"/>
      <c r="U909" s="12"/>
      <c r="V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39"/>
      <c r="Q910" s="12"/>
      <c r="R910" s="12"/>
      <c r="S910" s="12"/>
      <c r="T910" s="12"/>
      <c r="U910" s="12"/>
      <c r="V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39"/>
      <c r="Q911" s="12"/>
      <c r="R911" s="12"/>
      <c r="S911" s="12"/>
      <c r="T911" s="12"/>
      <c r="U911" s="12"/>
      <c r="V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39"/>
      <c r="Q912" s="12"/>
      <c r="R912" s="12"/>
      <c r="S912" s="12"/>
      <c r="T912" s="12"/>
      <c r="U912" s="12"/>
      <c r="V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39"/>
      <c r="Q913" s="12"/>
      <c r="R913" s="12"/>
      <c r="S913" s="12"/>
      <c r="T913" s="12"/>
      <c r="U913" s="12"/>
      <c r="V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39"/>
      <c r="Q914" s="12"/>
      <c r="R914" s="12"/>
      <c r="S914" s="12"/>
      <c r="T914" s="12"/>
      <c r="U914" s="12"/>
      <c r="V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39"/>
      <c r="Q915" s="12"/>
      <c r="R915" s="12"/>
      <c r="S915" s="12"/>
      <c r="T915" s="12"/>
      <c r="U915" s="12"/>
      <c r="V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39"/>
      <c r="Q916" s="12"/>
      <c r="R916" s="12"/>
      <c r="S916" s="12"/>
      <c r="T916" s="12"/>
      <c r="U916" s="12"/>
      <c r="V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39"/>
      <c r="Q917" s="12"/>
      <c r="R917" s="12"/>
      <c r="S917" s="12"/>
      <c r="T917" s="12"/>
      <c r="U917" s="12"/>
      <c r="V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39"/>
      <c r="Q918" s="12"/>
      <c r="R918" s="12"/>
      <c r="S918" s="12"/>
      <c r="T918" s="12"/>
      <c r="U918" s="12"/>
      <c r="V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39"/>
      <c r="Q919" s="12"/>
      <c r="R919" s="12"/>
      <c r="S919" s="12"/>
      <c r="T919" s="12"/>
      <c r="U919" s="12"/>
      <c r="V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39"/>
      <c r="Q920" s="12"/>
      <c r="R920" s="12"/>
      <c r="S920" s="12"/>
      <c r="T920" s="12"/>
      <c r="U920" s="12"/>
      <c r="V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39"/>
      <c r="Q921" s="12"/>
      <c r="R921" s="12"/>
      <c r="S921" s="12"/>
      <c r="T921" s="12"/>
      <c r="U921" s="12"/>
      <c r="V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39"/>
      <c r="Q922" s="12"/>
      <c r="R922" s="12"/>
      <c r="S922" s="12"/>
      <c r="T922" s="12"/>
      <c r="U922" s="12"/>
      <c r="V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39"/>
      <c r="Q923" s="12"/>
      <c r="R923" s="12"/>
      <c r="S923" s="12"/>
      <c r="T923" s="12"/>
      <c r="U923" s="12"/>
      <c r="V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39"/>
      <c r="Q924" s="12"/>
      <c r="R924" s="12"/>
      <c r="S924" s="12"/>
      <c r="T924" s="12"/>
      <c r="U924" s="12"/>
      <c r="V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39"/>
      <c r="Q925" s="12"/>
      <c r="R925" s="12"/>
      <c r="S925" s="12"/>
      <c r="T925" s="12"/>
      <c r="U925" s="12"/>
      <c r="V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39"/>
      <c r="Q926" s="12"/>
      <c r="R926" s="12"/>
      <c r="S926" s="12"/>
      <c r="T926" s="12"/>
      <c r="U926" s="12"/>
      <c r="V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39"/>
      <c r="Q927" s="12"/>
      <c r="R927" s="12"/>
      <c r="S927" s="12"/>
      <c r="T927" s="12"/>
      <c r="U927" s="12"/>
      <c r="V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39"/>
      <c r="Q928" s="12"/>
      <c r="R928" s="12"/>
      <c r="S928" s="12"/>
      <c r="T928" s="12"/>
      <c r="U928" s="12"/>
      <c r="V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39"/>
      <c r="Q929" s="12"/>
      <c r="R929" s="12"/>
      <c r="S929" s="12"/>
      <c r="T929" s="12"/>
      <c r="U929" s="12"/>
      <c r="V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39"/>
      <c r="Q930" s="12"/>
      <c r="R930" s="12"/>
      <c r="S930" s="12"/>
      <c r="T930" s="12"/>
      <c r="U930" s="12"/>
      <c r="V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39"/>
      <c r="Q931" s="12"/>
      <c r="R931" s="12"/>
      <c r="S931" s="12"/>
      <c r="T931" s="12"/>
      <c r="U931" s="12"/>
      <c r="V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39"/>
      <c r="Q932" s="12"/>
      <c r="R932" s="12"/>
      <c r="S932" s="12"/>
      <c r="T932" s="12"/>
      <c r="U932" s="12"/>
      <c r="V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39"/>
      <c r="Q933" s="12"/>
      <c r="R933" s="12"/>
      <c r="S933" s="12"/>
      <c r="T933" s="12"/>
      <c r="U933" s="12"/>
      <c r="V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39"/>
      <c r="Q934" s="12"/>
      <c r="R934" s="12"/>
      <c r="S934" s="12"/>
      <c r="T934" s="12"/>
      <c r="U934" s="12"/>
      <c r="V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39"/>
      <c r="Q935" s="12"/>
      <c r="R935" s="12"/>
      <c r="S935" s="12"/>
      <c r="T935" s="12"/>
      <c r="U935" s="12"/>
      <c r="V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39"/>
      <c r="Q936" s="12"/>
      <c r="R936" s="12"/>
      <c r="S936" s="12"/>
      <c r="T936" s="12"/>
      <c r="U936" s="12"/>
      <c r="V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39"/>
      <c r="Q937" s="12"/>
      <c r="R937" s="12"/>
      <c r="S937" s="12"/>
      <c r="T937" s="12"/>
      <c r="U937" s="12"/>
      <c r="V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39"/>
      <c r="Q938" s="12"/>
      <c r="R938" s="12"/>
      <c r="S938" s="12"/>
      <c r="T938" s="12"/>
      <c r="U938" s="12"/>
      <c r="V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39"/>
      <c r="Q939" s="12"/>
      <c r="R939" s="12"/>
      <c r="S939" s="12"/>
      <c r="T939" s="12"/>
      <c r="U939" s="12"/>
      <c r="V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39"/>
      <c r="Q940" s="12"/>
      <c r="R940" s="12"/>
      <c r="S940" s="12"/>
      <c r="T940" s="12"/>
      <c r="U940" s="12"/>
      <c r="V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39"/>
      <c r="Q941" s="12"/>
      <c r="R941" s="12"/>
      <c r="S941" s="12"/>
      <c r="T941" s="12"/>
      <c r="U941" s="12"/>
      <c r="V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39"/>
      <c r="Q942" s="12"/>
      <c r="R942" s="12"/>
      <c r="S942" s="12"/>
      <c r="T942" s="12"/>
      <c r="U942" s="12"/>
      <c r="V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39"/>
      <c r="Q943" s="12"/>
      <c r="R943" s="12"/>
      <c r="S943" s="12"/>
      <c r="T943" s="12"/>
      <c r="U943" s="12"/>
      <c r="V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39"/>
      <c r="Q944" s="12"/>
      <c r="R944" s="12"/>
      <c r="S944" s="12"/>
      <c r="T944" s="12"/>
      <c r="U944" s="12"/>
      <c r="V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39"/>
      <c r="Q945" s="12"/>
      <c r="R945" s="12"/>
      <c r="S945" s="12"/>
      <c r="T945" s="12"/>
      <c r="U945" s="12"/>
      <c r="V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39"/>
      <c r="Q946" s="12"/>
      <c r="R946" s="12"/>
      <c r="S946" s="12"/>
      <c r="T946" s="12"/>
      <c r="U946" s="12"/>
      <c r="V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39"/>
      <c r="Q947" s="12"/>
      <c r="R947" s="12"/>
      <c r="S947" s="12"/>
      <c r="T947" s="12"/>
      <c r="U947" s="12"/>
      <c r="V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39"/>
      <c r="Q948" s="12"/>
      <c r="R948" s="12"/>
      <c r="S948" s="12"/>
      <c r="T948" s="12"/>
      <c r="U948" s="12"/>
      <c r="V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39"/>
      <c r="Q949" s="12"/>
      <c r="R949" s="12"/>
      <c r="S949" s="12"/>
      <c r="T949" s="12"/>
      <c r="U949" s="12"/>
      <c r="V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39"/>
      <c r="Q950" s="12"/>
      <c r="R950" s="12"/>
      <c r="S950" s="12"/>
      <c r="T950" s="12"/>
      <c r="U950" s="12"/>
      <c r="V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39"/>
      <c r="Q951" s="12"/>
      <c r="R951" s="12"/>
      <c r="S951" s="12"/>
      <c r="T951" s="12"/>
      <c r="U951" s="12"/>
      <c r="V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39"/>
      <c r="Q952" s="12"/>
      <c r="R952" s="12"/>
      <c r="S952" s="12"/>
      <c r="T952" s="12"/>
      <c r="U952" s="12"/>
      <c r="V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39"/>
      <c r="Q953" s="12"/>
      <c r="R953" s="12"/>
      <c r="S953" s="12"/>
      <c r="T953" s="12"/>
      <c r="U953" s="12"/>
      <c r="V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39"/>
      <c r="Q954" s="12"/>
      <c r="R954" s="12"/>
      <c r="S954" s="12"/>
      <c r="T954" s="12"/>
      <c r="U954" s="12"/>
      <c r="V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39"/>
      <c r="Q955" s="12"/>
      <c r="R955" s="12"/>
      <c r="S955" s="12"/>
      <c r="T955" s="12"/>
      <c r="U955" s="12"/>
      <c r="V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39"/>
      <c r="Q956" s="12"/>
      <c r="R956" s="12"/>
      <c r="S956" s="12"/>
      <c r="T956" s="12"/>
      <c r="U956" s="12"/>
      <c r="V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39"/>
      <c r="Q957" s="12"/>
      <c r="R957" s="12"/>
      <c r="S957" s="12"/>
      <c r="T957" s="12"/>
      <c r="U957" s="12"/>
      <c r="V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39"/>
      <c r="Q958" s="12"/>
      <c r="R958" s="12"/>
      <c r="S958" s="12"/>
      <c r="T958" s="12"/>
      <c r="U958" s="12"/>
      <c r="V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39"/>
      <c r="Q959" s="12"/>
      <c r="R959" s="12"/>
      <c r="S959" s="12"/>
      <c r="T959" s="12"/>
      <c r="U959" s="12"/>
      <c r="V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39"/>
      <c r="Q960" s="12"/>
      <c r="R960" s="12"/>
      <c r="S960" s="12"/>
      <c r="T960" s="12"/>
      <c r="U960" s="12"/>
      <c r="V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39"/>
      <c r="Q961" s="12"/>
      <c r="R961" s="12"/>
      <c r="S961" s="12"/>
      <c r="T961" s="12"/>
      <c r="U961" s="12"/>
      <c r="V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39"/>
      <c r="Q962" s="12"/>
      <c r="R962" s="12"/>
      <c r="S962" s="12"/>
      <c r="T962" s="12"/>
      <c r="U962" s="12"/>
      <c r="V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39"/>
      <c r="Q963" s="12"/>
      <c r="R963" s="12"/>
      <c r="S963" s="12"/>
      <c r="T963" s="12"/>
      <c r="U963" s="12"/>
      <c r="V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39"/>
      <c r="Q964" s="12"/>
      <c r="R964" s="12"/>
      <c r="S964" s="12"/>
      <c r="T964" s="12"/>
      <c r="U964" s="12"/>
      <c r="V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39"/>
      <c r="Q965" s="12"/>
      <c r="R965" s="12"/>
      <c r="S965" s="12"/>
      <c r="T965" s="12"/>
      <c r="U965" s="12"/>
      <c r="V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39"/>
      <c r="Q966" s="12"/>
      <c r="R966" s="12"/>
      <c r="S966" s="12"/>
      <c r="T966" s="12"/>
      <c r="U966" s="12"/>
      <c r="V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39"/>
      <c r="Q967" s="12"/>
      <c r="R967" s="12"/>
      <c r="S967" s="12"/>
      <c r="T967" s="12"/>
      <c r="U967" s="12"/>
      <c r="V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39"/>
      <c r="Q968" s="12"/>
      <c r="R968" s="12"/>
      <c r="S968" s="12"/>
      <c r="T968" s="12"/>
      <c r="U968" s="12"/>
      <c r="V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39"/>
      <c r="Q969" s="12"/>
      <c r="R969" s="12"/>
      <c r="S969" s="12"/>
      <c r="T969" s="12"/>
      <c r="U969" s="12"/>
      <c r="V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39"/>
      <c r="Q970" s="12"/>
      <c r="R970" s="12"/>
      <c r="S970" s="12"/>
      <c r="T970" s="12"/>
      <c r="U970" s="12"/>
      <c r="V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39"/>
      <c r="Q971" s="12"/>
      <c r="R971" s="12"/>
      <c r="S971" s="12"/>
      <c r="T971" s="12"/>
      <c r="U971" s="12"/>
      <c r="V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39"/>
      <c r="Q972" s="12"/>
      <c r="R972" s="12"/>
      <c r="S972" s="12"/>
      <c r="T972" s="12"/>
      <c r="U972" s="12"/>
      <c r="V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39"/>
      <c r="Q973" s="12"/>
      <c r="R973" s="12"/>
      <c r="S973" s="12"/>
      <c r="T973" s="12"/>
      <c r="U973" s="12"/>
      <c r="V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39"/>
      <c r="Q974" s="12"/>
      <c r="R974" s="12"/>
      <c r="S974" s="12"/>
      <c r="T974" s="12"/>
      <c r="U974" s="12"/>
      <c r="V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39"/>
      <c r="Q975" s="12"/>
      <c r="R975" s="12"/>
      <c r="S975" s="12"/>
      <c r="T975" s="12"/>
      <c r="U975" s="12"/>
      <c r="V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39"/>
      <c r="Q976" s="12"/>
      <c r="R976" s="12"/>
      <c r="S976" s="12"/>
      <c r="T976" s="12"/>
      <c r="U976" s="12"/>
      <c r="V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39"/>
      <c r="Q977" s="12"/>
      <c r="R977" s="12"/>
      <c r="S977" s="12"/>
      <c r="T977" s="12"/>
      <c r="U977" s="12"/>
      <c r="V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39"/>
      <c r="Q978" s="12"/>
      <c r="R978" s="12"/>
      <c r="S978" s="12"/>
      <c r="T978" s="12"/>
      <c r="U978" s="12"/>
      <c r="V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39"/>
      <c r="Q979" s="12"/>
      <c r="R979" s="12"/>
      <c r="S979" s="12"/>
      <c r="T979" s="12"/>
      <c r="U979" s="12"/>
      <c r="V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39"/>
      <c r="Q980" s="12"/>
      <c r="R980" s="12"/>
      <c r="S980" s="12"/>
      <c r="T980" s="12"/>
      <c r="U980" s="12"/>
      <c r="V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39"/>
      <c r="Q981" s="12"/>
      <c r="R981" s="12"/>
      <c r="S981" s="12"/>
      <c r="T981" s="12"/>
      <c r="U981" s="12"/>
      <c r="V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39"/>
      <c r="Q982" s="12"/>
      <c r="R982" s="12"/>
      <c r="S982" s="12"/>
      <c r="T982" s="12"/>
      <c r="U982" s="12"/>
      <c r="V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39"/>
      <c r="Q983" s="12"/>
      <c r="R983" s="12"/>
      <c r="S983" s="12"/>
      <c r="T983" s="12"/>
      <c r="U983" s="12"/>
      <c r="V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39"/>
      <c r="Q984" s="12"/>
      <c r="R984" s="12"/>
      <c r="S984" s="12"/>
      <c r="T984" s="12"/>
      <c r="U984" s="12"/>
      <c r="V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39"/>
      <c r="Q985" s="12"/>
      <c r="R985" s="12"/>
      <c r="S985" s="12"/>
      <c r="T985" s="12"/>
      <c r="U985" s="12"/>
      <c r="V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39"/>
      <c r="Q986" s="12"/>
      <c r="R986" s="12"/>
      <c r="S986" s="12"/>
      <c r="T986" s="12"/>
      <c r="U986" s="12"/>
      <c r="V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39"/>
      <c r="Q987" s="12"/>
      <c r="R987" s="12"/>
      <c r="S987" s="12"/>
      <c r="T987" s="12"/>
      <c r="U987" s="12"/>
      <c r="V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39"/>
      <c r="Q988" s="12"/>
      <c r="R988" s="12"/>
      <c r="S988" s="12"/>
      <c r="T988" s="12"/>
      <c r="U988" s="12"/>
      <c r="V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39"/>
      <c r="Q989" s="12"/>
      <c r="R989" s="12"/>
      <c r="S989" s="12"/>
      <c r="T989" s="12"/>
      <c r="U989" s="12"/>
      <c r="V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39"/>
      <c r="Q990" s="12"/>
      <c r="R990" s="12"/>
      <c r="S990" s="12"/>
      <c r="T990" s="12"/>
      <c r="U990" s="12"/>
      <c r="V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39"/>
      <c r="Q991" s="12"/>
      <c r="R991" s="12"/>
      <c r="S991" s="12"/>
      <c r="T991" s="12"/>
      <c r="U991" s="12"/>
      <c r="V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39"/>
      <c r="Q992" s="12"/>
      <c r="R992" s="12"/>
      <c r="S992" s="12"/>
      <c r="T992" s="12"/>
      <c r="U992" s="12"/>
      <c r="V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39"/>
      <c r="Q993" s="12"/>
      <c r="R993" s="12"/>
      <c r="S993" s="12"/>
      <c r="T993" s="12"/>
      <c r="U993" s="12"/>
      <c r="V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39"/>
      <c r="Q994" s="12"/>
      <c r="R994" s="12"/>
      <c r="S994" s="12"/>
      <c r="T994" s="12"/>
      <c r="U994" s="12"/>
      <c r="V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39"/>
      <c r="Q995" s="12"/>
      <c r="R995" s="12"/>
      <c r="S995" s="12"/>
      <c r="T995" s="12"/>
      <c r="U995" s="12"/>
      <c r="V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39"/>
      <c r="Q996" s="12"/>
      <c r="R996" s="12"/>
      <c r="S996" s="12"/>
      <c r="T996" s="12"/>
      <c r="U996" s="12"/>
      <c r="V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39"/>
      <c r="Q997" s="12"/>
      <c r="R997" s="12"/>
      <c r="S997" s="12"/>
      <c r="T997" s="12"/>
      <c r="U997" s="12"/>
      <c r="V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39"/>
      <c r="Q998" s="12"/>
      <c r="R998" s="12"/>
      <c r="S998" s="12"/>
      <c r="T998" s="12"/>
      <c r="U998" s="12"/>
      <c r="V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39"/>
      <c r="Q999" s="12"/>
      <c r="R999" s="12"/>
      <c r="S999" s="12"/>
      <c r="T999" s="12"/>
      <c r="U999" s="12"/>
      <c r="V999" s="12"/>
    </row>
  </sheetData>
  <autoFilter ref="B1:U342"/>
  <conditionalFormatting sqref="I2:I342">
    <cfRule type="cellIs" priority="2" operator="greaterThan" aboveAverage="0" equalAverage="0" bottom="0" percent="0" rank="0" text="" dxfId="5">
      <formula>0.6</formula>
    </cfRule>
  </conditionalFormatting>
  <dataValidations count="1">
    <dataValidation allowBlank="true" errorStyle="stop" operator="between" showDropDown="true" showErrorMessage="false" showInputMessage="false" sqref="E2:E342 I2:J342 N2:N342" type="custom">
      <formula1>AND(ISNUMBER(E2),(NOT(OR(NOT(ISERROR(DATEVALUE(E2))), AND(ISNUMBER(E2), LEFT(CELL("format", E2))="D")))))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15.82"/>
  </cols>
  <sheetData>
    <row r="1" customFormat="false" ht="15" hidden="false" customHeight="false" outlineLevel="0" collapsed="false">
      <c r="A1" s="40" t="s">
        <v>6006</v>
      </c>
      <c r="B1" s="40" t="s">
        <v>466</v>
      </c>
    </row>
    <row r="2" customFormat="false" ht="15" hidden="false" customHeight="false" outlineLevel="0" collapsed="false">
      <c r="A2" s="40" t="s">
        <v>6007</v>
      </c>
      <c r="B2" s="40" t="n">
        <f aca="false">SUMIF(ART!G:H,A2,ART!H:H)</f>
        <v>63</v>
      </c>
    </row>
    <row r="3" customFormat="false" ht="15" hidden="false" customHeight="false" outlineLevel="0" collapsed="false">
      <c r="A3" s="40" t="s">
        <v>6008</v>
      </c>
      <c r="B3" s="40" t="n">
        <f aca="false">SUMIF(ART!G:H,A3,ART!H:H)</f>
        <v>63</v>
      </c>
    </row>
    <row r="4" customFormat="false" ht="15" hidden="false" customHeight="false" outlineLevel="0" collapsed="false">
      <c r="A4" s="40" t="s">
        <v>6009</v>
      </c>
      <c r="B4" s="40" t="n">
        <f aca="false">SUMIF(ART!G:H,A4,ART!H:H)</f>
        <v>36</v>
      </c>
    </row>
    <row r="5" customFormat="false" ht="15" hidden="false" customHeight="false" outlineLevel="0" collapsed="false">
      <c r="A5" s="40" t="s">
        <v>6010</v>
      </c>
      <c r="B5" s="40" t="n">
        <f aca="false">SUMIF(ART!G:H,A5,ART!H:H)</f>
        <v>29</v>
      </c>
    </row>
    <row r="6" customFormat="false" ht="15" hidden="false" customHeight="false" outlineLevel="0" collapsed="false">
      <c r="A6" s="40" t="s">
        <v>6011</v>
      </c>
      <c r="B6" s="40" t="n">
        <f aca="false">SUMIF(ART!G:H,A6,ART!H:H)</f>
        <v>18</v>
      </c>
    </row>
    <row r="7" customFormat="false" ht="15" hidden="false" customHeight="false" outlineLevel="0" collapsed="false">
      <c r="A7" s="40" t="s">
        <v>6012</v>
      </c>
      <c r="B7" s="40" t="n">
        <f aca="false">SUMIF(ART!G:H,A7,ART!H:H)</f>
        <v>18</v>
      </c>
    </row>
    <row r="8" customFormat="false" ht="15" hidden="false" customHeight="false" outlineLevel="0" collapsed="false">
      <c r="A8" s="40" t="s">
        <v>6013</v>
      </c>
      <c r="B8" s="40" t="n">
        <f aca="false">SUMIF(ART!G:H,A8,ART!H:H)</f>
        <v>10</v>
      </c>
    </row>
    <row r="9" customFormat="false" ht="15" hidden="false" customHeight="false" outlineLevel="0" collapsed="false">
      <c r="A9" s="40" t="s">
        <v>6014</v>
      </c>
      <c r="B9" s="40" t="n">
        <f aca="false">SUMIF(ART!G:H,A9,ART!H:H)</f>
        <v>9</v>
      </c>
    </row>
    <row r="10" customFormat="false" ht="15" hidden="false" customHeight="false" outlineLevel="0" collapsed="false">
      <c r="A10" s="40" t="s">
        <v>6015</v>
      </c>
      <c r="B10" s="40" t="n">
        <f aca="false">SUMIF(ART!G:H,A10,ART!H:H)</f>
        <v>5</v>
      </c>
    </row>
    <row r="11" customFormat="false" ht="15" hidden="false" customHeight="false" outlineLevel="0" collapsed="false">
      <c r="A11" s="40" t="s">
        <v>6016</v>
      </c>
      <c r="B11" s="40" t="n">
        <f aca="false">SUMIF(ART!G:H,A11,ART!H:H)</f>
        <v>4</v>
      </c>
    </row>
    <row r="12" customFormat="false" ht="15" hidden="false" customHeight="false" outlineLevel="0" collapsed="false">
      <c r="A12" s="40" t="s">
        <v>6017</v>
      </c>
      <c r="B12" s="40" t="n">
        <f aca="false">SUMIF(ART!G:H,A12,ART!H:H)</f>
        <v>4</v>
      </c>
    </row>
    <row r="13" customFormat="false" ht="15" hidden="false" customHeight="false" outlineLevel="0" collapsed="false">
      <c r="A13" s="40" t="s">
        <v>3706</v>
      </c>
      <c r="B13" s="40" t="n">
        <f aca="false">SUMIF(ART!G:H,A13,ART!H:H)</f>
        <v>3</v>
      </c>
    </row>
    <row r="14" customFormat="false" ht="15" hidden="false" customHeight="false" outlineLevel="0" collapsed="false">
      <c r="A14" s="40" t="s">
        <v>6018</v>
      </c>
      <c r="B14" s="40" t="n">
        <f aca="false">SUMIF(ART!G:H,A14,ART!H:H)</f>
        <v>2</v>
      </c>
    </row>
    <row r="15" customFormat="false" ht="15" hidden="false" customHeight="false" outlineLevel="0" collapsed="false">
      <c r="A15" s="40" t="s">
        <v>6019</v>
      </c>
      <c r="B15" s="40" t="n">
        <f aca="false">SUMIF(ART!G:H,A15,ART!H:H)</f>
        <v>2</v>
      </c>
    </row>
    <row r="16" customFormat="false" ht="15" hidden="false" customHeight="false" outlineLevel="0" collapsed="false">
      <c r="A16" s="40" t="s">
        <v>6020</v>
      </c>
      <c r="B16" s="40" t="n">
        <f aca="false">SUMIF(ART!G:H,A16,ART!H:H)</f>
        <v>1</v>
      </c>
    </row>
    <row r="17" customFormat="false" ht="15" hidden="false" customHeight="false" outlineLevel="0" collapsed="false">
      <c r="A17" s="40" t="s">
        <v>6021</v>
      </c>
      <c r="B17" s="40" t="n">
        <f aca="false">SUMIF(ART!G:H,A17,ART!H:H)</f>
        <v>1</v>
      </c>
    </row>
    <row r="18" customFormat="false" ht="15" hidden="false" customHeight="false" outlineLevel="0" collapsed="false">
      <c r="A18" s="40" t="s">
        <v>6022</v>
      </c>
      <c r="B18" s="40" t="n">
        <f aca="false">SUMIF(ART!G:H,A18,ART!H:H)</f>
        <v>1</v>
      </c>
    </row>
    <row r="19" customFormat="false" ht="15" hidden="false" customHeight="false" outlineLevel="0" collapsed="false">
      <c r="A19" s="40" t="s">
        <v>6023</v>
      </c>
      <c r="B19" s="40" t="n">
        <f aca="false">SUMIF(ART!G:H,A19,ART!H:H)</f>
        <v>1</v>
      </c>
    </row>
    <row r="20" customFormat="false" ht="15" hidden="false" customHeight="false" outlineLevel="0" collapsed="false">
      <c r="A20" s="40" t="s">
        <v>6024</v>
      </c>
      <c r="B20" s="40" t="n">
        <f aca="false">SUMIF(ART!G:H,A20,ART!H:H)</f>
        <v>1</v>
      </c>
    </row>
    <row r="21" customFormat="false" ht="15" hidden="false" customHeight="false" outlineLevel="0" collapsed="false">
      <c r="A21" s="40" t="s">
        <v>6025</v>
      </c>
      <c r="B21" s="40" t="n">
        <f aca="false">SUMIF(ART!G:H,A21,ART!H:H)</f>
        <v>1</v>
      </c>
    </row>
    <row r="22" customFormat="false" ht="15" hidden="false" customHeight="false" outlineLevel="0" collapsed="false">
      <c r="A22" s="40" t="s">
        <v>6026</v>
      </c>
      <c r="B22" s="40" t="n">
        <f aca="false">SUMIF(ART!G:H,A22,ART!H:H)</f>
        <v>1</v>
      </c>
    </row>
    <row r="23" customFormat="false" ht="15" hidden="false" customHeight="false" outlineLevel="0" collapsed="false">
      <c r="A23" s="40" t="s">
        <v>6027</v>
      </c>
      <c r="B23" s="40" t="n">
        <f aca="false">SUMIF(ART!G:H,A23,ART!H:H)</f>
        <v>1</v>
      </c>
    </row>
  </sheetData>
  <autoFilter ref="A1:B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6028</v>
      </c>
      <c r="C1" s="12" t="s">
        <v>6029</v>
      </c>
      <c r="D1" s="12" t="s">
        <v>6030</v>
      </c>
      <c r="E1" s="12" t="s">
        <v>6031</v>
      </c>
      <c r="F1" s="12" t="s">
        <v>6032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61</v>
      </c>
      <c r="C2" s="2" t="s">
        <v>6033</v>
      </c>
      <c r="D2" s="2" t="n">
        <f aca="false">SUMIF(CAL!R:T,B2,CAL!S:T)+SUMIF(CAL!R:T,B2,CAL!T:U)</f>
        <v>6</v>
      </c>
      <c r="E2" s="2" t="n">
        <f aca="false">COUNTIF(CAL!R:R,INV!$B2)</f>
        <v>1</v>
      </c>
      <c r="F2" s="41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327</v>
      </c>
      <c r="C3" s="2" t="s">
        <v>6034</v>
      </c>
      <c r="D3" s="2" t="n">
        <f aca="false">SUMIF(CAL!R:T,B3,CAL!S:T)+SUMIF(CAL!R:T,B3,CAL!T:U)</f>
        <v>132</v>
      </c>
      <c r="E3" s="2" t="n">
        <f aca="false">COUNTIF(CAL!R:R,INV!$B3)</f>
        <v>39</v>
      </c>
      <c r="F3" s="41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356</v>
      </c>
      <c r="C4" s="2" t="s">
        <v>6035</v>
      </c>
      <c r="D4" s="2" t="n">
        <f aca="false">SUMIF(CAL!R:T,B4,CAL!S:T)+SUMIF(CAL!R:T,B4,CAL!T:U)</f>
        <v>82</v>
      </c>
      <c r="E4" s="2" t="n">
        <f aca="false">COUNTIF(CAL!R:R,INV!$B4)</f>
        <v>26</v>
      </c>
      <c r="F4" s="41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386</v>
      </c>
      <c r="C5" s="2" t="s">
        <v>6036</v>
      </c>
      <c r="D5" s="2" t="n">
        <f aca="false">SUMIF(CAL!R:T,B5,CAL!S:T)+SUMIF(CAL!R:T,B5,CAL!T:U)</f>
        <v>101</v>
      </c>
      <c r="E5" s="2" t="n">
        <f aca="false">COUNTIF(CAL!R:R,INV!$B5)</f>
        <v>33</v>
      </c>
      <c r="F5" s="41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142</v>
      </c>
      <c r="C6" s="2" t="s">
        <v>6037</v>
      </c>
      <c r="D6" s="2" t="n">
        <f aca="false">SUMIF(CAL!R:T,B6,CAL!S:T)+SUMIF(CAL!R:T,B6,CAL!T:U)</f>
        <v>112</v>
      </c>
      <c r="E6" s="2" t="n">
        <f aca="false">COUNTIF(CAL!R:R,INV!$B6)</f>
        <v>37</v>
      </c>
      <c r="F6" s="41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305</v>
      </c>
      <c r="C7" s="2" t="s">
        <v>6038</v>
      </c>
      <c r="D7" s="2" t="n">
        <f aca="false">SUMIF(CAL!R:T,B7,CAL!S:T)+SUMIF(CAL!R:T,B7,CAL!T:U)</f>
        <v>3</v>
      </c>
      <c r="E7" s="2" t="n">
        <f aca="false">COUNTIF(CAL!R:R,INV!$B7)</f>
        <v>1</v>
      </c>
      <c r="F7" s="41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260</v>
      </c>
      <c r="C8" s="2" t="s">
        <v>6039</v>
      </c>
      <c r="D8" s="2" t="n">
        <f aca="false">SUMIF(CAL!R:T,B8,CAL!S:T)+SUMIF(CAL!R:T,B8,CAL!T:U)</f>
        <v>100</v>
      </c>
      <c r="E8" s="2" t="n">
        <f aca="false">COUNTIF(CAL!R:R,INV!$B8)</f>
        <v>34</v>
      </c>
      <c r="F8" s="41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72</v>
      </c>
      <c r="C9" s="2" t="s">
        <v>6040</v>
      </c>
      <c r="D9" s="2" t="n">
        <f aca="false">SUMIF(CAL!R:T,B9,CAL!S:T)+SUMIF(CAL!R:T,B9,CAL!T:U)</f>
        <v>111</v>
      </c>
      <c r="E9" s="2" t="n">
        <f aca="false">COUNTIF(CAL!R:R,INV!$B9)</f>
        <v>38</v>
      </c>
      <c r="F9" s="41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437</v>
      </c>
      <c r="C10" s="2" t="s">
        <v>6041</v>
      </c>
      <c r="D10" s="2" t="n">
        <f aca="false">SUMIF(CAL!R:T,B10,CAL!S:T)+SUMIF(CAL!R:T,B10,CAL!T:U)</f>
        <v>104</v>
      </c>
      <c r="E10" s="2" t="n">
        <f aca="false">COUNTIF(CAL!R:R,INV!$B10)</f>
        <v>36</v>
      </c>
      <c r="F10" s="41" t="n">
        <f aca="false">D10/E10</f>
        <v>2.88888888888889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411</v>
      </c>
      <c r="C11" s="2" t="s">
        <v>6042</v>
      </c>
      <c r="D11" s="2" t="n">
        <f aca="false">SUMIF(CAL!R:T,B11,CAL!S:T)+SUMIF(CAL!R:T,B11,CAL!T:U)</f>
        <v>84</v>
      </c>
      <c r="E11" s="2" t="n">
        <f aca="false">COUNTIF(CAL!R:R,INV!$B11)</f>
        <v>32</v>
      </c>
      <c r="F11" s="41" t="n">
        <f aca="false">D11/E11</f>
        <v>2.625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355</v>
      </c>
      <c r="C12" s="2" t="s">
        <v>6043</v>
      </c>
      <c r="D12" s="2" t="n">
        <f aca="false">SUMIF(CAL!R:T,B12,CAL!S:T)+SUMIF(CAL!R:T,B12,CAL!T:U)</f>
        <v>243</v>
      </c>
      <c r="E12" s="2" t="n">
        <f aca="false">COUNTIF(CAL!R:R,INV!$B12)</f>
        <v>92</v>
      </c>
      <c r="F12" s="41" t="n">
        <f aca="false">D12/E12</f>
        <v>2.64130434782609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294</v>
      </c>
      <c r="C13" s="2" t="s">
        <v>6044</v>
      </c>
      <c r="D13" s="2" t="n">
        <f aca="false">SUMIF(CAL!R:T,B13,CAL!S:T)+SUMIF(CAL!R:T,B13,CAL!T:U)</f>
        <v>144</v>
      </c>
      <c r="E13" s="2" t="n">
        <f aca="false">COUNTIF(CAL!R:R,INV!$B13)</f>
        <v>55</v>
      </c>
      <c r="F13" s="41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90</v>
      </c>
      <c r="C14" s="2" t="s">
        <v>6045</v>
      </c>
      <c r="D14" s="2" t="n">
        <f aca="false">SUMIF(CAL!R:T,B14,CAL!S:T)+SUMIF(CAL!R:T,B14,CAL!T:U)</f>
        <v>124</v>
      </c>
      <c r="E14" s="2" t="n">
        <f aca="false">COUNTIF(CAL!R:R,INV!$B14)</f>
        <v>48</v>
      </c>
      <c r="F14" s="41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438</v>
      </c>
      <c r="C15" s="2" t="s">
        <v>6046</v>
      </c>
      <c r="D15" s="2" t="n">
        <f aca="false">SUMIF(CAL!R:T,B15,CAL!S:T)+SUMIF(CAL!R:T,B15,CAL!T:U)</f>
        <v>44</v>
      </c>
      <c r="E15" s="2" t="n">
        <f aca="false">COUNTIF(CAL!R:R,INV!$B15)</f>
        <v>18</v>
      </c>
      <c r="F15" s="41" t="n">
        <f aca="false">D15/E15</f>
        <v>2.44444444444444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209</v>
      </c>
      <c r="C16" s="2" t="s">
        <v>6047</v>
      </c>
      <c r="D16" s="2" t="n">
        <f aca="false">SUMIF(CAL!R:T,B16,CAL!S:T)+SUMIF(CAL!R:T,B16,CAL!T:U)</f>
        <v>162</v>
      </c>
      <c r="E16" s="2" t="n">
        <f aca="false">COUNTIF(CAL!R:R,INV!$B16)</f>
        <v>63</v>
      </c>
      <c r="F16" s="41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96</v>
      </c>
      <c r="C17" s="2" t="s">
        <v>6048</v>
      </c>
      <c r="D17" s="2" t="n">
        <f aca="false">SUMIF(CAL!R:T,B17,CAL!S:T)+SUMIF(CAL!R:T,B17,CAL!T:U)</f>
        <v>128</v>
      </c>
      <c r="E17" s="2" t="n">
        <f aca="false">COUNTIF(CAL!R:R,INV!$B17)</f>
        <v>50</v>
      </c>
      <c r="F17" s="41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105</v>
      </c>
      <c r="C18" s="2" t="s">
        <v>6049</v>
      </c>
      <c r="D18" s="2" t="n">
        <f aca="false">SUMIF(CAL!R:T,B18,CAL!S:T)+SUMIF(CAL!R:T,B18,CAL!T:U)</f>
        <v>176</v>
      </c>
      <c r="E18" s="2" t="n">
        <f aca="false">COUNTIF(CAL!R:R,INV!$B18)</f>
        <v>70</v>
      </c>
      <c r="F18" s="41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436</v>
      </c>
      <c r="C19" s="2" t="s">
        <v>6050</v>
      </c>
      <c r="D19" s="2" t="n">
        <f aca="false">SUMIF(CAL!R:T,B19,CAL!S:T)+SUMIF(CAL!R:T,B19,CAL!T:U)</f>
        <v>72</v>
      </c>
      <c r="E19" s="2" t="n">
        <f aca="false">COUNTIF(CAL!R:R,INV!$B19)</f>
        <v>30</v>
      </c>
      <c r="F19" s="41" t="n">
        <f aca="false">D19/E19</f>
        <v>2.4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37</v>
      </c>
      <c r="C20" s="2" t="s">
        <v>6051</v>
      </c>
      <c r="D20" s="2" t="n">
        <f aca="false">SUMIF(CAL!R:T,B20,CAL!S:T)+SUMIF(CAL!R:T,B20,CAL!T:U)</f>
        <v>136</v>
      </c>
      <c r="E20" s="2" t="n">
        <f aca="false">COUNTIF(CAL!R:R,INV!$B20)</f>
        <v>56</v>
      </c>
      <c r="F20" s="41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40</v>
      </c>
      <c r="C21" s="2" t="s">
        <v>6052</v>
      </c>
      <c r="D21" s="2" t="n">
        <f aca="false">SUMIF(CAL!R:T,B21,CAL!S:T)+SUMIF(CAL!R:T,B21,CAL!T:U)</f>
        <v>174</v>
      </c>
      <c r="E21" s="2" t="n">
        <f aca="false">COUNTIF(CAL!R:R,INV!$B21)</f>
        <v>72</v>
      </c>
      <c r="F21" s="41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281</v>
      </c>
      <c r="C22" s="2" t="s">
        <v>6053</v>
      </c>
      <c r="D22" s="2" t="n">
        <f aca="false">SUMIF(CAL!R:T,B22,CAL!S:T)+SUMIF(CAL!R:T,B22,CAL!T:U)</f>
        <v>114</v>
      </c>
      <c r="E22" s="2" t="n">
        <f aca="false">COUNTIF(CAL!R:R,INV!$B22)</f>
        <v>48</v>
      </c>
      <c r="F22" s="41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77</v>
      </c>
      <c r="C23" s="2" t="s">
        <v>6054</v>
      </c>
      <c r="D23" s="2" t="n">
        <f aca="false">SUMIF(CAL!R:T,B23,CAL!S:T)+SUMIF(CAL!R:T,B23,CAL!T:U)</f>
        <v>334</v>
      </c>
      <c r="E23" s="2" t="n">
        <f aca="false">COUNTIF(CAL!R:R,INV!$B23)</f>
        <v>140</v>
      </c>
      <c r="F23" s="41" t="n">
        <f aca="false">D23/E23</f>
        <v>2.38571428571429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276</v>
      </c>
      <c r="C24" s="2" t="s">
        <v>6055</v>
      </c>
      <c r="D24" s="2" t="n">
        <f aca="false">SUMIF(CAL!R:T,B24,CAL!S:T)+SUMIF(CAL!R:T,B24,CAL!T:U)</f>
        <v>120</v>
      </c>
      <c r="E24" s="2" t="n">
        <f aca="false">COUNTIF(CAL!R:R,INV!$B24)</f>
        <v>51</v>
      </c>
      <c r="F24" s="41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286</v>
      </c>
      <c r="C25" s="2" t="s">
        <v>6056</v>
      </c>
      <c r="D25" s="2" t="n">
        <f aca="false">SUMIF(CAL!R:T,B25,CAL!S:T)+SUMIF(CAL!R:T,B25,CAL!T:U)</f>
        <v>80</v>
      </c>
      <c r="E25" s="2" t="n">
        <f aca="false">COUNTIF(CAL!R:R,INV!$B25)</f>
        <v>34</v>
      </c>
      <c r="F25" s="41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115</v>
      </c>
      <c r="C26" s="2" t="s">
        <v>6057</v>
      </c>
      <c r="D26" s="2" t="n">
        <f aca="false">SUMIF(CAL!R:T,B26,CAL!S:T)+SUMIF(CAL!R:T,B26,CAL!T:U)</f>
        <v>137</v>
      </c>
      <c r="E26" s="2" t="n">
        <f aca="false">COUNTIF(CAL!R:R,INV!$B26)</f>
        <v>59</v>
      </c>
      <c r="F26" s="41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157</v>
      </c>
      <c r="C27" s="2" t="s">
        <v>6058</v>
      </c>
      <c r="D27" s="2" t="n">
        <f aca="false">SUMIF(CAL!R:T,B27,CAL!S:T)+SUMIF(CAL!R:T,B27,CAL!T:U)</f>
        <v>169</v>
      </c>
      <c r="E27" s="2" t="n">
        <f aca="false">COUNTIF(CAL!R:R,INV!$B27)</f>
        <v>73</v>
      </c>
      <c r="F27" s="41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145</v>
      </c>
      <c r="C28" s="2" t="s">
        <v>6059</v>
      </c>
      <c r="D28" s="2" t="n">
        <f aca="false">SUMIF(CAL!R:T,B28,CAL!S:T)+SUMIF(CAL!R:T,B28,CAL!T:U)</f>
        <v>148</v>
      </c>
      <c r="E28" s="2" t="n">
        <f aca="false">COUNTIF(CAL!R:R,INV!$B28)</f>
        <v>65</v>
      </c>
      <c r="F28" s="41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439</v>
      </c>
      <c r="C29" s="2" t="s">
        <v>6060</v>
      </c>
      <c r="D29" s="2" t="n">
        <f aca="false">SUMIF(CAL!R:T,B29,CAL!S:T)+SUMIF(CAL!R:T,B29,CAL!T:U)</f>
        <v>21</v>
      </c>
      <c r="E29" s="2" t="n">
        <f aca="false">COUNTIF(CAL!R:R,INV!$B29)</f>
        <v>10</v>
      </c>
      <c r="F29" s="41" t="n">
        <f aca="false">D29/E29</f>
        <v>2.1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152</v>
      </c>
      <c r="C30" s="2" t="s">
        <v>6061</v>
      </c>
      <c r="D30" s="2" t="n">
        <f aca="false">SUMIF(CAL!R:T,B30,CAL!S:T)+SUMIF(CAL!R:T,B30,CAL!T:U)</f>
        <v>122</v>
      </c>
      <c r="E30" s="2" t="n">
        <f aca="false">COUNTIF(CAL!R:R,INV!$B30)</f>
        <v>55</v>
      </c>
      <c r="F30" s="41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312</v>
      </c>
      <c r="C31" s="2" t="s">
        <v>6062</v>
      </c>
      <c r="D31" s="2" t="n">
        <f aca="false">SUMIF(CAL!R:T,B31,CAL!S:T)+SUMIF(CAL!R:T,B31,CAL!T:U)</f>
        <v>294</v>
      </c>
      <c r="E31" s="2" t="n">
        <f aca="false">COUNTIF(CAL!R:R,INV!$B31)</f>
        <v>133</v>
      </c>
      <c r="F31" s="41" t="n">
        <f aca="false">D31/E31</f>
        <v>2.21052631578947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431</v>
      </c>
      <c r="C32" s="2" t="s">
        <v>6063</v>
      </c>
      <c r="D32" s="2" t="n">
        <f aca="false">SUMIF(CAL!R:T,B32,CAL!S:T)+SUMIF(CAL!R:T,B32,CAL!T:U)</f>
        <v>66</v>
      </c>
      <c r="E32" s="2" t="n">
        <f aca="false">COUNTIF(CAL!R:R,INV!$B32)</f>
        <v>31</v>
      </c>
      <c r="F32" s="41" t="n">
        <f aca="false">D32/E32</f>
        <v>2.12903225806452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137</v>
      </c>
      <c r="C33" s="2" t="s">
        <v>6064</v>
      </c>
      <c r="D33" s="2" t="n">
        <f aca="false">SUMIF(CAL!R:T,B33,CAL!S:T)+SUMIF(CAL!R:T,B33,CAL!T:U)</f>
        <v>75</v>
      </c>
      <c r="E33" s="2" t="n">
        <f aca="false">COUNTIF(CAL!R:R,INV!$B33)</f>
        <v>34</v>
      </c>
      <c r="F33" s="41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34</v>
      </c>
      <c r="C34" s="2" t="s">
        <v>6065</v>
      </c>
      <c r="D34" s="2" t="n">
        <f aca="false">SUMIF(CAL!R:T,B34,CAL!S:T)+SUMIF(CAL!R:T,B34,CAL!T:U)</f>
        <v>94</v>
      </c>
      <c r="E34" s="2" t="n">
        <f aca="false">COUNTIF(CAL!R:R,INV!$B34)</f>
        <v>43</v>
      </c>
      <c r="F34" s="41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324</v>
      </c>
      <c r="C35" s="2" t="s">
        <v>6066</v>
      </c>
      <c r="D35" s="2" t="n">
        <f aca="false">SUMIF(CAL!R:T,B35,CAL!S:T)+SUMIF(CAL!R:T,B35,CAL!T:U)</f>
        <v>103</v>
      </c>
      <c r="E35" s="2" t="n">
        <f aca="false">COUNTIF(CAL!R:R,INV!$B35)</f>
        <v>48</v>
      </c>
      <c r="F35" s="41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395</v>
      </c>
      <c r="C36" s="2" t="s">
        <v>6067</v>
      </c>
      <c r="D36" s="2" t="n">
        <f aca="false">SUMIF(CAL!R:T,B36,CAL!S:T)+SUMIF(CAL!R:T,B36,CAL!T:U)</f>
        <v>201</v>
      </c>
      <c r="E36" s="2" t="n">
        <f aca="false">COUNTIF(CAL!R:R,INV!$B36)</f>
        <v>94</v>
      </c>
      <c r="F36" s="41" t="n">
        <f aca="false">D36/E36</f>
        <v>2.13829787234043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247</v>
      </c>
      <c r="C37" s="2" t="s">
        <v>6068</v>
      </c>
      <c r="D37" s="2" t="n">
        <f aca="false">SUMIF(CAL!R:T,B37,CAL!S:T)+SUMIF(CAL!R:T,B37,CAL!T:U)</f>
        <v>126</v>
      </c>
      <c r="E37" s="2" t="n">
        <f aca="false">COUNTIF(CAL!R:R,INV!$B37)</f>
        <v>59</v>
      </c>
      <c r="F37" s="41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440</v>
      </c>
      <c r="C38" s="2" t="s">
        <v>6069</v>
      </c>
      <c r="D38" s="2" t="n">
        <f aca="false">SUMIF(CAL!R:T,B38,CAL!S:T)+SUMIF(CAL!R:T,B38,CAL!T:U)</f>
        <v>99</v>
      </c>
      <c r="E38" s="2" t="n">
        <f aca="false">COUNTIF(CAL!R:R,INV!$B38)</f>
        <v>47</v>
      </c>
      <c r="F38" s="41" t="n">
        <f aca="false">D38/E38</f>
        <v>2.1063829787234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87</v>
      </c>
      <c r="C39" s="2" t="s">
        <v>6070</v>
      </c>
      <c r="D39" s="2" t="n">
        <f aca="false">SUMIF(CAL!R:T,B39,CAL!S:T)+SUMIF(CAL!R:T,B39,CAL!T:U)</f>
        <v>80</v>
      </c>
      <c r="E39" s="2" t="n">
        <f aca="false">COUNTIF(CAL!R:R,INV!$B39)</f>
        <v>39</v>
      </c>
      <c r="F39" s="41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80</v>
      </c>
      <c r="C40" s="2" t="s">
        <v>6071</v>
      </c>
      <c r="D40" s="2" t="n">
        <f aca="false">SUMIF(CAL!R:T,B40,CAL!S:T)+SUMIF(CAL!R:T,B40,CAL!T:U)</f>
        <v>72</v>
      </c>
      <c r="E40" s="2" t="n">
        <f aca="false">COUNTIF(CAL!R:R,INV!$B40)</f>
        <v>36</v>
      </c>
      <c r="F40" s="41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404</v>
      </c>
      <c r="C41" s="2" t="s">
        <v>6072</v>
      </c>
      <c r="D41" s="2" t="n">
        <f aca="false">SUMIF(CAL!R:T,B41,CAL!S:T)+SUMIF(CAL!R:T,B41,CAL!T:U)</f>
        <v>4</v>
      </c>
      <c r="E41" s="2" t="n">
        <f aca="false">COUNTIF(CAL!R:R,INV!$B41)</f>
        <v>2</v>
      </c>
      <c r="F41" s="41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379</v>
      </c>
      <c r="C42" s="2" t="s">
        <v>6073</v>
      </c>
      <c r="D42" s="2" t="n">
        <f aca="false">SUMIF(CAL!R:T,B42,CAL!S:T)+SUMIF(CAL!R:T,B42,CAL!T:U)</f>
        <v>2</v>
      </c>
      <c r="E42" s="2" t="n">
        <f aca="false">COUNTIF(CAL!R:R,INV!$B42)</f>
        <v>1</v>
      </c>
      <c r="F42" s="41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112</v>
      </c>
      <c r="C43" s="2" t="s">
        <v>6074</v>
      </c>
      <c r="D43" s="2" t="n">
        <f aca="false">SUMIF(CAL!R:T,B43,CAL!S:T)+SUMIF(CAL!R:T,B43,CAL!T:U)</f>
        <v>71</v>
      </c>
      <c r="E43" s="2" t="n">
        <f aca="false">COUNTIF(CAL!R:R,INV!$B43)</f>
        <v>37</v>
      </c>
      <c r="F43" s="41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362</v>
      </c>
      <c r="C44" s="2" t="s">
        <v>6075</v>
      </c>
      <c r="D44" s="2" t="n">
        <f aca="false">SUMIF(CAL!R:T,B44,CAL!S:T)+SUMIF(CAL!R:T,B44,CAL!T:U)</f>
        <v>218</v>
      </c>
      <c r="E44" s="2" t="n">
        <f aca="false">COUNTIF(CAL!R:R,INV!$B44)</f>
        <v>114</v>
      </c>
      <c r="F44" s="41" t="n">
        <f aca="false">D44/E44</f>
        <v>1.91228070175439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124</v>
      </c>
      <c r="C45" s="2" t="s">
        <v>6076</v>
      </c>
      <c r="D45" s="2" t="n">
        <f aca="false">SUMIF(CAL!R:T,B45,CAL!S:T)+SUMIF(CAL!R:T,B45,CAL!T:U)</f>
        <v>100</v>
      </c>
      <c r="E45" s="2" t="n">
        <f aca="false">COUNTIF(CAL!R:R,INV!$B45)</f>
        <v>53</v>
      </c>
      <c r="F45" s="41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426</v>
      </c>
      <c r="C46" s="2" t="s">
        <v>6077</v>
      </c>
      <c r="D46" s="2" t="n">
        <f aca="false">SUMIF(CAL!R:T,B46,CAL!S:T)+SUMIF(CAL!R:T,B46,CAL!T:U)</f>
        <v>24</v>
      </c>
      <c r="E46" s="2" t="n">
        <f aca="false">COUNTIF(CAL!R:R,INV!$B46)</f>
        <v>15</v>
      </c>
      <c r="F46" s="41" t="n">
        <f aca="false">D46/E46</f>
        <v>1.6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397</v>
      </c>
      <c r="C47" s="2" t="s">
        <v>6078</v>
      </c>
      <c r="D47" s="2" t="n">
        <f aca="false">SUMIF(CAL!R:T,B47,CAL!S:T)+SUMIF(CAL!R:T,B47,CAL!T:U)</f>
        <v>18</v>
      </c>
      <c r="E47" s="2" t="n">
        <f aca="false">COUNTIF(CAL!R:R,INV!$B47)</f>
        <v>12</v>
      </c>
      <c r="F47" s="41" t="n">
        <f aca="false">D47/E47</f>
        <v>1.5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449</v>
      </c>
      <c r="C48" s="2" t="s">
        <v>6079</v>
      </c>
      <c r="D48" s="2" t="n">
        <f aca="false">SUMIF(CAL!R:T,B48,CAL!S:T)+SUMIF(CAL!R:T,B48,CAL!T:U)</f>
        <v>9</v>
      </c>
      <c r="E48" s="2" t="n">
        <f aca="false">COUNTIF(CAL!R:R,INV!$B48)</f>
        <v>7</v>
      </c>
      <c r="F48" s="41" t="n">
        <f aca="false">D48/E48</f>
        <v>1.28571428571429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401</v>
      </c>
      <c r="C49" s="2" t="s">
        <v>6080</v>
      </c>
      <c r="D49" s="2" t="n">
        <f aca="false">SUMIF(CAL!R:T,B49,CAL!S:T)+SUMIF(CAL!R:T,B49,CAL!T:U)</f>
        <v>6</v>
      </c>
      <c r="E49" s="2" t="n">
        <f aca="false">COUNTIF(CAL!R:R,INV!$B49)</f>
        <v>2</v>
      </c>
      <c r="F49" s="41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1077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2026-04-11T10:07:27Z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